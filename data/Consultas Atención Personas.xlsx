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BBDD" sheetId="1" r:id="rId4"/>
    <sheet state="visible" name="Atención 2025" sheetId="2" r:id="rId5"/>
    <sheet state="hidden" name="Lista desplegable" sheetId="3" r:id="rId6"/>
  </sheets>
  <definedNames>
    <definedName hidden="1" localSheetId="0" name="_xlnm._FilterDatabase">BBDD!$A$1:$P$1526</definedName>
    <definedName hidden="1" localSheetId="1" name="_xlnm._FilterDatabase">'Atención 2025'!$A$1:$T$108</definedName>
  </definedNames>
  <calcPr/>
  <extLst>
    <ext uri="GoogleSheetsCustomDataVersion2">
      <go:sheetsCustomData xmlns:go="http://customooxmlschemas.google.com/" r:id="rId7" roundtripDataChecksum="f8u8LJAjtHzPsF0tniIdsv5z3P8n47lGzoSQwO34cMA="/>
    </ext>
  </extLst>
</workbook>
</file>

<file path=xl/sharedStrings.xml><?xml version="1.0" encoding="utf-8"?>
<sst xmlns="http://schemas.openxmlformats.org/spreadsheetml/2006/main" count="22569" uniqueCount="5922">
  <si>
    <t>RUT</t>
  </si>
  <si>
    <t>Número de Documento</t>
  </si>
  <si>
    <t>Nombre Empresa</t>
  </si>
  <si>
    <t>Código de Ficha</t>
  </si>
  <si>
    <t>Email</t>
  </si>
  <si>
    <t>Email Personal</t>
  </si>
  <si>
    <t>Nombre Completo</t>
  </si>
  <si>
    <t>Cargo</t>
  </si>
  <si>
    <t>Nombre Supervisor</t>
  </si>
  <si>
    <t>Nombre Área</t>
  </si>
  <si>
    <t>Tipo de Contrato</t>
  </si>
  <si>
    <t>Fecha Ingreso Compañía</t>
  </si>
  <si>
    <t>Nomina de Pago</t>
  </si>
  <si>
    <t>Nombre Gerencia</t>
  </si>
  <si>
    <t>Lugar de Trabajo</t>
  </si>
  <si>
    <t>Tipo contratación</t>
  </si>
  <si>
    <t>17.382.227-8</t>
  </si>
  <si>
    <t>Orizon S.A</t>
  </si>
  <si>
    <t>F1</t>
  </si>
  <si>
    <t>humberto.galaz@gmail.com</t>
  </si>
  <si>
    <t>Galaz Segovia Humberto Elias</t>
  </si>
  <si>
    <t>Supervisor(A) De Turno Pt</t>
  </si>
  <si>
    <t>Stephanie Nicole Navarro Marmiez</t>
  </si>
  <si>
    <t>Gerencia Logistica</t>
  </si>
  <si>
    <t>Plazo fijo</t>
  </si>
  <si>
    <t>Coronel Rol Tierra</t>
  </si>
  <si>
    <t>Gerencia Corp. Supply Chain</t>
  </si>
  <si>
    <t>Coronel</t>
  </si>
  <si>
    <t>Temporada (Con ocasión Temporada de Pesca)</t>
  </si>
  <si>
    <t>18.501.236-0</t>
  </si>
  <si>
    <t>urquiola.loredana@gmail.com</t>
  </si>
  <si>
    <t>Espinoza Saez Katherine Loredana</t>
  </si>
  <si>
    <t>Ingeniero Programador Planificación Mantención</t>
  </si>
  <si>
    <t>Sebastian Ignacio Olate Vega</t>
  </si>
  <si>
    <t>Departamento Ingeniería</t>
  </si>
  <si>
    <t>Gerencia Corp. Negocio Seafood</t>
  </si>
  <si>
    <t>Rol General (Cargo permanente o proyección indefinido)</t>
  </si>
  <si>
    <t>17.861.981-0</t>
  </si>
  <si>
    <t>F3</t>
  </si>
  <si>
    <t>carla.roca@orizon.cl</t>
  </si>
  <si>
    <t>Roca Galindo Carla Eugenia</t>
  </si>
  <si>
    <t>Osvaldo Mardones Beltran</t>
  </si>
  <si>
    <t>20.438.291-3</t>
  </si>
  <si>
    <t>valediaze05@hotmail.com</t>
  </si>
  <si>
    <t>Diaz Elgueta Valentina Isabel</t>
  </si>
  <si>
    <t>Monitor(A) Calidad Ch</t>
  </si>
  <si>
    <t>Larisa Andrea Burgos Zavala</t>
  </si>
  <si>
    <t>Gerencia Gestión Integrada y Calidad</t>
  </si>
  <si>
    <t>Coronel Rol Eventual</t>
  </si>
  <si>
    <t>18.821.915-2</t>
  </si>
  <si>
    <t>monsalvezerik@gmail.com</t>
  </si>
  <si>
    <t>Monsalvez Nuñez Erik Antonio</t>
  </si>
  <si>
    <t>Monitor(A) De Calidad</t>
  </si>
  <si>
    <t>19.139.667-7</t>
  </si>
  <si>
    <t>ANTO.LOZANO95@GMAIL.COM</t>
  </si>
  <si>
    <t>Lozano Aniñir Antonia</t>
  </si>
  <si>
    <t>20.362.461-1</t>
  </si>
  <si>
    <t>F5</t>
  </si>
  <si>
    <t>yocelynmarianeladelcarmen18@gmail.com</t>
  </si>
  <si>
    <t>Diaz Hidalgo Jocelyn Marianela Del Carmen</t>
  </si>
  <si>
    <t>Operador Elaboracion Php</t>
  </si>
  <si>
    <t>Marcos Antonio Nuñez Garcia</t>
  </si>
  <si>
    <t>Gerencia Producción Pesca</t>
  </si>
  <si>
    <t>18.816.284-3</t>
  </si>
  <si>
    <t>RM.NUTDIET@GMAIL.COM</t>
  </si>
  <si>
    <t>Montaner Pereira Romina Fernanda</t>
  </si>
  <si>
    <t>20.362.434-4</t>
  </si>
  <si>
    <t>Nksbastian@gmail.com</t>
  </si>
  <si>
    <t>Pastrana Ceballos Bastian Alonso</t>
  </si>
  <si>
    <t>Asistente Operaciones Pt</t>
  </si>
  <si>
    <t>15.529.956-8</t>
  </si>
  <si>
    <t>MARYCARRASCO117@GMAIL.COM</t>
  </si>
  <si>
    <t>Carrasco Copelli Mariana Elizabeth</t>
  </si>
  <si>
    <t>20.196.888-7</t>
  </si>
  <si>
    <t>javiierahidalgo@gmail.com</t>
  </si>
  <si>
    <t>Hidalgo Reyes Javiera Scarlet</t>
  </si>
  <si>
    <t>Escuadrón</t>
  </si>
  <si>
    <t>14.213.629-5</t>
  </si>
  <si>
    <t>juanhpi@gmail.com</t>
  </si>
  <si>
    <t>Palma Ibarra Juan Hernaldo</t>
  </si>
  <si>
    <t>Mecanico Frigorista</t>
  </si>
  <si>
    <t>Carlos Javier Orellana Gonzalez</t>
  </si>
  <si>
    <t>13.108.733-0</t>
  </si>
  <si>
    <t>pampilla041@gmail.com</t>
  </si>
  <si>
    <t>Aguilar Reyes Eduard Raul</t>
  </si>
  <si>
    <t>Operador Sala Control Trainee</t>
  </si>
  <si>
    <t>Juan Arturo Manriquez Duran</t>
  </si>
  <si>
    <t>18.685.027-0</t>
  </si>
  <si>
    <t>F2</t>
  </si>
  <si>
    <t>f.monsalvezbobadilla@outlook.com</t>
  </si>
  <si>
    <t>Monsalvez Bobadilla Felipe Andrés</t>
  </si>
  <si>
    <t>Tripulante De Reemplazo</t>
  </si>
  <si>
    <t>Carlos Alberto Varela Artigues</t>
  </si>
  <si>
    <t>Gerencia de Flota y Abastecimiento de Materias Primas</t>
  </si>
  <si>
    <t>Coronel Rol Flota</t>
  </si>
  <si>
    <t>15.670.638-8</t>
  </si>
  <si>
    <t>eduardo.mora.yanos@hotmail.com</t>
  </si>
  <si>
    <t>Mora Llanos Eduardo Andres</t>
  </si>
  <si>
    <t>13.311.759-8</t>
  </si>
  <si>
    <t>panchobravo603@gmail.com</t>
  </si>
  <si>
    <t>Bravo Zapata Larry Sebastian</t>
  </si>
  <si>
    <t>Milton Bravo Zapata</t>
  </si>
  <si>
    <t>10.921.078-1</t>
  </si>
  <si>
    <t>andyfer.vergara@gmail.com</t>
  </si>
  <si>
    <t>Fernandez Vergara Andres Esteban</t>
  </si>
  <si>
    <t>Luis Jose Vasquez Sandoval</t>
  </si>
  <si>
    <t>16.484.892-2</t>
  </si>
  <si>
    <t>Nutrisco S.A.</t>
  </si>
  <si>
    <t>fabian.vera@nutrisco.com</t>
  </si>
  <si>
    <t>Vera Ambiado Fabian Felipe</t>
  </si>
  <si>
    <t>Jefe Cumplimiento</t>
  </si>
  <si>
    <t>Sebastian Antonio Ochoa Pizarro</t>
  </si>
  <si>
    <t>Depto Control Interno y Riesgos</t>
  </si>
  <si>
    <t>Indefinido</t>
  </si>
  <si>
    <t>*</t>
  </si>
  <si>
    <t>Gerencia General</t>
  </si>
  <si>
    <t>Santiago</t>
  </si>
  <si>
    <t>17.223.890-4</t>
  </si>
  <si>
    <t>ezkorpio489@gmail.com</t>
  </si>
  <si>
    <t>González Arriagada Enzo Antonio</t>
  </si>
  <si>
    <t>Jose Fernando Daza Pincheira</t>
  </si>
  <si>
    <t>17.862.432-6</t>
  </si>
  <si>
    <t>wpaillamil23@gmail.com</t>
  </si>
  <si>
    <t>Paillamil Martinez Walter Antonio</t>
  </si>
  <si>
    <t>13.957.986-0</t>
  </si>
  <si>
    <t>PAOLACUEVAS3007@GMAIL.COM</t>
  </si>
  <si>
    <t>Cuevas Caro Paola Idalba</t>
  </si>
  <si>
    <t>Operario Apoyo Elaboracion</t>
  </si>
  <si>
    <t>Pedro Alejandro Cerda Velasquez</t>
  </si>
  <si>
    <t>17.044.306-3</t>
  </si>
  <si>
    <t>WWW.ALANAFEL@GMAIL.COM</t>
  </si>
  <si>
    <t>Lizama Zambrano Macarena Andrea</t>
  </si>
  <si>
    <t>16.600.363-6</t>
  </si>
  <si>
    <t>cynthiamanriquez1987@gmail.com</t>
  </si>
  <si>
    <t>Manriquez Bustamante Cynthia Alejandra</t>
  </si>
  <si>
    <t>Francisco Antonio Ruiz Herrera</t>
  </si>
  <si>
    <t>20.960.482-5</t>
  </si>
  <si>
    <t>gabrielvillanueva762@gmail.com</t>
  </si>
  <si>
    <t>Villanueva Alarcón Gabriel Ignacio</t>
  </si>
  <si>
    <t>21.065.903-k</t>
  </si>
  <si>
    <t>0salazarcristobal1@gmail.com</t>
  </si>
  <si>
    <t>Salazar Lopez Cristobal David</t>
  </si>
  <si>
    <t>13.511.937-7</t>
  </si>
  <si>
    <t>YISELAC10@GMAIL.COM</t>
  </si>
  <si>
    <t>Carrasco Gayoso Yisela Carmen</t>
  </si>
  <si>
    <t>17.593.320-4</t>
  </si>
  <si>
    <t>l.ceaayala@gmail.com</t>
  </si>
  <si>
    <t>Cea Ayala Lesly Stefany</t>
  </si>
  <si>
    <t>Encargada de Aseo y Manejo Sanitario de Congelados</t>
  </si>
  <si>
    <t>Maximiliano Eloy Gonzalez Sanchez</t>
  </si>
  <si>
    <t>11.721.191-6</t>
  </si>
  <si>
    <t>vladimir.pasten@nutrisco.com</t>
  </si>
  <si>
    <t>Pasten Silva Vladimir Enrique</t>
  </si>
  <si>
    <t>Jefe Auditoría Interna</t>
  </si>
  <si>
    <t>Nutrisco SA</t>
  </si>
  <si>
    <t>17.023.892-3</t>
  </si>
  <si>
    <t>carolina.duran@nutrisco.com</t>
  </si>
  <si>
    <t>Duran Navarro Carolina Paz</t>
  </si>
  <si>
    <t>Product Manager</t>
  </si>
  <si>
    <t>Diana Reinoso Baracat</t>
  </si>
  <si>
    <t>Gerencia de Marketing</t>
  </si>
  <si>
    <t>Gerencia Corp. Comercial y Marketing</t>
  </si>
  <si>
    <t>CD Colina - Oficina</t>
  </si>
  <si>
    <t>19.799.595-5</t>
  </si>
  <si>
    <t>kevinsanhuezabravo@gmail.com</t>
  </si>
  <si>
    <t>Sanhueza Bravo Kevin Stalin</t>
  </si>
  <si>
    <t>15.187.851-2</t>
  </si>
  <si>
    <t>F4</t>
  </si>
  <si>
    <t>sergiolagossaez9@gmail.com</t>
  </si>
  <si>
    <t>Lagos Saez Sergio Anibal</t>
  </si>
  <si>
    <t>Camarero-Gruero</t>
  </si>
  <si>
    <t>16.504.391-k</t>
  </si>
  <si>
    <t>carlo.gajardo.m87@gmail.com</t>
  </si>
  <si>
    <t>Gajardo Muñoz Carlos Abraham</t>
  </si>
  <si>
    <t>Motorista De Reemplazo</t>
  </si>
  <si>
    <t>18.417.675-0</t>
  </si>
  <si>
    <t>ed.neira.h@gmail.com</t>
  </si>
  <si>
    <t>Neira Henriquez Edinson Benicio</t>
  </si>
  <si>
    <t>Eduardo Esteban Gonzalez Martinez</t>
  </si>
  <si>
    <t>17.445.346-2</t>
  </si>
  <si>
    <t>patricia.medina@orizon.cl</t>
  </si>
  <si>
    <t>medinavidalp@gmail.com</t>
  </si>
  <si>
    <t>Medina Vidal Patricia Alejandra</t>
  </si>
  <si>
    <t>Administrador(A) De Contratos De Servicios</t>
  </si>
  <si>
    <t>Hector Montoya Castro</t>
  </si>
  <si>
    <t>Gerencia SST y Servicio a las Personas</t>
  </si>
  <si>
    <t>Gerencia Corp. Personas y SST</t>
  </si>
  <si>
    <t>15.327.579-3</t>
  </si>
  <si>
    <t>estefani.ulloa@orizon.cl</t>
  </si>
  <si>
    <t>elga.ulloa.m@gmail.com</t>
  </si>
  <si>
    <t>Ulloa Matamala Elga Estefani</t>
  </si>
  <si>
    <t>Administrativo (a) Atención de Personas</t>
  </si>
  <si>
    <t>Marlene Isabel Cartes Cabrera</t>
  </si>
  <si>
    <t>HRBP Seafood</t>
  </si>
  <si>
    <t>Eventual (Reemplazo LM - Proyecto - Faena 4E Conservas)</t>
  </si>
  <si>
    <t>20.975.599-8</t>
  </si>
  <si>
    <t>benjaminmanriquez56@gmail.com</t>
  </si>
  <si>
    <t>Manriquez Marco Benjamin Andres</t>
  </si>
  <si>
    <t>Administrativo Control Produccion</t>
  </si>
  <si>
    <t>Fabian Stevens Torres Cid</t>
  </si>
  <si>
    <t>4 Esquinas</t>
  </si>
  <si>
    <t>27.098.076-7</t>
  </si>
  <si>
    <t>pablo.escalona@nutrisco.com</t>
  </si>
  <si>
    <t>pabloescalona.08@gmail.com</t>
  </si>
  <si>
    <t>Escalona Quintero Pablo David</t>
  </si>
  <si>
    <t>Administrativo Financiero</t>
  </si>
  <si>
    <t>Brian Olea Vallejos</t>
  </si>
  <si>
    <t>Gerencia de Tesorería</t>
  </si>
  <si>
    <t>Gerencia Corp. Finanzas y Tecnologia</t>
  </si>
  <si>
    <t>10.859.958-8</t>
  </si>
  <si>
    <t>llirlen.bustos@orizon.cl</t>
  </si>
  <si>
    <t>llirlenel@gmail.com</t>
  </si>
  <si>
    <t>Bustos Azocar Llirlen Elena</t>
  </si>
  <si>
    <t>Administrativo(A) Contable</t>
  </si>
  <si>
    <t>Jorge Luis Diaz Lopez</t>
  </si>
  <si>
    <t>Gerencia Corp. Administracion</t>
  </si>
  <si>
    <t>Gerencia Corp. de Administracion</t>
  </si>
  <si>
    <t>15.295.986-9</t>
  </si>
  <si>
    <t>elizabeth.punanco@orizon.cl</t>
  </si>
  <si>
    <t>elizabeth.punanco@gmail.com</t>
  </si>
  <si>
    <t>Puñanco Ojeda Elizabeth Del Carmen</t>
  </si>
  <si>
    <t>15.928.043-8</t>
  </si>
  <si>
    <t>elisa.pincheira@orizon.cl</t>
  </si>
  <si>
    <t>elibra.2005@gmail.com</t>
  </si>
  <si>
    <t>Pincheira Perez Elisa Marlene</t>
  </si>
  <si>
    <t>8.170.670-0</t>
  </si>
  <si>
    <t>alberto.romero@orizon.cl</t>
  </si>
  <si>
    <t>albertoromeroparra9@gmail.com</t>
  </si>
  <si>
    <t>Romero Parra Alberto De Jesus</t>
  </si>
  <si>
    <t>Administrativo(A) Control Tiempo</t>
  </si>
  <si>
    <t>Pablo Isaac Parra Escobar</t>
  </si>
  <si>
    <t>16.768.326-6</t>
  </si>
  <si>
    <t>marcela.cisternas@orizon.cl</t>
  </si>
  <si>
    <t>Marcecisternas.covid@gmail.com</t>
  </si>
  <si>
    <t>Cisternas Gutierrez Marcela Teresa</t>
  </si>
  <si>
    <t>13.548.092-4</t>
  </si>
  <si>
    <t>cristian.kreisel@nutrisco.com</t>
  </si>
  <si>
    <t>ckreiselg@gmail.com</t>
  </si>
  <si>
    <t>Kreisel Gonzalez Cristian Alberto</t>
  </si>
  <si>
    <t>Administrativo(A) De Planta</t>
  </si>
  <si>
    <t>Pamela Patricia Cabezas Fuentes</t>
  </si>
  <si>
    <t>Gerencia de Administración, Activos y Seguros Planta</t>
  </si>
  <si>
    <t>Aysén</t>
  </si>
  <si>
    <t>16.229.269-2</t>
  </si>
  <si>
    <t>francisco.castillo@orizon.cl</t>
  </si>
  <si>
    <t>fcastillosaez318@gmail.com</t>
  </si>
  <si>
    <t>Castillo Saez Francisco Enrique</t>
  </si>
  <si>
    <t>Administrativo(A) De Remuneraciones</t>
  </si>
  <si>
    <t>16.155.570-3</t>
  </si>
  <si>
    <t>jeniffer.huinca@orizon.cl</t>
  </si>
  <si>
    <t>jenifferh.d@gmail.com</t>
  </si>
  <si>
    <t>Huinca Dominguez Jeniffer Lucia</t>
  </si>
  <si>
    <t>13.959.934-9</t>
  </si>
  <si>
    <t>claudia.valencia@orizon.cl</t>
  </si>
  <si>
    <t>clau.valencia80@gmail.com</t>
  </si>
  <si>
    <t>Valencia Muñoz Claudia Ester</t>
  </si>
  <si>
    <t>13.958.157-1</t>
  </si>
  <si>
    <t>ruben.montana@orizon.cl</t>
  </si>
  <si>
    <t>ramontana@gmail.com</t>
  </si>
  <si>
    <t>Montaña Valenzuela Ruben Antonio</t>
  </si>
  <si>
    <t>Administrativo(A) Logistico Transporte</t>
  </si>
  <si>
    <t>7.814.254-5</t>
  </si>
  <si>
    <t>paulina.rodriguez@nutrisco.com</t>
  </si>
  <si>
    <t>poly.rodriguez.perez@gmail.com</t>
  </si>
  <si>
    <t>Rodriguez Perez Paulina Eliana</t>
  </si>
  <si>
    <t>Administrativo(A) Oficina Santiago</t>
  </si>
  <si>
    <t>Pamela Alejandra Elías Godoy</t>
  </si>
  <si>
    <t>HRBP Areas Funcionales y Of Stgo</t>
  </si>
  <si>
    <t>16.283.530-0</t>
  </si>
  <si>
    <t>hugo.manriquez@orizon.cl</t>
  </si>
  <si>
    <t>gohulx@gmail.com</t>
  </si>
  <si>
    <t>Manriquez Godoy Hugo Andres</t>
  </si>
  <si>
    <t>Administrativo(A) Prod Sap Y Sernapesca</t>
  </si>
  <si>
    <t>18.383.966-7</t>
  </si>
  <si>
    <t>gabriela.riffo@orizon.cl</t>
  </si>
  <si>
    <t>GABIRIFFOC@GMAIL.COM</t>
  </si>
  <si>
    <t>Riffo Contreras Gabriela Andrea</t>
  </si>
  <si>
    <t>15.194.019-6</t>
  </si>
  <si>
    <t>Alejandro.Rojas@orizon.cl</t>
  </si>
  <si>
    <t>alejandro.a72018@gmail.com</t>
  </si>
  <si>
    <t>Rojas Olate Alejandro Humberto</t>
  </si>
  <si>
    <t>17.320.823-5</t>
  </si>
  <si>
    <t>melissa.fonseca@orizon.cl</t>
  </si>
  <si>
    <t>melissafonseca567@gmail.com</t>
  </si>
  <si>
    <t>Fonseca Cardenas Melisa Isabel</t>
  </si>
  <si>
    <t>Luis Alejandro Caro Sanhueza</t>
  </si>
  <si>
    <t>13.803.031-8</t>
  </si>
  <si>
    <t>cristian.cuevas@nutrisco.com</t>
  </si>
  <si>
    <t>cristian.cuevas.bizama@hotmail.com</t>
  </si>
  <si>
    <t>Cuevas Bizama Cristian Alexis</t>
  </si>
  <si>
    <t>Analista Contable</t>
  </si>
  <si>
    <t>15.466.127-1</t>
  </si>
  <si>
    <t>rafael.fuentes@nutrisco.com</t>
  </si>
  <si>
    <t>rafafuentesaraya@gmail.com</t>
  </si>
  <si>
    <t>Fuentes Araya Rafael</t>
  </si>
  <si>
    <t>Bayardo Vado Uribe</t>
  </si>
  <si>
    <t>Gerencia Contabilidad</t>
  </si>
  <si>
    <t>15.475.043-6</t>
  </si>
  <si>
    <t>mario.pozas@nutrisco.com</t>
  </si>
  <si>
    <t>mario.pozas.millan@gmail.com</t>
  </si>
  <si>
    <t>Pozas Millan Mario</t>
  </si>
  <si>
    <t>Maria Angelica Mejias Acevedo</t>
  </si>
  <si>
    <t>22.679.715-7</t>
  </si>
  <si>
    <t>elizabeth.gamboa@nutrisco.com</t>
  </si>
  <si>
    <t>gamboa2914@gmail.com</t>
  </si>
  <si>
    <t>Gamboa Saltos Elizabeth</t>
  </si>
  <si>
    <t>Cristian Andres Fernandez Aguayo</t>
  </si>
  <si>
    <t>15.039.763-4</t>
  </si>
  <si>
    <t>carlos.pizarro@orizon.cl</t>
  </si>
  <si>
    <t>carlospizarro2004@hotmail.com</t>
  </si>
  <si>
    <t>Pizarro Pizarro Carlos Miguel</t>
  </si>
  <si>
    <t>Juan Carlos Ossandon Ramos</t>
  </si>
  <si>
    <t>Coquimbo</t>
  </si>
  <si>
    <t>20.168.263-0</t>
  </si>
  <si>
    <t>lissette.velasquez@orizon.cl</t>
  </si>
  <si>
    <t>lissette.velasquez111@gmail.com</t>
  </si>
  <si>
    <t>Velasquez Pinto Lissette Sabrina</t>
  </si>
  <si>
    <t>13.511.442-1</t>
  </si>
  <si>
    <t>oliver.figueroa@orizon.cl</t>
  </si>
  <si>
    <t>oliverfigueroahiguera@gmail.com</t>
  </si>
  <si>
    <t>Figueroa Higuera Oliver Roman</t>
  </si>
  <si>
    <t>Analista de Costos y Administración</t>
  </si>
  <si>
    <t>17.306.569-8</t>
  </si>
  <si>
    <t>soledad.cuitino@nutrisco.com</t>
  </si>
  <si>
    <t>s_cuitino1990@hotmail.com</t>
  </si>
  <si>
    <t>Cuitiño Cuitiño Soledad Del Carmen</t>
  </si>
  <si>
    <t>Analista De Credito Y Cobranza</t>
  </si>
  <si>
    <t>20.430.968-k</t>
  </si>
  <si>
    <t>isidora.contreras@nutrisco.com</t>
  </si>
  <si>
    <t>isidora.contreras@uc.cl</t>
  </si>
  <si>
    <t>Contreras Hudson Isidora</t>
  </si>
  <si>
    <t>Analista De Finanzas</t>
  </si>
  <si>
    <t>20.489.790-5</t>
  </si>
  <si>
    <t>gisselle.carrasco@orizon.cl</t>
  </si>
  <si>
    <t>gisselle8.carrasco@gmail.com</t>
  </si>
  <si>
    <t>Carrasco Vergara Gisselle Mariel</t>
  </si>
  <si>
    <t>Analista de Gestión de Calidad</t>
  </si>
  <si>
    <t>Marco Antonio Peña Mendez</t>
  </si>
  <si>
    <t>20.379.424-k</t>
  </si>
  <si>
    <t>valentina.pizarro@nutrisco.com</t>
  </si>
  <si>
    <t>valentina.pizarro@usach.cl</t>
  </si>
  <si>
    <t>Pizarro Manriquez Valentina Ignacia</t>
  </si>
  <si>
    <t>Analista De Impuestos</t>
  </si>
  <si>
    <t>Paola Alejandra Valenzuela Vera</t>
  </si>
  <si>
    <t>18.531.865-6</t>
  </si>
  <si>
    <t>julio.barahona@nutrisco.com</t>
  </si>
  <si>
    <t>julio.barahona@mail.udp.cl</t>
  </si>
  <si>
    <t>Barahona Hernandez Julio</t>
  </si>
  <si>
    <t>Daissy Del Carmen Martinez Rojas</t>
  </si>
  <si>
    <t>23.007.617-0</t>
  </si>
  <si>
    <t>mariadelrosario.bruno@orizon.cl</t>
  </si>
  <si>
    <t>ro_sario_98@hotmail.com</t>
  </si>
  <si>
    <t>Bruno  María Del Rosario</t>
  </si>
  <si>
    <t>Analista De Marketing</t>
  </si>
  <si>
    <t>Maria Carolina Varas Dominguez</t>
  </si>
  <si>
    <t>18.013.088-8</t>
  </si>
  <si>
    <t>cristobal.cabrera@nutrisco.com</t>
  </si>
  <si>
    <t>cristobaljose.cabrera@gmail.com</t>
  </si>
  <si>
    <t>Cabrera De La Piedra Cristobal</t>
  </si>
  <si>
    <t>Estefania Isabel Bernasconi Stange</t>
  </si>
  <si>
    <t>19.098.349-8</t>
  </si>
  <si>
    <t>nancy.urrutia@orizon.cl</t>
  </si>
  <si>
    <t>nancyurrutiaulloa@gmail.com</t>
  </si>
  <si>
    <t>Urrutia Ulloa Nancy</t>
  </si>
  <si>
    <t>Analista De Medio Ambiente</t>
  </si>
  <si>
    <t>Camila Alejandra Vasquez Kaid</t>
  </si>
  <si>
    <t>Area Medioambiente</t>
  </si>
  <si>
    <t>Gerencia Corp. Sostenibilidad</t>
  </si>
  <si>
    <t>19.594.575-6</t>
  </si>
  <si>
    <t>mattias.torres@orizon.cl</t>
  </si>
  <si>
    <t>mattiast96@gmail.com</t>
  </si>
  <si>
    <t>Torres Torres Mattias Sebastian</t>
  </si>
  <si>
    <t>18.585.381-0</t>
  </si>
  <si>
    <t>mauro.barattini@nutrisco.com</t>
  </si>
  <si>
    <t>maurobarattinivaras@gmail.com</t>
  </si>
  <si>
    <t>Barattini Varas Mauro</t>
  </si>
  <si>
    <t>Analista De Personas</t>
  </si>
  <si>
    <t>9.845.271-0</t>
  </si>
  <si>
    <t>martalidiahv@gmail.com</t>
  </si>
  <si>
    <t>Hernandez Villegas Marta Lidia</t>
  </si>
  <si>
    <t>Analista De Producto Final</t>
  </si>
  <si>
    <t>Giselle Constanza Rubilar Zambrano</t>
  </si>
  <si>
    <t>17.043.493-5</t>
  </si>
  <si>
    <t>gesalazar@embiologia.ucsc.cl</t>
  </si>
  <si>
    <t>Salazar Jara Geraldine Elizabeth</t>
  </si>
  <si>
    <t>18.384.012-6</t>
  </si>
  <si>
    <t>andreanicolecontrerasalegria@gmail.com</t>
  </si>
  <si>
    <t>Contreras Alegria Andrea Nicole</t>
  </si>
  <si>
    <t>19.158.186-5</t>
  </si>
  <si>
    <t>josefina.dinamarca@nutrisco.com</t>
  </si>
  <si>
    <t>josefina.dinamarca@uc.cl</t>
  </si>
  <si>
    <t>Dinamarca Álamos Josefina María</t>
  </si>
  <si>
    <t>Analista de Sostenibilidad</t>
  </si>
  <si>
    <t>Antonia Alamos Grau</t>
  </si>
  <si>
    <t>Area Sostenibilidad</t>
  </si>
  <si>
    <t>20.072.501-8</t>
  </si>
  <si>
    <t>domingo.vergara@nutrisco.com</t>
  </si>
  <si>
    <t>dvergarai@fen.uchile.cl</t>
  </si>
  <si>
    <t>Vergara Iacobelli Domingo</t>
  </si>
  <si>
    <t>Analista Finanzas</t>
  </si>
  <si>
    <t>Rosario Schacht Spoerer</t>
  </si>
  <si>
    <t>Area Ppto, Proyectos e Inversiones</t>
  </si>
  <si>
    <t>19.139.244-2</t>
  </si>
  <si>
    <t>valesca.bustosm@gmail.com</t>
  </si>
  <si>
    <t>Bustos Miranda Valesca Priscilla</t>
  </si>
  <si>
    <t>Analista Procesos Logísticos</t>
  </si>
  <si>
    <t>Mabel De Lourdes Poza Tolosa</t>
  </si>
  <si>
    <t>17.671.060-8</t>
  </si>
  <si>
    <t>tania.vargas@orizon.cl</t>
  </si>
  <si>
    <t>vargas.taniag@gmail.com</t>
  </si>
  <si>
    <t>Vargas Carrasco Tania</t>
  </si>
  <si>
    <t>Analista Revenue Management</t>
  </si>
  <si>
    <t>Sofia Alejandra Hevia Gonzalez</t>
  </si>
  <si>
    <t>SubGerencia de Desarrollo y Business Intelligence</t>
  </si>
  <si>
    <t>26.928.112-k</t>
  </si>
  <si>
    <t>adibrahim.rodriguez@nutrisco.com</t>
  </si>
  <si>
    <t>adibrahimrodriguez92@gmail.com</t>
  </si>
  <si>
    <t>Rodriguez Aranguren Adibrahim Jose</t>
  </si>
  <si>
    <t>Analista Soporte Funcional Sap</t>
  </si>
  <si>
    <t>Blagoje Mladem Razmilic Crichton</t>
  </si>
  <si>
    <t>Gerencia Tecnología y Gobierno de Datos</t>
  </si>
  <si>
    <t>6.918.006-k</t>
  </si>
  <si>
    <t>raul.carpio@nutrisco.com</t>
  </si>
  <si>
    <t>raul.carpio.henriquez@gmail.com</t>
  </si>
  <si>
    <t>Carpio Henriquez Raul Alexis</t>
  </si>
  <si>
    <t>Fernando Riveros Ramirez</t>
  </si>
  <si>
    <t>13.074.834-1</t>
  </si>
  <si>
    <t>claudia.lagos@nutrisco.com</t>
  </si>
  <si>
    <t>lagosgutierrezclaudia@gmail.com</t>
  </si>
  <si>
    <t>Lagos Gutiérrez Claudia Roxana</t>
  </si>
  <si>
    <t>Asistente Administrativo</t>
  </si>
  <si>
    <t>Michel Bouiey Sierra</t>
  </si>
  <si>
    <t>12.943.118-0</t>
  </si>
  <si>
    <t>lorena.zepeda@orizon.cl</t>
  </si>
  <si>
    <t>lorraine030976@gmail.com</t>
  </si>
  <si>
    <t>Zepeda Bahamondes Lorena Valeria</t>
  </si>
  <si>
    <t>7.225.258-6</t>
  </si>
  <si>
    <t>luis.sepulveda@orizon.cl</t>
  </si>
  <si>
    <t>luissc1955@gmail.com</t>
  </si>
  <si>
    <t>Sepulveda Cano Luis</t>
  </si>
  <si>
    <t>Asistente Administrativo - Chofer</t>
  </si>
  <si>
    <t>9.749.697-8</t>
  </si>
  <si>
    <t>alejandrina.moratinos@nutrisco.com</t>
  </si>
  <si>
    <t>alemoratinos71@gmail.com</t>
  </si>
  <si>
    <t>Moratinos Fernández Alejandrina Andrea</t>
  </si>
  <si>
    <t>Asistente Administrativo de Recepción</t>
  </si>
  <si>
    <t>Juan Pablo Chavez Urrutia</t>
  </si>
  <si>
    <t>19.972.172-0</t>
  </si>
  <si>
    <t>kristel.molina@nutrisco.com</t>
  </si>
  <si>
    <t>kristelpmolina@gmail.com</t>
  </si>
  <si>
    <t>Molina Molina Kristel Paola</t>
  </si>
  <si>
    <t>Asistente Comercio Exterior</t>
  </si>
  <si>
    <t>Leslie Carolina Venegas Veloso</t>
  </si>
  <si>
    <t>25.689.827-6</t>
  </si>
  <si>
    <t>ronald.marquez@nutrisco.com</t>
  </si>
  <si>
    <t>ronald.marquez1411@gmail.com</t>
  </si>
  <si>
    <t>Marquez Leon Ronald Alejandro</t>
  </si>
  <si>
    <t>Nicolas Mauricio De La Rosa Farias</t>
  </si>
  <si>
    <t>Gerencia Supply Chain</t>
  </si>
  <si>
    <t>15.598.998-k</t>
  </si>
  <si>
    <t>carolina.poblete@nutrisco.com</t>
  </si>
  <si>
    <t>carolina.pobletev@gmail.com</t>
  </si>
  <si>
    <t>Poblete Vasquez Carolina Del Pilar</t>
  </si>
  <si>
    <t>Asistente Comex</t>
  </si>
  <si>
    <t>Pablo Andrés Aguilera Contreras</t>
  </si>
  <si>
    <t>Maule</t>
  </si>
  <si>
    <t>13.090.461-0</t>
  </si>
  <si>
    <t>Johanna.aravena@nutrisco.com</t>
  </si>
  <si>
    <t>johanna.aravena.aguila.23@gmail.com</t>
  </si>
  <si>
    <t>Aravena Aguila Johanna Andrea</t>
  </si>
  <si>
    <t>Asistente Contable</t>
  </si>
  <si>
    <t>20.676.833-9</t>
  </si>
  <si>
    <t>dominique.moreno@nutrisco.com</t>
  </si>
  <si>
    <t>dominique.moreno.castillo@gmail.com</t>
  </si>
  <si>
    <t>Castillo Moreno Dominique Ines</t>
  </si>
  <si>
    <t>7.774.833-4</t>
  </si>
  <si>
    <t>daphne.echaiz@nutrisco.com</t>
  </si>
  <si>
    <t>ivon.echaiz@yahoo.com</t>
  </si>
  <si>
    <t>Echaiz Vidal Daphne</t>
  </si>
  <si>
    <t>11.947.432-9</t>
  </si>
  <si>
    <t>olga.cortez@orizon.cl</t>
  </si>
  <si>
    <t>olgacortez@gmail.com</t>
  </si>
  <si>
    <t>Cortez Avendaño Olga Angelica</t>
  </si>
  <si>
    <t>Asistente Credito Y Cobranza</t>
  </si>
  <si>
    <t>12.416.770-1</t>
  </si>
  <si>
    <t>joan.jimenez@orizon.cl</t>
  </si>
  <si>
    <t>matelo32@hotmail.com</t>
  </si>
  <si>
    <t>Jimenez Moraga Joan Marcelo</t>
  </si>
  <si>
    <t>17.599.746-6</t>
  </si>
  <si>
    <t>elias.nunez@nutrisco.com</t>
  </si>
  <si>
    <t>eliasignacio90@gmail.com</t>
  </si>
  <si>
    <t>Nuñez Mardorf Elias Ignacio</t>
  </si>
  <si>
    <t>19.090.327-3</t>
  </si>
  <si>
    <t>andres.correa@nutrisco.com</t>
  </si>
  <si>
    <t>ancorreap@gmail.com</t>
  </si>
  <si>
    <t>Correa Pacheco Andres Israel</t>
  </si>
  <si>
    <t>Asistente Customer</t>
  </si>
  <si>
    <t>17.814.866-4</t>
  </si>
  <si>
    <t>daniela.cordero@nutrisco.com</t>
  </si>
  <si>
    <t>danni.cord30@gmail.com</t>
  </si>
  <si>
    <t>Cordero Abarca Daniela Fabiola</t>
  </si>
  <si>
    <t>19.489.003-6</t>
  </si>
  <si>
    <t>constanza.santander@nutrisco.com</t>
  </si>
  <si>
    <t>constanza.asantander@gmail.com</t>
  </si>
  <si>
    <t>Santander Arancibia Constanza Angelica</t>
  </si>
  <si>
    <t>17.182.681-0</t>
  </si>
  <si>
    <t>pablo.solis@nutrisco.com</t>
  </si>
  <si>
    <t>pablosolisbe@gmail.com</t>
  </si>
  <si>
    <t>Solis Bello Pablo Andres</t>
  </si>
  <si>
    <t>10.790.134-5</t>
  </si>
  <si>
    <t>monica.barrera@orizon.cl</t>
  </si>
  <si>
    <t>barreraperezmonica1@gmail.com</t>
  </si>
  <si>
    <t>Barrera Perez Monica Elena</t>
  </si>
  <si>
    <t>Asistente De Bahia</t>
  </si>
  <si>
    <t>Claudia Eliana Madariaga Araya</t>
  </si>
  <si>
    <t>16.307.467-2</t>
  </si>
  <si>
    <t>carla.vega@orizon.cl</t>
  </si>
  <si>
    <t>honcha_86@hotmail.com</t>
  </si>
  <si>
    <t>Vega Ortiz Carla Valeska</t>
  </si>
  <si>
    <t>15.756.160-k</t>
  </si>
  <si>
    <t>nadia.santander@orizon.cl</t>
  </si>
  <si>
    <t>nadiasantandersanchez@gmail.com</t>
  </si>
  <si>
    <t>Santander Sanchez Nadia Del Carmen</t>
  </si>
  <si>
    <t>Asistente De Bahia Y Flota</t>
  </si>
  <si>
    <t>Jorge Andres Buzeta Negroni</t>
  </si>
  <si>
    <t>12.049.689-1</t>
  </si>
  <si>
    <t>marcela.garciatello@nutrisco.com</t>
  </si>
  <si>
    <t>marcela.garcia.tello.szkarlat@gmail.com</t>
  </si>
  <si>
    <t>Garcia-Tello Szkarlat Marcela Paula</t>
  </si>
  <si>
    <t>Asistente De Gerencia General</t>
  </si>
  <si>
    <t>Rigoberto Rojo Rojas</t>
  </si>
  <si>
    <t>25.808.641-4</t>
  </si>
  <si>
    <t>jose.peraza@orizon.cl</t>
  </si>
  <si>
    <t>jperaza_79@hotmail.com</t>
  </si>
  <si>
    <t>Peraza Vargas Jose Elisaac</t>
  </si>
  <si>
    <t>Asistente De Logistica</t>
  </si>
  <si>
    <t>Argentino Federico Mendez Vasquez</t>
  </si>
  <si>
    <t>Gerencia Sales Harinas y Aceite</t>
  </si>
  <si>
    <t>13.725.991-5</t>
  </si>
  <si>
    <t>pamela.crisosto@orizon.cl</t>
  </si>
  <si>
    <t>pamelacrisosto@gmail.com</t>
  </si>
  <si>
    <t>Crisosto Robles Pamela Georgina</t>
  </si>
  <si>
    <t>Asistente Logistico</t>
  </si>
  <si>
    <t>17.444.480-3</t>
  </si>
  <si>
    <t>rodrigo.pavez@nutrisco.com</t>
  </si>
  <si>
    <t>rodrigo.pavezv@gmail.com</t>
  </si>
  <si>
    <t>Pavez Vera Rodrigo Alejandro</t>
  </si>
  <si>
    <t>17.043.704-7</t>
  </si>
  <si>
    <t>vanessa.aguilera@nutrisco.com</t>
  </si>
  <si>
    <t>vanetic101@gmail.com</t>
  </si>
  <si>
    <t>Aguilera Carrasco Vanessa Isabel</t>
  </si>
  <si>
    <t>18.817.164-8</t>
  </si>
  <si>
    <t>maria.cuevas@nutrisco.com</t>
  </si>
  <si>
    <t>mariacuevas.d@gmail.com</t>
  </si>
  <si>
    <t>Cuevas De La Fuente Maria Cristina</t>
  </si>
  <si>
    <t>19.110.696-2</t>
  </si>
  <si>
    <t>paula.cuevas@nutrisco.com</t>
  </si>
  <si>
    <t>paulicb96@gmail.com</t>
  </si>
  <si>
    <t>Cuevas Briones Paula Alejandra</t>
  </si>
  <si>
    <t>Gerencia Planificacion</t>
  </si>
  <si>
    <t>17.208.678-0</t>
  </si>
  <si>
    <t>brian.moscoso@nutrisco.com</t>
  </si>
  <si>
    <t>bmoscoso11@gmail.com</t>
  </si>
  <si>
    <t>Moscoso Urbina Brian Alexis</t>
  </si>
  <si>
    <t>12.923.725-2</t>
  </si>
  <si>
    <t>ines.osorio@nutrisco.com</t>
  </si>
  <si>
    <t>inesosoriomedina75@gmail.com</t>
  </si>
  <si>
    <t>Osorio Medina Grecia Ines</t>
  </si>
  <si>
    <t>20.393.490-4</t>
  </si>
  <si>
    <t>francisco.rojas@nutrisco.com</t>
  </si>
  <si>
    <t>rojasgonzalezf18@gmail.com</t>
  </si>
  <si>
    <t>Rojas Gonzalez Francisco Javier</t>
  </si>
  <si>
    <t>10.266.617-8</t>
  </si>
  <si>
    <t>dagoberto.yevenes@nutrisco.com</t>
  </si>
  <si>
    <t>dagoyevenes2@gmail.com</t>
  </si>
  <si>
    <t>Yevenes Muñoz Dagoberto</t>
  </si>
  <si>
    <t>19.297.306-6</t>
  </si>
  <si>
    <t>abigail.zambrano@nutrisco.com</t>
  </si>
  <si>
    <t>Abigail441996@gmail.com</t>
  </si>
  <si>
    <t>Zambrano Pinela Abigail Rocio</t>
  </si>
  <si>
    <t>9.505.249-5</t>
  </si>
  <si>
    <t>luis.lopez@nutrisco.com</t>
  </si>
  <si>
    <t>llopezseba2001@gmail.com</t>
  </si>
  <si>
    <t>Lopez Olivares Luis Fernando</t>
  </si>
  <si>
    <t>26.443.363-0</t>
  </si>
  <si>
    <t>carlos.chacon@orizon.cl</t>
  </si>
  <si>
    <t>Carlosch9609@gmail.com</t>
  </si>
  <si>
    <t>Chacon Quintero Carlos Eduardo Junior</t>
  </si>
  <si>
    <t>Ivette Angelica Bustos Jara</t>
  </si>
  <si>
    <t>17.573.894-0</t>
  </si>
  <si>
    <t>maritza.suazo@orizon.cl</t>
  </si>
  <si>
    <t>s.maritza1990@gmail.com</t>
  </si>
  <si>
    <t>Suazo Suazo Maritza Soledad</t>
  </si>
  <si>
    <t>Asistente Logistico I</t>
  </si>
  <si>
    <t>20.149.363-3</t>
  </si>
  <si>
    <t>Moralesp.giovannig@gmail.com</t>
  </si>
  <si>
    <t>Morales Prado Giovanni Gabriel</t>
  </si>
  <si>
    <t>14.377.145-8</t>
  </si>
  <si>
    <t>luis.reyes@orizon.cl</t>
  </si>
  <si>
    <t>btoreyes@gmail.com</t>
  </si>
  <si>
    <t>Reyes Valeria Luis Alberto</t>
  </si>
  <si>
    <t>19.799.362-6</t>
  </si>
  <si>
    <t>pablo.pinto@orizon.cl</t>
  </si>
  <si>
    <t>pablopintojofre@gmail.com</t>
  </si>
  <si>
    <t>Pinto Jofre Pablo Ignacio</t>
  </si>
  <si>
    <t>20.195.336-7</t>
  </si>
  <si>
    <t>carolinacabreraortega@gmail.com</t>
  </si>
  <si>
    <t>Cabrera Ortega Carolina Belen</t>
  </si>
  <si>
    <t>20.903.569-3</t>
  </si>
  <si>
    <t>fnicolasbenavente88@gmail.com</t>
  </si>
  <si>
    <t>Benavente Saez Fernando Nicolas</t>
  </si>
  <si>
    <t>19.827.439-9</t>
  </si>
  <si>
    <t>constanza.aburto.0303@gmail.com</t>
  </si>
  <si>
    <t>Aburto Vasquez Constanza Andrea</t>
  </si>
  <si>
    <t>18.138.028-4</t>
  </si>
  <si>
    <t>viviana.solange.tc@gmail.com</t>
  </si>
  <si>
    <t>Tapia Cid Viviana Solange</t>
  </si>
  <si>
    <t>26.604.004-0</t>
  </si>
  <si>
    <t>luisana.estrada@orizon.cl</t>
  </si>
  <si>
    <t>estradaluisana1996@gmail.com</t>
  </si>
  <si>
    <t>Estrada Duran Luisana Emilia</t>
  </si>
  <si>
    <t>Asistente Produccion</t>
  </si>
  <si>
    <t>Roberto Carlos Carcamo Ojeda</t>
  </si>
  <si>
    <t>9.713.420-0</t>
  </si>
  <si>
    <t>guillermo.ramirez@orizon.cl</t>
  </si>
  <si>
    <t>gramirezr1965@gmail.com</t>
  </si>
  <si>
    <t>Ramirez Rodriguez Guillermo Elias</t>
  </si>
  <si>
    <t>16.038.547-2</t>
  </si>
  <si>
    <t>Herrera Araya Cristian Alexis</t>
  </si>
  <si>
    <t>Aspirante Tripulante</t>
  </si>
  <si>
    <t>Obra</t>
  </si>
  <si>
    <t>15.614.411-8</t>
  </si>
  <si>
    <t>carlos.ruiz@orizon.cl</t>
  </si>
  <si>
    <t>carlosruizlagos@gmail.com</t>
  </si>
  <si>
    <t>Ruiz Lagos Carlos Felipe</t>
  </si>
  <si>
    <t>Auditor(A) De Servicios</t>
  </si>
  <si>
    <t>11.722.500-3</t>
  </si>
  <si>
    <t>jorge.oyarzun@orizon.cl</t>
  </si>
  <si>
    <t>joya1807@hotmail.com</t>
  </si>
  <si>
    <t>Oyarzun Araya Jorge Andres</t>
  </si>
  <si>
    <t>13.685.377-5</t>
  </si>
  <si>
    <t>javier.dominguez@nutrisco.com</t>
  </si>
  <si>
    <t>javierdominguez.garrido@gmail.com</t>
  </si>
  <si>
    <t>Dominguez Garrido Javier</t>
  </si>
  <si>
    <t>Auditor(A) Interno</t>
  </si>
  <si>
    <t>15.529.692-5</t>
  </si>
  <si>
    <t>cristian.lefimil@orizon.cl</t>
  </si>
  <si>
    <t>calglefi@gmail.com</t>
  </si>
  <si>
    <t>Lefimil Gonzalez Cristian Armando</t>
  </si>
  <si>
    <t>Auditor(A) Junior</t>
  </si>
  <si>
    <t>Carlos Felipe Ruiz Lagos</t>
  </si>
  <si>
    <t>12.039.485-1</t>
  </si>
  <si>
    <t>alex.diaz@orizon.cl</t>
  </si>
  <si>
    <t>DINGO669@HOTMAIL.COM</t>
  </si>
  <si>
    <t>Diaz Rubilar Alex Esteban</t>
  </si>
  <si>
    <t>Auxiliar Administrativo</t>
  </si>
  <si>
    <t>Rodrigo Alejandro Jofré Valdebenito</t>
  </si>
  <si>
    <t>17.444.650-4</t>
  </si>
  <si>
    <t>pili1744465042211@gmail.com</t>
  </si>
  <si>
    <t>Guerrero Vega Ingrid Del Pilar</t>
  </si>
  <si>
    <t>Auxiliar Aseo</t>
  </si>
  <si>
    <t>17.232.589-0</t>
  </si>
  <si>
    <t>andreaguajardo1111@gmail.com</t>
  </si>
  <si>
    <t>Meneses Guajardo Margarita Andrea</t>
  </si>
  <si>
    <t>8.978.847-1</t>
  </si>
  <si>
    <t>pedroconchagutierrez19@gmail.com</t>
  </si>
  <si>
    <t>Concha Gutierrez Pedro Pablo</t>
  </si>
  <si>
    <t>Ayudante Bodega Pt</t>
  </si>
  <si>
    <t>Luis Javier Piñones Segovia</t>
  </si>
  <si>
    <t>14.131.725-3</t>
  </si>
  <si>
    <t>ivanf6587@gmail.com</t>
  </si>
  <si>
    <t>Flores Galleguillos Ivan Andres</t>
  </si>
  <si>
    <t>14.385.954-1</t>
  </si>
  <si>
    <t>ulises730@gmail.com</t>
  </si>
  <si>
    <t>Galvez Alfaro Ulises Andres</t>
  </si>
  <si>
    <t>17.624.797-5</t>
  </si>
  <si>
    <t>danieltapia.m90@gmail.com</t>
  </si>
  <si>
    <t>Tapia Miranda Daniel Jordan Constantino</t>
  </si>
  <si>
    <t>19.310.405-3</t>
  </si>
  <si>
    <t>carolina.varas@orizon.cl</t>
  </si>
  <si>
    <t>carolina.varasd@gmail.com</t>
  </si>
  <si>
    <t>Varas Dominguez Maria Carolina</t>
  </si>
  <si>
    <t>Brand Manager</t>
  </si>
  <si>
    <t>Maria Jose Monso Pendola</t>
  </si>
  <si>
    <t>16.657.109-k</t>
  </si>
  <si>
    <t>estefania.bernasconi@nutrisco.com</t>
  </si>
  <si>
    <t>estefania.bernasconi@gmail.com</t>
  </si>
  <si>
    <t>Bernasconi Stange Estefania Isabel</t>
  </si>
  <si>
    <t>19.076.929-1</t>
  </si>
  <si>
    <t>tomas.oelckers@nutrisco.com</t>
  </si>
  <si>
    <t>tomasoel@gmail.com</t>
  </si>
  <si>
    <t>Oelckers Abogabir Tomas</t>
  </si>
  <si>
    <t>Business Partner Bi</t>
  </si>
  <si>
    <t>14.062.615-5</t>
  </si>
  <si>
    <t>rbustosmunoz@gmail.com</t>
  </si>
  <si>
    <t>Bustos Muñoz Ruben Alberto Abenet</t>
  </si>
  <si>
    <t>19.281.385-9</t>
  </si>
  <si>
    <t>kevin.monsalvez08@gmail.com</t>
  </si>
  <si>
    <t>Monsalvez Muñoz Kevin Rodrigo</t>
  </si>
  <si>
    <t>15.194.120-6</t>
  </si>
  <si>
    <t>jaraoperador1983@gmail.com</t>
  </si>
  <si>
    <t>Jara Delgado Joel Alejandro</t>
  </si>
  <si>
    <t>Carla Eugenia Roca Galindo</t>
  </si>
  <si>
    <t>17.223.093-8</t>
  </si>
  <si>
    <t>panxo_5bass@hotmail.com</t>
  </si>
  <si>
    <t>Flores Alarcon Francisco Javier</t>
  </si>
  <si>
    <t>10.759.309-8</t>
  </si>
  <si>
    <t>rodrigo.faundez@hotmail.com</t>
  </si>
  <si>
    <t>Faundez Aceiton Rodrigo Cristian</t>
  </si>
  <si>
    <t>Felipe Andres Gomez Fernandez</t>
  </si>
  <si>
    <t>8.236.485-4</t>
  </si>
  <si>
    <t>mauricioelizalde911@gmail.com</t>
  </si>
  <si>
    <t>Carrasco Elizalde Eduardo Mauricio</t>
  </si>
  <si>
    <t>15.189.977-3</t>
  </si>
  <si>
    <t>novoaedgardo80@gmail.com</t>
  </si>
  <si>
    <t>Novoa Rebolledo Edgardo Francisco Javier</t>
  </si>
  <si>
    <t>12.304.526-2</t>
  </si>
  <si>
    <t>anahernandezt@hotmail.com</t>
  </si>
  <si>
    <t>Hernandez Toledo Ana Rosa</t>
  </si>
  <si>
    <t>15.529.287-3</t>
  </si>
  <si>
    <t>MAURICIOALEJANDROHG@GMAIL.COM</t>
  </si>
  <si>
    <t>Hidalgo Garcia Mauricio Alejandro</t>
  </si>
  <si>
    <t>12.083.031-7</t>
  </si>
  <si>
    <t>WALTERHUGO.Z68@GMAIL.COM</t>
  </si>
  <si>
    <t>Zapata Vidal Walter Hugo</t>
  </si>
  <si>
    <t>18.135.326-0</t>
  </si>
  <si>
    <t>leandroruben2016@gmail.com</t>
  </si>
  <si>
    <t>Muñoz Ruiz Rodrigo Leandro</t>
  </si>
  <si>
    <t>19.916.041-9</t>
  </si>
  <si>
    <t>salomonbelmar@gmail.com</t>
  </si>
  <si>
    <t>Belmar Novack Francisco Salomon</t>
  </si>
  <si>
    <t>18.137.350-4</t>
  </si>
  <si>
    <t>mauriciocifuentes300@gmail.com</t>
  </si>
  <si>
    <t>Cifuentes Aguilar Mauricio Alejandro</t>
  </si>
  <si>
    <t>26.506.303-9</t>
  </si>
  <si>
    <t>rossopulido@gmail.com</t>
  </si>
  <si>
    <t>Galaviz Pulido Roso</t>
  </si>
  <si>
    <t>18.500.450-3</t>
  </si>
  <si>
    <t>joaquin.alonso23@hotmail.com</t>
  </si>
  <si>
    <t>Fredes Fuentes Juan Alberto</t>
  </si>
  <si>
    <t>18.746.139-1</t>
  </si>
  <si>
    <t>remigiopazm95@gmail.com</t>
  </si>
  <si>
    <t>Paz Molina Remigio Alfonso</t>
  </si>
  <si>
    <t>17.044.366-7</t>
  </si>
  <si>
    <t>ricardo.parra1212@gmail.com</t>
  </si>
  <si>
    <t>Parra Sanchez Ricardo Javier</t>
  </si>
  <si>
    <t>19.853.740-3</t>
  </si>
  <si>
    <t>DORIAN28_MORENO@HOTMAIL.COM</t>
  </si>
  <si>
    <t>Moreno Hernandez Dorian</t>
  </si>
  <si>
    <t>16.513.558-k</t>
  </si>
  <si>
    <t>ale.roberto.araya@gmail.com</t>
  </si>
  <si>
    <t>Araya Reyes Roberto Alejandro</t>
  </si>
  <si>
    <t>18.821.221-2</t>
  </si>
  <si>
    <t>fabianrg4594@gmail.com</t>
  </si>
  <si>
    <t>Rivas Garrido Fabian Alexander</t>
  </si>
  <si>
    <t>17.947.008-k</t>
  </si>
  <si>
    <t>RAMON-GARCIA1@LIVE.COM</t>
  </si>
  <si>
    <t>Garcia Lazarte Ramon Sebastian</t>
  </si>
  <si>
    <t>19.816.674-k</t>
  </si>
  <si>
    <t>alfredogarrido123@gmail.com</t>
  </si>
  <si>
    <t>Garrido Castillo Alfredo Ignacio</t>
  </si>
  <si>
    <t>18.419.696-4</t>
  </si>
  <si>
    <t>jean.marquez@virginiogomez.cl</t>
  </si>
  <si>
    <t>Marquez Hernandez Jean Paul Edison</t>
  </si>
  <si>
    <t>20.915.006-9</t>
  </si>
  <si>
    <t>ianflvres@gmail.com</t>
  </si>
  <si>
    <t>Flores Sepulveda Ian Sebastian</t>
  </si>
  <si>
    <t>10.842.158-4</t>
  </si>
  <si>
    <t>mario.martinez@orizon.cl</t>
  </si>
  <si>
    <t>mariomartinez2422@gmail.com</t>
  </si>
  <si>
    <t>Martinez Gutierrez Mario Rolando</t>
  </si>
  <si>
    <t>Capitan</t>
  </si>
  <si>
    <t>7.448.220-1</t>
  </si>
  <si>
    <t>abdel.ahuile@orizon.cl</t>
  </si>
  <si>
    <t>abdel.ahuile@gmail.com</t>
  </si>
  <si>
    <t>Ahuile Gorayeb Abdel Nayib</t>
  </si>
  <si>
    <t>8.284.012-5</t>
  </si>
  <si>
    <t>eduardo.gonzalez@orizon.cl</t>
  </si>
  <si>
    <t>eduardopatagual.88@gmail.com</t>
  </si>
  <si>
    <t>Gonzalez Martinez Eduardo Esteban</t>
  </si>
  <si>
    <t>8.628.737-4</t>
  </si>
  <si>
    <t>jose.daza@orizon.cl</t>
  </si>
  <si>
    <t>jdaza7@gmail.com</t>
  </si>
  <si>
    <t>Daza Pincheira Jose Fernando</t>
  </si>
  <si>
    <t>8.831.968-0</t>
  </si>
  <si>
    <t>elvis.macaya@orizon.cl</t>
  </si>
  <si>
    <t>elvis_macaya@hotmail.com</t>
  </si>
  <si>
    <t>Macaya Mendez Elvis Daniel</t>
  </si>
  <si>
    <t>9.450.434-1</t>
  </si>
  <si>
    <t>carlosmunoz311263@gmail.com</t>
  </si>
  <si>
    <t>Muñoz Cortes Carlos Enrique</t>
  </si>
  <si>
    <t>6.146.371-2</t>
  </si>
  <si>
    <t>carlos.varela@nutrisco.com</t>
  </si>
  <si>
    <t>carlos030159@hotmail.com</t>
  </si>
  <si>
    <t>Varela Artigues Carlos Alberto</t>
  </si>
  <si>
    <t>19.139.317-1</t>
  </si>
  <si>
    <t>constanza.herrera@nutrisco.com</t>
  </si>
  <si>
    <t>constanzaherrerabello@gmail.com</t>
  </si>
  <si>
    <t>Herrera Bello Constanza Belen</t>
  </si>
  <si>
    <t>Category Manager</t>
  </si>
  <si>
    <t>Barbara Michelle Aguilera Hormazabal</t>
  </si>
  <si>
    <t>Gerencia Abastecimiento</t>
  </si>
  <si>
    <t>16.286.387-8</t>
  </si>
  <si>
    <t>victor.ruiz@nutrisco.com</t>
  </si>
  <si>
    <t>victorruizgonzalez54@gmail.com</t>
  </si>
  <si>
    <t>Ruiz Gonzalez Victor Hugo</t>
  </si>
  <si>
    <t>Andrés Agustín Morales Ríos</t>
  </si>
  <si>
    <t>18.405.846-4</t>
  </si>
  <si>
    <t>cristobal.poblete@nutrisco.com</t>
  </si>
  <si>
    <t>cpoblete.93@gmail.com</t>
  </si>
  <si>
    <t>Poblete Castillo Cristóbal Octavio</t>
  </si>
  <si>
    <t>19.334.148-9</t>
  </si>
  <si>
    <t>matias.stormansan@nutrisco.com</t>
  </si>
  <si>
    <t>ignatias.stormansan@gmail.com</t>
  </si>
  <si>
    <t>Stormansan Aravena Matias Ignacio</t>
  </si>
  <si>
    <t>25.197.702-k</t>
  </si>
  <si>
    <t>blanca.gimenez@orizon.cl</t>
  </si>
  <si>
    <t>b.gimenez26@gmail.com</t>
  </si>
  <si>
    <t>Gimenez Sanchez Blanca Andreina</t>
  </si>
  <si>
    <t>Category Manager Negocios Internacionales</t>
  </si>
  <si>
    <t>M.Florencia Barua .</t>
  </si>
  <si>
    <t>10.472.799-9</t>
  </si>
  <si>
    <t>pleonardi.r@gmail.com</t>
  </si>
  <si>
    <t>Leonardi Rodriguez Pedro Eduardo</t>
  </si>
  <si>
    <t>Chofer</t>
  </si>
  <si>
    <t>Ludwig Helmuth Ziller Antonucci</t>
  </si>
  <si>
    <t>8.132.678-9</t>
  </si>
  <si>
    <t>ramonandrades.e@gmail.com</t>
  </si>
  <si>
    <t>Andrade Echeverria Ramon Alberto</t>
  </si>
  <si>
    <t>Omar Alvarez Vliegenthart</t>
  </si>
  <si>
    <t>6.952.996-8</t>
  </si>
  <si>
    <t>F6</t>
  </si>
  <si>
    <t>patricio.arias.flores@gmail.com</t>
  </si>
  <si>
    <t>Arias Flores Patricio Del Carmen</t>
  </si>
  <si>
    <t>16.999.638-5</t>
  </si>
  <si>
    <t>francisco.roger@nutrisco.com</t>
  </si>
  <si>
    <t>roger.shade@gmail.com</t>
  </si>
  <si>
    <t>Roger Leal Francisco Eduardo</t>
  </si>
  <si>
    <t>Comprador De Bienes Senior</t>
  </si>
  <si>
    <t>17.955.739-8</t>
  </si>
  <si>
    <t>ignacio.caceres@nutrisco.com</t>
  </si>
  <si>
    <t>ignacio.caceres.irribarra@gmail.com</t>
  </si>
  <si>
    <t>Caceres Irribarra Ignacio Sebastian</t>
  </si>
  <si>
    <t>Comprador(A) Servicios</t>
  </si>
  <si>
    <t>Rodolfo Andres Vidal Saez</t>
  </si>
  <si>
    <t>13.510.666-6</t>
  </si>
  <si>
    <t>boris.soto@nutrisco.com</t>
  </si>
  <si>
    <t>boris.soto@orizon.cl</t>
  </si>
  <si>
    <t>Soto Luna Boris Leonardo</t>
  </si>
  <si>
    <t>10.875.609-8</t>
  </si>
  <si>
    <t>alejandro.parada@nutrisco.com</t>
  </si>
  <si>
    <t>alejandroparada123@gmail.com</t>
  </si>
  <si>
    <t>Parada Iturra Alejandro Antonio</t>
  </si>
  <si>
    <t>12.871.421-9</t>
  </si>
  <si>
    <t>gonzalo.williams@nutrisco.com</t>
  </si>
  <si>
    <t>G.WILLIAMS.R@GMAIL.COM</t>
  </si>
  <si>
    <t>Williams Retamal Gonzalo Enrique</t>
  </si>
  <si>
    <t>15.923.435-5</t>
  </si>
  <si>
    <t>david.cespedes@nutrisco.com</t>
  </si>
  <si>
    <t>dcespedescontreras@gmail.com</t>
  </si>
  <si>
    <t>Cespedes Contreras David Andres</t>
  </si>
  <si>
    <t>Sebastian Andres Cardenas Hermosilla</t>
  </si>
  <si>
    <t>18.413.121-8</t>
  </si>
  <si>
    <t>teresa.letelier@nutrisco.com</t>
  </si>
  <si>
    <t>teresaletelierl@gmail.com</t>
  </si>
  <si>
    <t>Letelier Letelier Teresa Andrea</t>
  </si>
  <si>
    <t>11.347.977-9</t>
  </si>
  <si>
    <t>pablo.rufin@nutrisco.com</t>
  </si>
  <si>
    <t>pablorufin45@gmail.com</t>
  </si>
  <si>
    <t>Rufin Barbieri Pablo Gaston</t>
  </si>
  <si>
    <t>Comprador(A) Trading</t>
  </si>
  <si>
    <t>Pedro Luis Poblete Pacheco</t>
  </si>
  <si>
    <t>Gerencia Comercial Seafood y Trading</t>
  </si>
  <si>
    <t>Puerto Montt</t>
  </si>
  <si>
    <t>26.125.254-6</t>
  </si>
  <si>
    <t>roshug.querales@nutrisco.com</t>
  </si>
  <si>
    <t>roshug@gmail.com</t>
  </si>
  <si>
    <t>Querales Rodriguez Roshug Carolina</t>
  </si>
  <si>
    <t>19.893.777-0</t>
  </si>
  <si>
    <t>santiago.albornoz@nutrisco.com</t>
  </si>
  <si>
    <t>s.albornoz98@gmail.com</t>
  </si>
  <si>
    <t>Albornoz Cruz Santiago Jose</t>
  </si>
  <si>
    <t>19.963.738-k</t>
  </si>
  <si>
    <t>facundo.ferrari@nutrisco.com</t>
  </si>
  <si>
    <t>faferrari@alumnos.uai.cl</t>
  </si>
  <si>
    <t>Ferrari Aguilera Facundo Jose</t>
  </si>
  <si>
    <t>10.410.861-k</t>
  </si>
  <si>
    <t>Rivasbarravicente@gmail.com</t>
  </si>
  <si>
    <t>Rivas Barra Vicente Antenor</t>
  </si>
  <si>
    <t>Contramaestre</t>
  </si>
  <si>
    <t>Abdel Nayib Ahuile Gorayeb</t>
  </si>
  <si>
    <t>12.302.841-4</t>
  </si>
  <si>
    <t>davido_38@hotmail.es</t>
  </si>
  <si>
    <t>Olivares Fritz David Alfonso</t>
  </si>
  <si>
    <t>Elvis Daniel Macaya Mendez</t>
  </si>
  <si>
    <t>12.530.332-3</t>
  </si>
  <si>
    <t>oriel.sarzoza.s@gmail.com</t>
  </si>
  <si>
    <t>Sarzoza Sanzana Oriel Isaac</t>
  </si>
  <si>
    <t>Mario Rolando Martinez Gutierrez</t>
  </si>
  <si>
    <t>15.647.757-5</t>
  </si>
  <si>
    <t>victorcernapa53@gmail.com</t>
  </si>
  <si>
    <t>Cerna Pincheira Victor Manuel</t>
  </si>
  <si>
    <t>9.274.433-7</t>
  </si>
  <si>
    <t>jaltamiranos1964@gmail.com</t>
  </si>
  <si>
    <t>Altamirano Saez Juan Eugenio</t>
  </si>
  <si>
    <t>9.310.987-2</t>
  </si>
  <si>
    <t>andres.aguila.ubilla@gmail.com</t>
  </si>
  <si>
    <t>Aguila Ubilla Andres Alberto</t>
  </si>
  <si>
    <t>9.753.137-4</t>
  </si>
  <si>
    <t>fmanriquezd@gmail.com</t>
  </si>
  <si>
    <t>Manriquez Duran Fabian Gustavo</t>
  </si>
  <si>
    <t>7.729.555-0</t>
  </si>
  <si>
    <t>r.e.ramirezflores@gmail.com</t>
  </si>
  <si>
    <t>Ramirez Flores Ramiro Eduardo</t>
  </si>
  <si>
    <t>17.899.581-2</t>
  </si>
  <si>
    <t>belen.bastias@nutrisco.com</t>
  </si>
  <si>
    <t>belenbastiashurtado@gmail.com</t>
  </si>
  <si>
    <t>Bastias Hurtado Jamilet Belen</t>
  </si>
  <si>
    <t>Coordinador(A) Atencion Personas</t>
  </si>
  <si>
    <t>18.388.328-3</t>
  </si>
  <si>
    <t>marioly.fuentes@orizon.cl</t>
  </si>
  <si>
    <t>mariolyf.fuentealba@gmail.com</t>
  </si>
  <si>
    <t>Fuentes Fuentealba Marioly Andrea</t>
  </si>
  <si>
    <t>18.390.137-0</t>
  </si>
  <si>
    <t>johnny.riquelme@orizon.cl</t>
  </si>
  <si>
    <t>johnnyriquelme7@gmail.com</t>
  </si>
  <si>
    <t>Riquelme Becerra Johnny Andres</t>
  </si>
  <si>
    <t>18.069.794-2</t>
  </si>
  <si>
    <t>gustavo.retamal@nutrisco.com</t>
  </si>
  <si>
    <t>gustavoretamalvillegas@gmail.com</t>
  </si>
  <si>
    <t>Retamal Villegas Gustavo Alberto</t>
  </si>
  <si>
    <t>17.454.067-5</t>
  </si>
  <si>
    <t>rodolfo.vidal@nutrisco.com</t>
  </si>
  <si>
    <t>rodolfo.vidalsaez@gmail.com</t>
  </si>
  <si>
    <t>Vidal Saez Rodolfo Andres</t>
  </si>
  <si>
    <t>Coordinador(A) De Servicios</t>
  </si>
  <si>
    <t>9.331.924-9</t>
  </si>
  <si>
    <t>jose.hernandezv@orizon.cl</t>
  </si>
  <si>
    <t>jhernandezvillegas21@gmail.com</t>
  </si>
  <si>
    <t>Hernandez Villegas Jose Enrique</t>
  </si>
  <si>
    <t>Coordinador(A) Logistico</t>
  </si>
  <si>
    <t>Sergio Rolando Berrocal Muñoz</t>
  </si>
  <si>
    <t>19.714.286-3</t>
  </si>
  <si>
    <t>javiera.munoz@nutrisco.com</t>
  </si>
  <si>
    <t>javitamuca@gmail.com</t>
  </si>
  <si>
    <t>Muñoz Campos Javiera Scarlet</t>
  </si>
  <si>
    <t>Coordinador(A) Sostenibilidad Y Comunidades</t>
  </si>
  <si>
    <t>Ada Karina Soto Merino</t>
  </si>
  <si>
    <t>Relacionamiento Comunitario</t>
  </si>
  <si>
    <t>20.901.811-k</t>
  </si>
  <si>
    <t>santiago.gonzalez@nutrisco.com</t>
  </si>
  <si>
    <t>ssgonzalez@uc.cl</t>
  </si>
  <si>
    <t>Gonzalez Kunstmann Santiago Jose</t>
  </si>
  <si>
    <t>Data Analyst</t>
  </si>
  <si>
    <t>15.412.817-4</t>
  </si>
  <si>
    <t>rene.espinoza@nutrisco.com</t>
  </si>
  <si>
    <t>rene.espinozaguerra1982@gmail.com</t>
  </si>
  <si>
    <t>Espinoza Guerra Rene Marcelo</t>
  </si>
  <si>
    <t>Demand Planner Senior</t>
  </si>
  <si>
    <t>Denisse Isabel Fuentes Bello</t>
  </si>
  <si>
    <t>19.110.255-k</t>
  </si>
  <si>
    <t>yaritza.mendoza@orizon.cl</t>
  </si>
  <si>
    <t>yaritza.dmb@gmail.com</t>
  </si>
  <si>
    <t>Mendoza Bastias Yaritza Deyanira</t>
  </si>
  <si>
    <t>Despachador(A) Logistico</t>
  </si>
  <si>
    <t>16.138.010-5</t>
  </si>
  <si>
    <t>robinson.saldias@orizon.cl</t>
  </si>
  <si>
    <t>robinsonsaldias.s@gmail.com</t>
  </si>
  <si>
    <t>Saldias Soto Robinson Antonio</t>
  </si>
  <si>
    <t>18.445.230-8</t>
  </si>
  <si>
    <t>jose.venegas@orizon.cl</t>
  </si>
  <si>
    <t>venegas.jose19@gmail.com</t>
  </si>
  <si>
    <t>Venegas Herrera Jose Luis</t>
  </si>
  <si>
    <t>19.156.449-9</t>
  </si>
  <si>
    <t>mati.bravos@duocuc.cl</t>
  </si>
  <si>
    <t>Bravo Saavedra Matias Enrique</t>
  </si>
  <si>
    <t>Talcahuano</t>
  </si>
  <si>
    <t>8.083.416-0</t>
  </si>
  <si>
    <t>LUIS.VALLEJOS771@GMAIL.COM</t>
  </si>
  <si>
    <t>Vallejos Nuñez Luis Edelberto</t>
  </si>
  <si>
    <t>Despachador(A) Logistico I</t>
  </si>
  <si>
    <t>8.139.707-4</t>
  </si>
  <si>
    <t>victorhugohg58@gmail.com</t>
  </si>
  <si>
    <t>Herrera Guzman Victor Hugo</t>
  </si>
  <si>
    <t>16.687.660-5</t>
  </si>
  <si>
    <t>gabriel.miranda@orizon.cl</t>
  </si>
  <si>
    <t>zonny10@gmail.com</t>
  </si>
  <si>
    <t>Miranda Muñoz Gabriel Osvaldo</t>
  </si>
  <si>
    <t>19.813.145-8</t>
  </si>
  <si>
    <t>rodrigo.chavez@orizon.cl</t>
  </si>
  <si>
    <t>alexis.rodrigo.ch@gmail.com</t>
  </si>
  <si>
    <t>Chavez Hidalgo Rodrigo Alexis</t>
  </si>
  <si>
    <t>7.954.805-7</t>
  </si>
  <si>
    <t>oscar.fuentes@orizon.cl</t>
  </si>
  <si>
    <t>oscarfuentes029@gmail.com</t>
  </si>
  <si>
    <t>Fuentes Sandaña Oscar Luis</t>
  </si>
  <si>
    <t>9.467.546-4</t>
  </si>
  <si>
    <t>marco.arias@orizon.cl</t>
  </si>
  <si>
    <t>MARCO.ARIASVALDEBENITO@GMAIL.COM</t>
  </si>
  <si>
    <t>Arias Valdebenito Marco Freddy</t>
  </si>
  <si>
    <t>18.731.249-3</t>
  </si>
  <si>
    <t>fernanda.juacida@nutrisco.com</t>
  </si>
  <si>
    <t>fer.juacida@gmail.com</t>
  </si>
  <si>
    <t>Juacida Hernandez Fernanda Paz</t>
  </si>
  <si>
    <t>Diseñadora</t>
  </si>
  <si>
    <t>18.966.639-k</t>
  </si>
  <si>
    <t>gabriela.acevedo@nutrisco.com</t>
  </si>
  <si>
    <t>gabyacevedoj@gmail.com</t>
  </si>
  <si>
    <t>Acevedo Jara Gabriela Francisca</t>
  </si>
  <si>
    <t>Documentacion Exportaciones</t>
  </si>
  <si>
    <t>17.188.462-4</t>
  </si>
  <si>
    <t>D.FIGUEROAPALMA@GMAIL.COM</t>
  </si>
  <si>
    <t>Figueroa Palma Daniel Antonio</t>
  </si>
  <si>
    <t>Ejecutivo Comercio Exterior</t>
  </si>
  <si>
    <t>Javier Andres Millas Fernandez</t>
  </si>
  <si>
    <t>10.803.779-2</t>
  </si>
  <si>
    <t>claudio.acosta@orizon.cl</t>
  </si>
  <si>
    <t>claudio.jas69@gmail.com</t>
  </si>
  <si>
    <t>Acosta Soto Claudio Javier</t>
  </si>
  <si>
    <t>Electrico De Turno</t>
  </si>
  <si>
    <t>Juan Carlos Alarcon Reyes</t>
  </si>
  <si>
    <t>7.702.999-0</t>
  </si>
  <si>
    <t>guillermobeltran0104@gmail.com</t>
  </si>
  <si>
    <t>Beltran Berna Guillermo Patricio</t>
  </si>
  <si>
    <t>11.569.886-9</t>
  </si>
  <si>
    <t>daniel.lavin@orizon.cl</t>
  </si>
  <si>
    <t>lavin87@gmail.com</t>
  </si>
  <si>
    <t>Lavin Saez Daniel Isaac</t>
  </si>
  <si>
    <t>Cesar Antonio Figueroa Huentemil</t>
  </si>
  <si>
    <t>10.109.970-9</t>
  </si>
  <si>
    <t>luisparedesgut.lp@gmail.com</t>
  </si>
  <si>
    <t>Paredes Gutierrez Luis Octavio</t>
  </si>
  <si>
    <t>17.348.936-6</t>
  </si>
  <si>
    <t>ariel.pereira@orizon.cl</t>
  </si>
  <si>
    <t>Ariel.pereirag.n@gmail.com</t>
  </si>
  <si>
    <t>Pereira Gonzalez Ariel Nicolas</t>
  </si>
  <si>
    <t>11.986.122-5</t>
  </si>
  <si>
    <t>gido.gonzalez@gmail.com</t>
  </si>
  <si>
    <t>Gonzalez Toledo Gido Alejandro</t>
  </si>
  <si>
    <t>19.139.733-9</t>
  </si>
  <si>
    <t>bastian.mella@orizon.cl</t>
  </si>
  <si>
    <t>bastian.mella@outlook.com</t>
  </si>
  <si>
    <t>Mella Vasquez Bastian Alejandro</t>
  </si>
  <si>
    <t>10.187.034-0</t>
  </si>
  <si>
    <t>pablo.edison@hotmail.com</t>
  </si>
  <si>
    <t>Vidal Parra Pablo Edison</t>
  </si>
  <si>
    <t>10.360.909-7</t>
  </si>
  <si>
    <t>antoninovarela6723@gmail.com</t>
  </si>
  <si>
    <t>Lamas Varela Darwing Antonino</t>
  </si>
  <si>
    <t>Hugo Javier Cuadra Araya</t>
  </si>
  <si>
    <t>9.433.951-0</t>
  </si>
  <si>
    <t>walbertocasaraya@gmail.com</t>
  </si>
  <si>
    <t>Castillo Araya Wilson Alberto</t>
  </si>
  <si>
    <t>20.406.997-2</t>
  </si>
  <si>
    <t>mariocoar789@gmail.com</t>
  </si>
  <si>
    <t>Cortes Aracena Mario Humberto</t>
  </si>
  <si>
    <t>18.631.900-1</t>
  </si>
  <si>
    <t>sebariel2609@gmail.com</t>
  </si>
  <si>
    <t>Herrera Castro Sebastian Ariel</t>
  </si>
  <si>
    <t>13.393.559-2</t>
  </si>
  <si>
    <t>alexispolmachavez@gmail.com</t>
  </si>
  <si>
    <t>Polma Chavez Alexis Isidro</t>
  </si>
  <si>
    <t>Electrico Flota</t>
  </si>
  <si>
    <t>Alexis Antonio Rivera Perez</t>
  </si>
  <si>
    <t>11.569.964-4</t>
  </si>
  <si>
    <t>sergio.rodriguez@orizon.cl</t>
  </si>
  <si>
    <t>srodriguez_c@hotmail.es</t>
  </si>
  <si>
    <t>Rodriguez Castro Sergio Alejandro</t>
  </si>
  <si>
    <t>Electronico</t>
  </si>
  <si>
    <t>17.182.598-9</t>
  </si>
  <si>
    <t>andres.villa.ortiz@gmail.com</t>
  </si>
  <si>
    <t>Villa Ortiz Andres Alberto</t>
  </si>
  <si>
    <t>9.330.963-4</t>
  </si>
  <si>
    <t>mauri_330@hotmail.com</t>
  </si>
  <si>
    <t>Sanhueza Orellana Luis Mauricio</t>
  </si>
  <si>
    <t>18.592.512-9</t>
  </si>
  <si>
    <t>edison.vidal.espinoza@gmail.com</t>
  </si>
  <si>
    <t>Vidal Espinoza Edison Sebastian Matias</t>
  </si>
  <si>
    <t>Electronico Turno</t>
  </si>
  <si>
    <t>19.595.663-4</t>
  </si>
  <si>
    <t>fabian.torres@orizon.cl</t>
  </si>
  <si>
    <t>fabiantorresc15@gmail.com</t>
  </si>
  <si>
    <t>Torres Cid Fabian Stevens</t>
  </si>
  <si>
    <t>Encargado De Gestion Y Control Produccion</t>
  </si>
  <si>
    <t>16.348.510-9</t>
  </si>
  <si>
    <t>jose.jara@orizon.cl</t>
  </si>
  <si>
    <t>jmigueljarag@gmail.com</t>
  </si>
  <si>
    <t>Jara Gallardo Jose Miguel</t>
  </si>
  <si>
    <t>Encargado De Trazabilidad Y Sistema De Pesaje</t>
  </si>
  <si>
    <t>10.574.565-6</t>
  </si>
  <si>
    <t>pedro.alfaro@orizon.cl</t>
  </si>
  <si>
    <t>quique2.0@hotmail.es</t>
  </si>
  <si>
    <t>Alfaro Flores Pedro Enrique</t>
  </si>
  <si>
    <t>Encargado(A) Bodega Materiales</t>
  </si>
  <si>
    <t>18.433.415-1</t>
  </si>
  <si>
    <t>andres.lopez@orizon.cl</t>
  </si>
  <si>
    <t>andres.lopez.munoz06@gmail.com</t>
  </si>
  <si>
    <t>Lopez Muñoz Andres David Esteban</t>
  </si>
  <si>
    <t>Encargado(A) Calidad Harina</t>
  </si>
  <si>
    <t>Hector Eduardo Oliveros Hormazabal</t>
  </si>
  <si>
    <t>14.422.968-1</t>
  </si>
  <si>
    <t>anita.pavez@orizon.cl</t>
  </si>
  <si>
    <t>anypavezr@gmail.com</t>
  </si>
  <si>
    <t>Pavez Rozas Anita Isabel</t>
  </si>
  <si>
    <t>Encargado(A) Cartera Artesanal</t>
  </si>
  <si>
    <t>9.751.808-4</t>
  </si>
  <si>
    <t>claudio.leon@orizon.cl</t>
  </si>
  <si>
    <t>claudio.live2019@gmail.com</t>
  </si>
  <si>
    <t>Leon Riquelme Claudio Enrique</t>
  </si>
  <si>
    <t>Encargado(a) Control Acceso Terceros</t>
  </si>
  <si>
    <t>13.694.815-6</t>
  </si>
  <si>
    <t>paola.valenzuela@nutrisco.com</t>
  </si>
  <si>
    <t>pvalenzuela260@gmail.com</t>
  </si>
  <si>
    <t>Valenzuela Vera Paola Alejandra</t>
  </si>
  <si>
    <t>Encargado(A) Cuentas Por Pagar</t>
  </si>
  <si>
    <t>8.656.070-4</t>
  </si>
  <si>
    <t>loreto.lazo@orizon.cl</t>
  </si>
  <si>
    <t>loretolazob@gmail.com</t>
  </si>
  <si>
    <t>Lazo Burgos Loreto</t>
  </si>
  <si>
    <t>Encargado(A) De Beneficios</t>
  </si>
  <si>
    <t>Lorena Alejandra Ceballos Chamblas</t>
  </si>
  <si>
    <t>19.812.895-3</t>
  </si>
  <si>
    <t>manuel.alvear@orizon.cl</t>
  </si>
  <si>
    <t>manuelignacio38@gmail.com</t>
  </si>
  <si>
    <t>Alvear Pradena Manuel Ignacio</t>
  </si>
  <si>
    <t>Encargado(A) De Capacitacion</t>
  </si>
  <si>
    <t>Pablo Andres Chovar Muñoz</t>
  </si>
  <si>
    <t>8.076.844-3</t>
  </si>
  <si>
    <t>carlos.novoa@nutrisco.com</t>
  </si>
  <si>
    <t>carlosnovoaca@mail.com</t>
  </si>
  <si>
    <t>Novoa Cartes Carlos Eduardo</t>
  </si>
  <si>
    <t>Encargado(A) De Costos</t>
  </si>
  <si>
    <t>Cristian Arancibia Zarate</t>
  </si>
  <si>
    <t>15.582.730-0</t>
  </si>
  <si>
    <t>jennifer.veloso@orizon.cl</t>
  </si>
  <si>
    <t>JVELOSOH@GMAIL.COM</t>
  </si>
  <si>
    <t>Veloso Haro Jennifer Elizabeth</t>
  </si>
  <si>
    <t>Encargado(A) De Gestion Sistema Cero Residuos</t>
  </si>
  <si>
    <t>15.188.877-1</t>
  </si>
  <si>
    <t>gisselle.vega@nutrisco.com</t>
  </si>
  <si>
    <t>gisse.negrita@gmail.com</t>
  </si>
  <si>
    <t>Vega González Gisselle Dayana</t>
  </si>
  <si>
    <t>Encargado(A) De Importaciones Y Logistica Inbound</t>
  </si>
  <si>
    <t>Edda Antonieta Mardoff Peirano</t>
  </si>
  <si>
    <t>16.764.577-1</t>
  </si>
  <si>
    <t>johanina.sandoval@nutrisco.com</t>
  </si>
  <si>
    <t>jsandoval.aaca@gmail.com</t>
  </si>
  <si>
    <t>Sandoval Suazo Johanina Lisett</t>
  </si>
  <si>
    <t>18.723.775-0</t>
  </si>
  <si>
    <t>michelle.correa@nutrisco.com</t>
  </si>
  <si>
    <t>michelle.stephanie2905@gmail.com</t>
  </si>
  <si>
    <t>Correa Espina Michelle Stephanie</t>
  </si>
  <si>
    <t>19.078.376-6</t>
  </si>
  <si>
    <t>matias.munoz@orizon.cl</t>
  </si>
  <si>
    <t>matiasmf5@gmail.com</t>
  </si>
  <si>
    <t>Muñoz Ferrel Matias Andres</t>
  </si>
  <si>
    <t>Encargado(A) De Medio Ambiente</t>
  </si>
  <si>
    <t>14.165.187-0</t>
  </si>
  <si>
    <t>pedro.burgos@orizon.cl</t>
  </si>
  <si>
    <t>pxburgos@uc.cl</t>
  </si>
  <si>
    <t>Burgos Lara Pedro</t>
  </si>
  <si>
    <t>Encargado(A) De Operaciones E Infraestructura Ti</t>
  </si>
  <si>
    <t>13.308.557-2</t>
  </si>
  <si>
    <t>johanna.segura@orizon.cl</t>
  </si>
  <si>
    <t>yohanna.segura@gmail.com</t>
  </si>
  <si>
    <t>Segura Moreno Johanna Paola</t>
  </si>
  <si>
    <t>Encargado(A) De Personas</t>
  </si>
  <si>
    <t>10.848.422-5</t>
  </si>
  <si>
    <t>david.candia@orizon.cl</t>
  </si>
  <si>
    <t>candiaarriagada@gmail.com</t>
  </si>
  <si>
    <t>Candia Arriagada David Arnaldo</t>
  </si>
  <si>
    <t>Encargado(A) De Produccion Pt</t>
  </si>
  <si>
    <t>19.156.476-6</t>
  </si>
  <si>
    <t>karina.cruces@nutrisco.com</t>
  </si>
  <si>
    <t>karina.aileen.98@gmail.com</t>
  </si>
  <si>
    <t>Cruces Pasmiño Karina Aileen</t>
  </si>
  <si>
    <t>Encargado(A) De Reclutamiento Y Seleccion</t>
  </si>
  <si>
    <t>19.346.322-3</t>
  </si>
  <si>
    <t>felipe.romero@orizon.cl</t>
  </si>
  <si>
    <t>felipe.romero.castro@gmail.com</t>
  </si>
  <si>
    <t>Romero Castro Felipe Esteban</t>
  </si>
  <si>
    <t>Encargado(A) De Servicios Generales</t>
  </si>
  <si>
    <t>13.380.569-9</t>
  </si>
  <si>
    <t>leonardo.chandia@orizon.cl</t>
  </si>
  <si>
    <t>leonardochandia@gmail.com</t>
  </si>
  <si>
    <t>Chandia Rebolledo Leonardo Fabian</t>
  </si>
  <si>
    <t>Encargado(A) De Sistema De Gestion Energia</t>
  </si>
  <si>
    <t>Alvaro Gonzalo Iglesias Chavez</t>
  </si>
  <si>
    <t>27.003.552-3</t>
  </si>
  <si>
    <t>manuel.bastidas@orizon.cl</t>
  </si>
  <si>
    <t>bastidasmanuel030@gmail.com</t>
  </si>
  <si>
    <t>Bastidas Martinez Manuel Alejandro</t>
  </si>
  <si>
    <t>Encargado(A) De Ti Y Soporte Coronel</t>
  </si>
  <si>
    <t>Julio Cesar Vera Meza</t>
  </si>
  <si>
    <t>10.036.514-6</t>
  </si>
  <si>
    <t>argentino.mendez@orizon.cl</t>
  </si>
  <si>
    <t>mendez.argentino@gmail.com</t>
  </si>
  <si>
    <t>Mendez Vasquez Argentino Federico</t>
  </si>
  <si>
    <t>Encargado(A) Logistico I</t>
  </si>
  <si>
    <t>Jorge Alejandro Miranda Ferrada</t>
  </si>
  <si>
    <t>17.690.284-1</t>
  </si>
  <si>
    <t>stephanie.navarro@orizon.cl</t>
  </si>
  <si>
    <t>Stephanie.marmiez@gmail.com</t>
  </si>
  <si>
    <t>Navarro Marmiez Stephanie Nicole</t>
  </si>
  <si>
    <t>Carlos Antonio Gatica Parra</t>
  </si>
  <si>
    <t>12.770.556-9</t>
  </si>
  <si>
    <t>luis.pinones@orizon.cl</t>
  </si>
  <si>
    <t>ljpinones@gmail.com</t>
  </si>
  <si>
    <t>Piñones Segovia Luis Javier</t>
  </si>
  <si>
    <t>8.360.410-7</t>
  </si>
  <si>
    <t>osvaldo.mardones@orizon.cl</t>
  </si>
  <si>
    <t>osvalmb@hotmail.com</t>
  </si>
  <si>
    <t>Mardones Beltran Osvaldo</t>
  </si>
  <si>
    <t>Encargado(A) Logistico Ii</t>
  </si>
  <si>
    <t>19.108.626-0</t>
  </si>
  <si>
    <t>ivette.bustos@orizon.cl</t>
  </si>
  <si>
    <t>IVETTEBJ95@GMAIL.COM</t>
  </si>
  <si>
    <t>Bustos Jara Ivette Angelica</t>
  </si>
  <si>
    <t>Encargado(A) Logistico Iii</t>
  </si>
  <si>
    <t>12.527.269-k</t>
  </si>
  <si>
    <t>roberto.robles@orizon.cl</t>
  </si>
  <si>
    <t>roberto.robles.fuentes@gmail.com</t>
  </si>
  <si>
    <t>Robles Fuentes Roberto Carlos</t>
  </si>
  <si>
    <t>Encargado(A) Materia Prima</t>
  </si>
  <si>
    <t>13.726.269-k</t>
  </si>
  <si>
    <t>annabel.miranda@orizon.cl</t>
  </si>
  <si>
    <t>annabel.miranda2014@gmail.com</t>
  </si>
  <si>
    <t>Miranda Labarrera Annabel De La Urden</t>
  </si>
  <si>
    <t>Encargado(A) Pac Y Pos</t>
  </si>
  <si>
    <t>13.513.483-k</t>
  </si>
  <si>
    <t>jose.hidalgo@orizon.cl</t>
  </si>
  <si>
    <t>Hidalgo Flores Jose Carlos</t>
  </si>
  <si>
    <t>Encargado(A) Planta Riles Y Agua Mar</t>
  </si>
  <si>
    <t>Miguel Angel Santos Cotter</t>
  </si>
  <si>
    <t>5.851.300-8</t>
  </si>
  <si>
    <t>robertoardiles343@gmail.com</t>
  </si>
  <si>
    <t>Ardiles Bustamante Roberto Antonio</t>
  </si>
  <si>
    <t>Encargado(A) Ponton</t>
  </si>
  <si>
    <t>13.510.825-1</t>
  </si>
  <si>
    <t>pablo.parra@nutrisco.com</t>
  </si>
  <si>
    <t>pabloparrae@gmail.com</t>
  </si>
  <si>
    <t>Parra Escobar Pablo Isaac</t>
  </si>
  <si>
    <t>Encargado(A) Remuneraciones</t>
  </si>
  <si>
    <t>Jorge Enrique Navarrete Bascur</t>
  </si>
  <si>
    <t>12.069.024-8</t>
  </si>
  <si>
    <t>carlos.millan@orizon.cl</t>
  </si>
  <si>
    <t>carl.millan@hotmail.com</t>
  </si>
  <si>
    <t>Millan Vasquez Carlos Alfonso</t>
  </si>
  <si>
    <t>13.108.946-5</t>
  </si>
  <si>
    <t>carlos.orellana@orizon.cl</t>
  </si>
  <si>
    <t>carlosjav051976@gmail.com</t>
  </si>
  <si>
    <t>Orellana Gonzalez Carlos Javier</t>
  </si>
  <si>
    <t>Encargado(A) Sala Maq. Y Plta. Hielo</t>
  </si>
  <si>
    <t>13.921.089-1</t>
  </si>
  <si>
    <t>maria.navarro@orizon.cl</t>
  </si>
  <si>
    <t>mangeles.nm@gmail.com</t>
  </si>
  <si>
    <t>Navarro Miranda Maria De Los Angeles</t>
  </si>
  <si>
    <t>Encargado(A) Selección y Desarrollo Organizacional de Temporada</t>
  </si>
  <si>
    <t>16.809.685-2</t>
  </si>
  <si>
    <t>marco.pena@orizon.cl</t>
  </si>
  <si>
    <t>marco.penamendez@gmail.com</t>
  </si>
  <si>
    <t>Peña Mendez Marco Antonio</t>
  </si>
  <si>
    <t>Encargado(A) Sgcia</t>
  </si>
  <si>
    <t>17.443.176-0</t>
  </si>
  <si>
    <t>francisca.gutierrez@orizon.cl</t>
  </si>
  <si>
    <t>francagut@gmail.com</t>
  </si>
  <si>
    <t>Gutierrez Navarro Francisca Del Pilar</t>
  </si>
  <si>
    <t>Encargado(A) Sgi</t>
  </si>
  <si>
    <t>9.647.879-8</t>
  </si>
  <si>
    <t>nanorojasromero63@gmail.com</t>
  </si>
  <si>
    <t>Rojas Romero Fernando Antonio</t>
  </si>
  <si>
    <t>Encargado(A) Sistema Descarga</t>
  </si>
  <si>
    <t>11.510.941-3</t>
  </si>
  <si>
    <t>luiscortes6768@gmail.com</t>
  </si>
  <si>
    <t>Cortes Cortes Luis Ricardo</t>
  </si>
  <si>
    <t>9.060.864-9</t>
  </si>
  <si>
    <t>miguel.cortesgu@gmail.com</t>
  </si>
  <si>
    <t>Cortes Guzman Miguel Jesus</t>
  </si>
  <si>
    <t>25.783.658-4</t>
  </si>
  <si>
    <t>julio.vera@orizon.cl</t>
  </si>
  <si>
    <t>ebesjulio@gmail.com</t>
  </si>
  <si>
    <t>Vera Meza Julio Cesar</t>
  </si>
  <si>
    <t>Encargado(A) Transformacion Digital</t>
  </si>
  <si>
    <t>19.826.794-5</t>
  </si>
  <si>
    <t>eilleenespinoza@gmail.com</t>
  </si>
  <si>
    <t>Espinoza Carrillo Eillen Romina</t>
  </si>
  <si>
    <t>Encargado(A) Trazabilidad</t>
  </si>
  <si>
    <t>19.139.775-4</t>
  </si>
  <si>
    <t>sebastian.carrasco@orizon.cl</t>
  </si>
  <si>
    <t>scarrasco890@gmail.com</t>
  </si>
  <si>
    <t>Carrasco Mendoza Sebastian Rodrigo</t>
  </si>
  <si>
    <t>Especialista Calidad Comercial</t>
  </si>
  <si>
    <t>19.369.981-2</t>
  </si>
  <si>
    <t>valentinaillanesrocha@gmail.com</t>
  </si>
  <si>
    <t>Illanes Rocha Valentina Constanza</t>
  </si>
  <si>
    <t>Especialista Calidad Trading</t>
  </si>
  <si>
    <t>Loreto Gabriela San Martin Montero</t>
  </si>
  <si>
    <t>17.348.089-k</t>
  </si>
  <si>
    <t>NICOLE.TOLOZA@ORIZON.CL</t>
  </si>
  <si>
    <t>NICOLETOLOZAINOSTROZA@GMAIL.COM</t>
  </si>
  <si>
    <t>Toloza Inostroza Nicole Macarena</t>
  </si>
  <si>
    <t>Especialista Calidad Y Desarrollo Petfood</t>
  </si>
  <si>
    <t>16.898.749-8</t>
  </si>
  <si>
    <t>camila.sandovalb@gmail.com</t>
  </si>
  <si>
    <t>Sandoval Bravo Camila Francisca</t>
  </si>
  <si>
    <t>Especialista de Higiene Ocupacional</t>
  </si>
  <si>
    <t>Jose Jesus Collao Bolados</t>
  </si>
  <si>
    <t>16.021.661-1</t>
  </si>
  <si>
    <t>genoveva.martinez@orizon.cl</t>
  </si>
  <si>
    <t>gester.martinez@gmail.com</t>
  </si>
  <si>
    <t>Martinez Salas Genoveva Ester</t>
  </si>
  <si>
    <t>Especialista de Inocuidad &amp; Higiene Plantas Congelados</t>
  </si>
  <si>
    <t>14.206.150-3</t>
  </si>
  <si>
    <t>veronica.silva@orizon.cl</t>
  </si>
  <si>
    <t>veritoo31@gmail.com</t>
  </si>
  <si>
    <t>Silva Silva Veronica Patricia</t>
  </si>
  <si>
    <t>Especialista de Inocuidad e Higiene Planta Conservas</t>
  </si>
  <si>
    <t>20.110.002-k</t>
  </si>
  <si>
    <t>sofia.estay@nutrisco.com</t>
  </si>
  <si>
    <t>sestayab@gmail.com</t>
  </si>
  <si>
    <t>Estay Asta-Buruaga Sofia Paz</t>
  </si>
  <si>
    <t>Especialista de Marketing</t>
  </si>
  <si>
    <t>Blanca Andreina Gimenez Sanchez</t>
  </si>
  <si>
    <t>Otro</t>
  </si>
  <si>
    <t>17.685.812-5</t>
  </si>
  <si>
    <t>silvana.pesante@nutrisco.com</t>
  </si>
  <si>
    <t>spesantec@gmail.com</t>
  </si>
  <si>
    <t>Pesante Castro Silvana Andrea</t>
  </si>
  <si>
    <t>Especialista En Cumplimiento Ambiental</t>
  </si>
  <si>
    <t>18.111.071-6</t>
  </si>
  <si>
    <t>solange.bustos@orizon.cl</t>
  </si>
  <si>
    <t>solangejx@gmail.com</t>
  </si>
  <si>
    <t>Bustos Gallardo Solange Marcela Fernanda</t>
  </si>
  <si>
    <t>Experto Sst</t>
  </si>
  <si>
    <t>Cristian Felipe Millar Davila</t>
  </si>
  <si>
    <t>18.146.761-4</t>
  </si>
  <si>
    <t>yanina.poblete@orizon.cl</t>
  </si>
  <si>
    <t>yaninapobletebobadilla@gmail.com</t>
  </si>
  <si>
    <t>Poblete Bobadilla Yanina Stephani</t>
  </si>
  <si>
    <t>17.570.835-9</t>
  </si>
  <si>
    <t>martina.sabando@orizon.cl</t>
  </si>
  <si>
    <t>marty.sabando@gmail.com</t>
  </si>
  <si>
    <t>Sabando Jara Martina Elizabeth</t>
  </si>
  <si>
    <t>18.010.056-3</t>
  </si>
  <si>
    <t>millaray.miranda@orizon.cl</t>
  </si>
  <si>
    <t>tabita.miranda@gmail.com</t>
  </si>
  <si>
    <t>Miranda Diaz Tabita Millaray</t>
  </si>
  <si>
    <t>17.923.896-9</t>
  </si>
  <si>
    <t>jenifer.chacon@nutrisco.com</t>
  </si>
  <si>
    <t>jchaconpo@gmail.com</t>
  </si>
  <si>
    <t>Chacon Poblete Jenifer Valeska</t>
  </si>
  <si>
    <t>Tabita Millaray Miranda Diaz</t>
  </si>
  <si>
    <t>18.408.655-7</t>
  </si>
  <si>
    <t>benjamin.miranda@nutrisco.com</t>
  </si>
  <si>
    <t>b.miranda.apr@gmail.com</t>
  </si>
  <si>
    <t>Miranda Lorca Benjamin Ignacio</t>
  </si>
  <si>
    <t>19.089.172-0</t>
  </si>
  <si>
    <t>edgardo.leal@orizon.cl</t>
  </si>
  <si>
    <t>ELEALESPARZA@GMAIL.COM</t>
  </si>
  <si>
    <t>Leal Esparza Edgardo Alexis</t>
  </si>
  <si>
    <t>18.135.492-5</t>
  </si>
  <si>
    <t>EASA.SAED@GMAIL.COM</t>
  </si>
  <si>
    <t>Salinas Antilef Edison Alejandro</t>
  </si>
  <si>
    <t>16.516.290-0</t>
  </si>
  <si>
    <t>christopher.barra.ruiz@gmail.com</t>
  </si>
  <si>
    <t>Barra Ruiz Christopher Jonathan</t>
  </si>
  <si>
    <t>19.142.144-2</t>
  </si>
  <si>
    <t>alex.garcia.lisboa@gmail.com</t>
  </si>
  <si>
    <t>Garcia Lisboa Alexi Andres</t>
  </si>
  <si>
    <t>13.995.079-8</t>
  </si>
  <si>
    <t>spena@nutrisco.com</t>
  </si>
  <si>
    <t>guacoldo8@hotmail.com</t>
  </si>
  <si>
    <t>Peña Gonzalez Sandro Robinson</t>
  </si>
  <si>
    <t>Export Manager Nutrisco</t>
  </si>
  <si>
    <t>Diego Jose Edwards Delpino</t>
  </si>
  <si>
    <t>Valparaíso</t>
  </si>
  <si>
    <t>17.699.181-k</t>
  </si>
  <si>
    <t>francisco.albornoz@nutrisco.com</t>
  </si>
  <si>
    <t>fco.albornoz.alvarado@gmail.com</t>
  </si>
  <si>
    <t>Albornoz Alvarado Francisco Jose</t>
  </si>
  <si>
    <t>Export Manager Seafood</t>
  </si>
  <si>
    <t>Sebastian Jose Warnken Del Rio</t>
  </si>
  <si>
    <t>18.807.458-8</t>
  </si>
  <si>
    <t>andres.hammersley@nutrisco.com</t>
  </si>
  <si>
    <t>andreshammersley@gmail.com</t>
  </si>
  <si>
    <t>Hammersley Mora Andres Helmuth</t>
  </si>
  <si>
    <t>19.961.032-5</t>
  </si>
  <si>
    <t>adriana.chuykan@nutrisco.com</t>
  </si>
  <si>
    <t>adrichuykan@gmail.com</t>
  </si>
  <si>
    <t>Chuy-Kan Basualto Adriana</t>
  </si>
  <si>
    <t>16.443.442-7</t>
  </si>
  <si>
    <t>elizabeth.romo@orizon.cl</t>
  </si>
  <si>
    <t>elyzaroco@hotmail.com</t>
  </si>
  <si>
    <t>Romo Contreras Elizabeth Alejandra</t>
  </si>
  <si>
    <t>Generalista De Personas</t>
  </si>
  <si>
    <t>Tatiana Catalan Skriptschenko</t>
  </si>
  <si>
    <t>12.747.215-7</t>
  </si>
  <si>
    <t>pamela.borquez@orizon.cl</t>
  </si>
  <si>
    <t>pborquezreuss@gmail.com</t>
  </si>
  <si>
    <t>Borquez Reuss Pamela Andrea</t>
  </si>
  <si>
    <t>Gerenta Gestion Integrada Y Calidad</t>
  </si>
  <si>
    <t>Fernando Ayala Burgemeister</t>
  </si>
  <si>
    <t>Rol Privado</t>
  </si>
  <si>
    <t>15.382.869-5</t>
  </si>
  <si>
    <t>dedwards@nutrisco.com</t>
  </si>
  <si>
    <t>diegoledwards@gmail.com</t>
  </si>
  <si>
    <t>Edwards Delpino Diego Jose</t>
  </si>
  <si>
    <t>Gerente Comercial Consumo Humano</t>
  </si>
  <si>
    <t>Juan Pablo Vaccaro Argo</t>
  </si>
  <si>
    <t>13.441.655-6</t>
  </si>
  <si>
    <t>francisco.ovalle@nutrisco.com</t>
  </si>
  <si>
    <t>ovalle.fco@gmail.com</t>
  </si>
  <si>
    <t>Ovalle Salcedo Francisco</t>
  </si>
  <si>
    <t>Gerente Comercial Productos Industriales</t>
  </si>
  <si>
    <t>Cristian Larrain Reyes</t>
  </si>
  <si>
    <t>Gerencia Comercial Productos Industriales</t>
  </si>
  <si>
    <t>10.000.182-9</t>
  </si>
  <si>
    <t>juanpablo.vaccaro@nutrisco.com</t>
  </si>
  <si>
    <t>juanpablo.vaccaroargo@gmail.com</t>
  </si>
  <si>
    <t>Vaccaro Argo Juan Pablo</t>
  </si>
  <si>
    <t>Gerente Comercial Seafood Y Trading</t>
  </si>
  <si>
    <t>21.295.688-0</t>
  </si>
  <si>
    <t>fiorella.montoya@nutrisco.com</t>
  </si>
  <si>
    <t>fiorella.montoya.p@gmail.com</t>
  </si>
  <si>
    <t>Montoya Portella Fiorella</t>
  </si>
  <si>
    <t>Gerente Corporativa De Sostenibilidad</t>
  </si>
  <si>
    <t>10.844.186-0</t>
  </si>
  <si>
    <t>cristian.larrain@nutrisco.com</t>
  </si>
  <si>
    <t>Larrain Reyes Cristian</t>
  </si>
  <si>
    <t>Gerente Corporativo Comercial Y Marketing</t>
  </si>
  <si>
    <t>Gerencia Corp Comercial y Marketing</t>
  </si>
  <si>
    <t>10.093.016-1</t>
  </si>
  <si>
    <t>juancarlos.macaya@nutrisco.com</t>
  </si>
  <si>
    <t>jc.macayag@gmail.com</t>
  </si>
  <si>
    <t>Macaya Gastigar Juan Carlos</t>
  </si>
  <si>
    <t>Gerente Corporativo De Administracion</t>
  </si>
  <si>
    <t>13.271.928-4</t>
  </si>
  <si>
    <t>michel.bouiey@nutrisco.com</t>
  </si>
  <si>
    <t>mbouiey@uc.cl</t>
  </si>
  <si>
    <t>Bouiey Sierra Michel</t>
  </si>
  <si>
    <t>Gerente Corporativo De Finanzas Y Tecnologia</t>
  </si>
  <si>
    <t>Gerencia Corp. Finanzas y Tecnología</t>
  </si>
  <si>
    <t>11.833.668-2</t>
  </si>
  <si>
    <t>francisca.prieto@nutrisco.com</t>
  </si>
  <si>
    <t>franciscaprietoarroyo@gmail.com</t>
  </si>
  <si>
    <t>Prieto Arroyo María Francisca</t>
  </si>
  <si>
    <t>Gerente Corporativo De Personas Y Sst</t>
  </si>
  <si>
    <t>Gerencia Corp. Personas</t>
  </si>
  <si>
    <t>13.134.939-4</t>
  </si>
  <si>
    <t>gerardo.barrera@nutrisco.com</t>
  </si>
  <si>
    <t>gbarreras77@gmail.com</t>
  </si>
  <si>
    <t>Barrera Sanzana Gerardo</t>
  </si>
  <si>
    <t>Gerente Corporativo De Supply Chain</t>
  </si>
  <si>
    <t>13.724.355-5</t>
  </si>
  <si>
    <t>ignacio.garrido@nutrisco.com</t>
  </si>
  <si>
    <t>igarrido_ing@hotmail.com</t>
  </si>
  <si>
    <t>Garrido Concha Ignacio Andrés</t>
  </si>
  <si>
    <t>Gerente De Abastecimiento</t>
  </si>
  <si>
    <t>Gerardo Barrera Sanzana</t>
  </si>
  <si>
    <t>Gerencia de Abastecimiento</t>
  </si>
  <si>
    <t>11.978.482-4</t>
  </si>
  <si>
    <t>claudia.zamorano@nutrisco.com</t>
  </si>
  <si>
    <t>claudiazamoranor@hotmail.com</t>
  </si>
  <si>
    <t>Zamorano Raventos Claudia</t>
  </si>
  <si>
    <t>Gerente De Administracion De Activos Y Seguros</t>
  </si>
  <si>
    <t>Juan Carlos Macaya Gastigar</t>
  </si>
  <si>
    <t>12.010.509-4</t>
  </si>
  <si>
    <t>bayardo.vado@nutrisco.com</t>
  </si>
  <si>
    <t>bayardovado@gmail.com</t>
  </si>
  <si>
    <t>Vado Uribe Bayardo</t>
  </si>
  <si>
    <t>Gerente De Contabilidad</t>
  </si>
  <si>
    <t>13.425.908-6</t>
  </si>
  <si>
    <t>jorge.buzeta@orizon.cl</t>
  </si>
  <si>
    <t>jbuzetan@gmail.com</t>
  </si>
  <si>
    <t>Buzeta Negroni Jorge Andres</t>
  </si>
  <si>
    <t>Gerente De Flota Y Abastecimiento De Mmpp Pesca</t>
  </si>
  <si>
    <t>16.155.554-1</t>
  </si>
  <si>
    <t>constanza.aravena@nutrisco.com</t>
  </si>
  <si>
    <t>constanza.aravena3@gmail.com</t>
  </si>
  <si>
    <t>Aravena Sandoval María Constanza</t>
  </si>
  <si>
    <t>Gerente De Logistica</t>
  </si>
  <si>
    <t>24.741.043-0</t>
  </si>
  <si>
    <t>mariaflorencia.barua@nutrisco.com</t>
  </si>
  <si>
    <t>florbarua@gmail.com</t>
  </si>
  <si>
    <t>Barua . M.Florencia</t>
  </si>
  <si>
    <t>Gerente De Marketing</t>
  </si>
  <si>
    <t>10.034.310-k</t>
  </si>
  <si>
    <t>ignacio.astete@nutrisco.com</t>
  </si>
  <si>
    <t>Astete Heimpell Ignacio Arturo</t>
  </si>
  <si>
    <t>Gerente De Negocio North America</t>
  </si>
  <si>
    <t>Nutrisco North America LLC</t>
  </si>
  <si>
    <t>Gerencia Nutrisco North America LLC</t>
  </si>
  <si>
    <t>13.257.001-9</t>
  </si>
  <si>
    <t>crescente.valle@nutrisco.com</t>
  </si>
  <si>
    <t>crescente.valle@gmail.com</t>
  </si>
  <si>
    <t>Valle Rivera Crescente</t>
  </si>
  <si>
    <t>Gerente De Negocios Frutas Y Verduras</t>
  </si>
  <si>
    <t>Frutas y Verduras</t>
  </si>
  <si>
    <t>Gerencia Corp. de Frutas y Verduras</t>
  </si>
  <si>
    <t>16.213.768-9</t>
  </si>
  <si>
    <t>martin.rodriguez@nutrisco.com</t>
  </si>
  <si>
    <t>rodriguezdmartin@gmail.com</t>
  </si>
  <si>
    <t>Rodriguez Diez Martin Ignacio</t>
  </si>
  <si>
    <t>Gerencia Comercial Negocio Frutas y Verduras</t>
  </si>
  <si>
    <t>13.392.882-0</t>
  </si>
  <si>
    <t>fernando.riveros@nutrisco.com</t>
  </si>
  <si>
    <t>fernando.riveros@gmail.com</t>
  </si>
  <si>
    <t>Riveros Ramirez Fernando</t>
  </si>
  <si>
    <t>Gerente De Tecnologia Y Gobierno De Datos</t>
  </si>
  <si>
    <t>12.488.186-2</t>
  </si>
  <si>
    <t>rigoberto.rojo@nutrisco.com</t>
  </si>
  <si>
    <t>rojorigoberto@gmail.com</t>
  </si>
  <si>
    <t>Rojo Rojas Rigoberto</t>
  </si>
  <si>
    <t>Gerente General</t>
  </si>
  <si>
    <t>7.736.569-9</t>
  </si>
  <si>
    <t>fernando.ayala@nutrisco.com</t>
  </si>
  <si>
    <t>fayalab@gmail.com</t>
  </si>
  <si>
    <t>Ayala Burgemeister Fernando</t>
  </si>
  <si>
    <t>Gerente Negocio Seafood</t>
  </si>
  <si>
    <t>Corporativo Seafood</t>
  </si>
  <si>
    <t>14.734.970-k</t>
  </si>
  <si>
    <t>jorge.dellano@nutrisco.com</t>
  </si>
  <si>
    <t>chicureo25@gmail.com</t>
  </si>
  <si>
    <t>De Llano Ozores Jorge</t>
  </si>
  <si>
    <t>Gerente Nutrisco Europa</t>
  </si>
  <si>
    <t>Gerencia Nutrisco Europa</t>
  </si>
  <si>
    <t>16.657.501-k</t>
  </si>
  <si>
    <t>pilar.henriquez@nutrisco.com</t>
  </si>
  <si>
    <t>mpilar.henriquez@gmail.com</t>
  </si>
  <si>
    <t>Henriquez Arratia Maria Pilar</t>
  </si>
  <si>
    <t>Gerente Planificación</t>
  </si>
  <si>
    <t>16.002.041-5</t>
  </si>
  <si>
    <t>rodrigo.sanchez@orizon.cl</t>
  </si>
  <si>
    <t>rodrigo.asr@gmail.com</t>
  </si>
  <si>
    <t>Sanchez Ramirez Rodrigo Antonio</t>
  </si>
  <si>
    <t>Gerente Produccion Pesca</t>
  </si>
  <si>
    <t>10.420.968-8</t>
  </si>
  <si>
    <t>juanpablo.chavez@nutrisco.com</t>
  </si>
  <si>
    <t>juan.pablo.cha@gmail.com</t>
  </si>
  <si>
    <t>Chavez Urrutia Juan Pablo</t>
  </si>
  <si>
    <t>Gerente Sst Y Servicio A Las Personas</t>
  </si>
  <si>
    <t>María Francisca Prieto Arroyo</t>
  </si>
  <si>
    <t>6.773.312-6</t>
  </si>
  <si>
    <t>mauricio.carvacho@nutrisco.com</t>
  </si>
  <si>
    <t>Mauricio.Carvacho@gmail.com</t>
  </si>
  <si>
    <t>Carvacho Rivas Mauricio Alejandro</t>
  </si>
  <si>
    <t>Gerente Tesoreria</t>
  </si>
  <si>
    <t>16.140.909-k</t>
  </si>
  <si>
    <t>moises.llao@nutrisco.com</t>
  </si>
  <si>
    <t>mellao@it.ucsc.cl</t>
  </si>
  <si>
    <t>Llao Morales Moises Elias</t>
  </si>
  <si>
    <t>Gestor(A) Compras</t>
  </si>
  <si>
    <t>Cristian Eraldo Sepulveda Moreno</t>
  </si>
  <si>
    <t>18.414.043-8</t>
  </si>
  <si>
    <t>manfred.henning@nutrisco.com</t>
  </si>
  <si>
    <t>mhenningr@ingenieros.udd.cl</t>
  </si>
  <si>
    <t>Henning Retamal Manfred Adolfo</t>
  </si>
  <si>
    <t>18.815.677-0</t>
  </si>
  <si>
    <t>diego.gajardo@nutrisco.com</t>
  </si>
  <si>
    <t>gajardodiego94@gmail.com</t>
  </si>
  <si>
    <t>Gajardo Jara Diego</t>
  </si>
  <si>
    <t>16.357.301-6</t>
  </si>
  <si>
    <t>pamela.elias@nutrisco.com</t>
  </si>
  <si>
    <t>pame.elias@gmail.com</t>
  </si>
  <si>
    <t>Elías Godoy Pamela Alejandra</t>
  </si>
  <si>
    <t>Hrbp Areas Funcionales Y Oficina Santiago</t>
  </si>
  <si>
    <t>18.405.557-0</t>
  </si>
  <si>
    <t>diego.gamonal@nutrisco.com</t>
  </si>
  <si>
    <t>diegogamonalr@gmail.com</t>
  </si>
  <si>
    <t>Gamonal Rozas Diego Alonso</t>
  </si>
  <si>
    <t>Ingeniero Chartering</t>
  </si>
  <si>
    <t>16.379.462-4</t>
  </si>
  <si>
    <t>alexis.flores@nutrisco.com</t>
  </si>
  <si>
    <t>alexisfloresvelasquez@gmail.com</t>
  </si>
  <si>
    <t>Flores Velasquez Alexis Marisol</t>
  </si>
  <si>
    <t>20.164.837-8</t>
  </si>
  <si>
    <t>anabelen.tamayo@nutrisco.com</t>
  </si>
  <si>
    <t>tamayo.anabelen@gmail.com</t>
  </si>
  <si>
    <t>Tamayo Monetta Anabelén</t>
  </si>
  <si>
    <t>Ingeniero Control De Gestion / Rentabilidad</t>
  </si>
  <si>
    <t>Sebastian Rene Arias Garcia</t>
  </si>
  <si>
    <t>Subgerencia Control de Gestión</t>
  </si>
  <si>
    <t>20.429.429-1</t>
  </si>
  <si>
    <t>raimundo.sepulveda@nutrisco.com</t>
  </si>
  <si>
    <t>raimundo.sepulveda@hotmail.com</t>
  </si>
  <si>
    <t>Sepulveda Montenegro Raimundo Javier</t>
  </si>
  <si>
    <t>Ingeniero Control De Gestion Trainee</t>
  </si>
  <si>
    <t>9.764.366-0</t>
  </si>
  <si>
    <t>luis.cuevas@nutrisco.com</t>
  </si>
  <si>
    <t>dorianluis77@gmail.com</t>
  </si>
  <si>
    <t>Cuevas Sarmiento Luis</t>
  </si>
  <si>
    <t>Ingeniero Corporativo De Consolidacion</t>
  </si>
  <si>
    <t>Alvaro Perez Campos</t>
  </si>
  <si>
    <t>19.061.386-0</t>
  </si>
  <si>
    <t>diego.nancucheo@nutrisco.com</t>
  </si>
  <si>
    <t>diegoncanez@gmail.com</t>
  </si>
  <si>
    <t>Nancucheo Cañez Diego Alexis</t>
  </si>
  <si>
    <t>Ingeniero De Desarrollo</t>
  </si>
  <si>
    <t>Andrea Garin Alarcón</t>
  </si>
  <si>
    <t>19.255.201-k</t>
  </si>
  <si>
    <t>ignacia.novoa@orizon.cl</t>
  </si>
  <si>
    <t>ignacia.m.novoa@gmail.com</t>
  </si>
  <si>
    <t>Novoa Díaz Ignacia Macarena</t>
  </si>
  <si>
    <t>Miguel Angel Villanueva Cuevas</t>
  </si>
  <si>
    <t>12.208.031-5</t>
  </si>
  <si>
    <t>juancarlos.opazo@orizon.cl</t>
  </si>
  <si>
    <t>juanopazor@gmail.com</t>
  </si>
  <si>
    <t>Opazo Ricu Juan Carlos</t>
  </si>
  <si>
    <t>Ingeniero De Gestion De La Produccion</t>
  </si>
  <si>
    <t>26.379.212-2</t>
  </si>
  <si>
    <t>gabriel.cabrera@nutrisco.com</t>
  </si>
  <si>
    <t>gabriel.caza@gmail.com</t>
  </si>
  <si>
    <t>Cabrera Zabala Gabriel Ernesto</t>
  </si>
  <si>
    <t>Ingeniero De Materiales</t>
  </si>
  <si>
    <t>17.617.303-3</t>
  </si>
  <si>
    <t>fabian.bustos@nutrisco.com</t>
  </si>
  <si>
    <t>fabianbustosorme@gmail.com</t>
  </si>
  <si>
    <t>Bustos Ormeño Fabian Andres</t>
  </si>
  <si>
    <t>Ingeniero De Procesos</t>
  </si>
  <si>
    <t>Rodrigo Antonio Sanchez Ramirez</t>
  </si>
  <si>
    <t>15.212.679-4</t>
  </si>
  <si>
    <t>jesus.lopez@orizon.cl</t>
  </si>
  <si>
    <t>jesuslopezvaldebenito@gmail.com</t>
  </si>
  <si>
    <t>López Valdebenito Jesús Rodrigo</t>
  </si>
  <si>
    <t>Ingeniero De Proyecto Electrico</t>
  </si>
  <si>
    <t>17.700.077-9</t>
  </si>
  <si>
    <t>stefan.niedbalski@orizon.cl</t>
  </si>
  <si>
    <t>SFNIEDBA@UC.CL</t>
  </si>
  <si>
    <t>Niedbalski Ihl Stefan Francisco</t>
  </si>
  <si>
    <t>Ingeniero De Proyecto Mecanico</t>
  </si>
  <si>
    <t>18.821.156-9</t>
  </si>
  <si>
    <t>carlos.nunez@orizon.cl</t>
  </si>
  <si>
    <t>Nunezcarlosalfredo543@gmail.com</t>
  </si>
  <si>
    <t>Nuñez Castro Carlos Alfredo</t>
  </si>
  <si>
    <t>Ingeniero Electronico Junior</t>
  </si>
  <si>
    <t>11.984.839-3</t>
  </si>
  <si>
    <t>alvaro.quiroga@orizon.cl</t>
  </si>
  <si>
    <t>alvaro_quiroga@vtr.net</t>
  </si>
  <si>
    <t>Quiroga Alcazar Alvaro Ivan</t>
  </si>
  <si>
    <t>Ingeniero Gestion De Mantencion</t>
  </si>
  <si>
    <t>16.938.986-1</t>
  </si>
  <si>
    <t>rodrigo.mardones@nutrisco.com</t>
  </si>
  <si>
    <t>rmardonesv21@gmail.com</t>
  </si>
  <si>
    <t>Mardones Valdés Rodrigo</t>
  </si>
  <si>
    <t>Ingeniero Planificacion</t>
  </si>
  <si>
    <t>18.808.219-k</t>
  </si>
  <si>
    <t>mario.cura@nutrisco.com</t>
  </si>
  <si>
    <t>mario.cura94@gmail.com</t>
  </si>
  <si>
    <t>Cura Coluccio Mario Ignacio</t>
  </si>
  <si>
    <t>Ingeniero Planificador</t>
  </si>
  <si>
    <t>Matias Andres Llopis Godoy</t>
  </si>
  <si>
    <t>19.334.343-0</t>
  </si>
  <si>
    <t>constanza.rifo@nutrisco.com</t>
  </si>
  <si>
    <t>constanza.rifos@gmail.com</t>
  </si>
  <si>
    <t>Rifo Santibañez Constanza Paola</t>
  </si>
  <si>
    <t>19.578.400-0</t>
  </si>
  <si>
    <t>paola.sanhueza@nutrisco.com</t>
  </si>
  <si>
    <t>paolasanhc@gmail.com</t>
  </si>
  <si>
    <t>Sanhueza Carrera Paola Andrea</t>
  </si>
  <si>
    <t>Ingeniero Planificador Comercial</t>
  </si>
  <si>
    <t>12.067.716-0</t>
  </si>
  <si>
    <t>juancarlos.alarcon@orizon.cl</t>
  </si>
  <si>
    <t>jcalarconr1969@gmail.com</t>
  </si>
  <si>
    <t>Alarcon Reyes Juan Carlos</t>
  </si>
  <si>
    <t>Ingeniero Planificador Mantencion</t>
  </si>
  <si>
    <t>Juan Pablo Sanchez López</t>
  </si>
  <si>
    <t>17.574.151-8</t>
  </si>
  <si>
    <t>cesar.figueroa@orizon.cl</t>
  </si>
  <si>
    <t>cesar.figueroa.h@gmail.com</t>
  </si>
  <si>
    <t>Figueroa Huentemil Cesar Antonio</t>
  </si>
  <si>
    <t>9.137.494-3</t>
  </si>
  <si>
    <t>gerardo.rodriguez@orizon.cl</t>
  </si>
  <si>
    <t>frodriguez@surnet.cl</t>
  </si>
  <si>
    <t>Rodriguez Zambrano Gerardo Fabian</t>
  </si>
  <si>
    <t>Luis Raul Ramirez Parada</t>
  </si>
  <si>
    <t>14.208.000-1</t>
  </si>
  <si>
    <t>sergio.meneses@orizon.cl</t>
  </si>
  <si>
    <t>sergioalbertoms@gmail.com</t>
  </si>
  <si>
    <t>Meneses Sánchez Sergio Alberto</t>
  </si>
  <si>
    <t>13.729.746-9</t>
  </si>
  <si>
    <t>marcelo.jara@orizon.cl</t>
  </si>
  <si>
    <t>jormarjarap@gmail.com</t>
  </si>
  <si>
    <t>Jara Pradenas Jorge Marcelo</t>
  </si>
  <si>
    <t>Ingeniero Programador Planificador Mantencion</t>
  </si>
  <si>
    <t>20.599.606-0</t>
  </si>
  <si>
    <t>biancamcastillob@gmail.com</t>
  </si>
  <si>
    <t>Castillo Barraza Bianca Margarita</t>
  </si>
  <si>
    <t>Inspector Control De Calidad</t>
  </si>
  <si>
    <t>Andres David Esteban Lopez Muñoz</t>
  </si>
  <si>
    <t>18.318.082-7</t>
  </si>
  <si>
    <t>cristianggy@hotmail.com</t>
  </si>
  <si>
    <t>Gonzalez Yañez Cristian Giordano</t>
  </si>
  <si>
    <t>19.969.275-5</t>
  </si>
  <si>
    <t>NUTRIPLAZAVEGA@GMAIL.COM</t>
  </si>
  <si>
    <t>Plaza Vega Scarlett Leticia</t>
  </si>
  <si>
    <t>17.721.943-6</t>
  </si>
  <si>
    <t>c.munoz_aqco@hotmail.com</t>
  </si>
  <si>
    <t>Muñoz Lopez Catalina Andrea</t>
  </si>
  <si>
    <t>16.157.293-4</t>
  </si>
  <si>
    <t>angelica.araneda@orizon.cl</t>
  </si>
  <si>
    <t>Angelica.86araneda@gmail.com</t>
  </si>
  <si>
    <t>Araneda Reyes Angelica Dayana</t>
  </si>
  <si>
    <t>Inspector Tecnico De Obra</t>
  </si>
  <si>
    <t>Enzo David Escobar Menai</t>
  </si>
  <si>
    <t>17.320.436-1</t>
  </si>
  <si>
    <t>cristian.salas@orizon.cl</t>
  </si>
  <si>
    <t>cristiansalasvenegas@gmail.com</t>
  </si>
  <si>
    <t>Salas Venegas Cristian Fabian</t>
  </si>
  <si>
    <t>18.137.174-9</t>
  </si>
  <si>
    <t>miguel.araneda@orizon.cl</t>
  </si>
  <si>
    <t>miguel.araneda.f05@gmail.com</t>
  </si>
  <si>
    <t>Araneda Fernandez Miguel Alexis</t>
  </si>
  <si>
    <t>Inventariador</t>
  </si>
  <si>
    <t>9.297.787-0</t>
  </si>
  <si>
    <t>juan.guerrero@orizon.cl</t>
  </si>
  <si>
    <t>jguerrerolealpa@gmail.com</t>
  </si>
  <si>
    <t>Guerrero Leal Juan Carlos</t>
  </si>
  <si>
    <t>25.595.953-0</t>
  </si>
  <si>
    <t>benjamin.molina@orizon.cl</t>
  </si>
  <si>
    <t>benjaminmolina456@gmail.com</t>
  </si>
  <si>
    <t>Molina Uriarte Benjamin Nicolas</t>
  </si>
  <si>
    <t>Ito De Proyectos Electricos</t>
  </si>
  <si>
    <t>15.153.174-1</t>
  </si>
  <si>
    <t>cristian.duran.barria@gmail.com</t>
  </si>
  <si>
    <t>Duran Barria Cristian Ariel</t>
  </si>
  <si>
    <t>Ito Mecanico Piping</t>
  </si>
  <si>
    <t>10.019.253-5</t>
  </si>
  <si>
    <t>pedro.torres@nutrisco.com</t>
  </si>
  <si>
    <t>ptorres.servoequipos@gmail.com</t>
  </si>
  <si>
    <t>Torres Calabrano Pedro Manuel</t>
  </si>
  <si>
    <t>18.109.429-k</t>
  </si>
  <si>
    <t>grace.perez@orizon.cl</t>
  </si>
  <si>
    <t>Perez Perez Grace Orlanda</t>
  </si>
  <si>
    <t>Jefa De Gestión De Sst</t>
  </si>
  <si>
    <t>13.306.598-9</t>
  </si>
  <si>
    <t>edda.mardoff@nutrisco.com</t>
  </si>
  <si>
    <t>ignacris16@gmail.com</t>
  </si>
  <si>
    <t>Mardoff Peirano Edda Antonieta</t>
  </si>
  <si>
    <t>Jefa de Importaciones y Logística Inbound</t>
  </si>
  <si>
    <t>Ignacio Andrés Garrido Concha</t>
  </si>
  <si>
    <t>18.636.136-9</t>
  </si>
  <si>
    <t>sofia.hevia@nutrisco.com</t>
  </si>
  <si>
    <t>sofihevia@gmail.com</t>
  </si>
  <si>
    <t>Hevia Gonzalez Sofia Alejandra</t>
  </si>
  <si>
    <t>Jefe BI</t>
  </si>
  <si>
    <t>Rafael Jose Eyzaguirre Martinez</t>
  </si>
  <si>
    <t>17.061.099-7</t>
  </si>
  <si>
    <t>cristian.sepulvedam@nutrisco.com</t>
  </si>
  <si>
    <t>cristian.sepulveda.moreno@gmail.com</t>
  </si>
  <si>
    <t>Sepulveda Moreno Cristian Eraldo</t>
  </si>
  <si>
    <t>Jefe Compras Bienes</t>
  </si>
  <si>
    <t>12.137.839-6</t>
  </si>
  <si>
    <t>francisca.delapaz@nutrisco.com</t>
  </si>
  <si>
    <t>frandelapaz@gmail.com</t>
  </si>
  <si>
    <t>De La Paz Acuña Francisca Marisol</t>
  </si>
  <si>
    <t>Jefe Comunicaciones</t>
  </si>
  <si>
    <t>19.044.235-7</t>
  </si>
  <si>
    <t>matiasgajardogajardo@gmail.com</t>
  </si>
  <si>
    <t>Gajardo Gajardo Matias Ignacio</t>
  </si>
  <si>
    <t>Jefe Control de la Producción Seafood</t>
  </si>
  <si>
    <t>19.913.454-k</t>
  </si>
  <si>
    <t>brian.olea@nutrisco.com</t>
  </si>
  <si>
    <t>Brianoleacorreo@gmail.com</t>
  </si>
  <si>
    <t>Olea Vallejos Brian</t>
  </si>
  <si>
    <t>Jefe de Cuentas por Pagar y por Cobrar</t>
  </si>
  <si>
    <t>Mauricio Alejandro Carvacho Rivas</t>
  </si>
  <si>
    <t>18.197.600-4</t>
  </si>
  <si>
    <t>giselle.rubilar@orizon.cl</t>
  </si>
  <si>
    <t>g.rubilar01@gmail.com</t>
  </si>
  <si>
    <t>Rubilar Zambrano Giselle Constanza</t>
  </si>
  <si>
    <t>Jefe de Gestión de Calidad Pesca</t>
  </si>
  <si>
    <t>Pamela Andrea Borquez Reuss</t>
  </si>
  <si>
    <t>16.819.271-1</t>
  </si>
  <si>
    <t>diana.reinoso@nutrisco.com</t>
  </si>
  <si>
    <t>dianareinosob@gmail.com</t>
  </si>
  <si>
    <t>Reinoso Baracat Diana</t>
  </si>
  <si>
    <t>Jefe De Marketing</t>
  </si>
  <si>
    <t>17.268.948-5</t>
  </si>
  <si>
    <t>mariajose.monso@nutrisco.com</t>
  </si>
  <si>
    <t>mjmonsopendola@gmail.com</t>
  </si>
  <si>
    <t>Monso Pendola Maria Jose</t>
  </si>
  <si>
    <t>7.420.450-3</t>
  </si>
  <si>
    <t>ludwig.ziller@orizon.cl</t>
  </si>
  <si>
    <t>Ziller Antonucci Ludwig Helmuth</t>
  </si>
  <si>
    <t>Jefe de Operaciones Flota y Descarga</t>
  </si>
  <si>
    <t>16.070.482-9</t>
  </si>
  <si>
    <t>denisse.fuentes@nutrisco.com</t>
  </si>
  <si>
    <t>denfuent@gmail.com</t>
  </si>
  <si>
    <t>Fuentes Bello Denisse Isabel</t>
  </si>
  <si>
    <t>Jefe de Planificación Oficinas Comerciales</t>
  </si>
  <si>
    <t>Maria Pilar Henriquez Arratia</t>
  </si>
  <si>
    <t>19.688.027-5</t>
  </si>
  <si>
    <t>francisco.robles@nutrisco.com</t>
  </si>
  <si>
    <t>froblesl@fen.uchile.cl</t>
  </si>
  <si>
    <t>Robles Laymuns Francisco Ignacio</t>
  </si>
  <si>
    <t>Jefe de Proyectos</t>
  </si>
  <si>
    <t>18.145.311-7</t>
  </si>
  <si>
    <t>carlos.belmar@nutrisco.com</t>
  </si>
  <si>
    <t>carlos.jbelmard@gmail.com</t>
  </si>
  <si>
    <t>Belmar Durán Carlos Javier</t>
  </si>
  <si>
    <t>Jefe de Tesoreria</t>
  </si>
  <si>
    <t>16.121.452-3</t>
  </si>
  <si>
    <t>andrea.garin@nutrisco.com</t>
  </si>
  <si>
    <t>andrea.garinalarcon@gmail.com</t>
  </si>
  <si>
    <t>Garin Alarcón Andrea</t>
  </si>
  <si>
    <t>Jefe Desarrollo Productos Trading</t>
  </si>
  <si>
    <t>9.750.485-7</t>
  </si>
  <si>
    <t>luis.ramirez@orizon.cl</t>
  </si>
  <si>
    <t>lramirez8@gmail.com</t>
  </si>
  <si>
    <t>Ramirez Parada Luis Raul</t>
  </si>
  <si>
    <t>Jefe Mantención Mecánica</t>
  </si>
  <si>
    <t>14.028.117-4</t>
  </si>
  <si>
    <t>maximiliano.gonzalez@orizon.cl</t>
  </si>
  <si>
    <t>maximilianogonza@gmail.com</t>
  </si>
  <si>
    <t>Gonzalez Sanchez Maximiliano Eloy</t>
  </si>
  <si>
    <t>Jefe Planta Congelado</t>
  </si>
  <si>
    <t>11.793.799-2</t>
  </si>
  <si>
    <t>jorge.diaz@orizon.cl</t>
  </si>
  <si>
    <t>jorgeluisjdl@gmail.com</t>
  </si>
  <si>
    <t>Diaz Lopez Jorge Luis</t>
  </si>
  <si>
    <t>Jefe(A) Administracion</t>
  </si>
  <si>
    <t>Claudia Zamorano Raventos</t>
  </si>
  <si>
    <t>17.890.021-8</t>
  </si>
  <si>
    <t>josefa.oyarzun@nutrisco.com</t>
  </si>
  <si>
    <t>josefa.oyarzunk@gmail.com</t>
  </si>
  <si>
    <t>Oyarzún Knittel Josefa</t>
  </si>
  <si>
    <t>9.824.818-8</t>
  </si>
  <si>
    <t>juancarlos.ossandon@orizon.cl</t>
  </si>
  <si>
    <t>jossandon01@gmail.com</t>
  </si>
  <si>
    <t>Ossandon Ramos Juan Carlos</t>
  </si>
  <si>
    <t>Jefe(A) Administrativo</t>
  </si>
  <si>
    <t>18.143.160-1</t>
  </si>
  <si>
    <t>marlene.cartes@orizon.cl</t>
  </si>
  <si>
    <t>marlenecartescabrera@gmail.com</t>
  </si>
  <si>
    <t>Cartes Cabrera Marlene Isabel</t>
  </si>
  <si>
    <t>Jefe(A) Atencion Personas</t>
  </si>
  <si>
    <t>13.423.751-1</t>
  </si>
  <si>
    <t>claudia.madariaga@orizon.cl</t>
  </si>
  <si>
    <t>Clau-madariaga@hotmail.com</t>
  </si>
  <si>
    <t>Madariaga Araya Claudia Eliana</t>
  </si>
  <si>
    <t>Jefe(A) Bahia Y Abastecimiento Materia Prima</t>
  </si>
  <si>
    <t>Juan Carlo Hinojosa Cuneo</t>
  </si>
  <si>
    <t>16.330.292-6</t>
  </si>
  <si>
    <t>leslie.venegas@orizon.cl</t>
  </si>
  <si>
    <t>leslie.venegas.v@gmail.com</t>
  </si>
  <si>
    <t>Venegas Veloso Leslie Carolina</t>
  </si>
  <si>
    <t>Jefe(A) Chartering Y Customer Service</t>
  </si>
  <si>
    <t>12.975.888-0</t>
  </si>
  <si>
    <t>alejandra.aguayo@nutrisco.com</t>
  </si>
  <si>
    <t>aaguayomillaman@yahoo.com</t>
  </si>
  <si>
    <t>Aguayo Millaman Alejandra De Las Nieves</t>
  </si>
  <si>
    <t>Jefe(A) Compensaciones</t>
  </si>
  <si>
    <t>13.382.436-7</t>
  </si>
  <si>
    <t>paula.poch@nutrisco.com</t>
  </si>
  <si>
    <t>paulaconstanza.poch@gmail.com</t>
  </si>
  <si>
    <t>Poch Palacios Paula Constanza</t>
  </si>
  <si>
    <t>Jefe(A) Comunicaciones Internas</t>
  </si>
  <si>
    <t>14.612.709-6</t>
  </si>
  <si>
    <t>viviana.monzo@nutrisco.com</t>
  </si>
  <si>
    <t>viviana.monzo.l@gmail.com</t>
  </si>
  <si>
    <t>Monzo Lastra Viviana</t>
  </si>
  <si>
    <t>Jefe(A) Contable</t>
  </si>
  <si>
    <t>15.410.204-3</t>
  </si>
  <si>
    <t>cristian.fernandez@nutrisco.com</t>
  </si>
  <si>
    <t>cfernanca@gmail.com</t>
  </si>
  <si>
    <t>Fernandez Aguayo Cristian Andres</t>
  </si>
  <si>
    <t>13.991.526-7</t>
  </si>
  <si>
    <t>pamela.cabezas@nutrisco.com</t>
  </si>
  <si>
    <t>pamela.cabezas@gmail.com</t>
  </si>
  <si>
    <t>Cabezas Fuentes Pamela Patricia</t>
  </si>
  <si>
    <t>Jefe(A) Contable Fiordosur</t>
  </si>
  <si>
    <t>18.504.732-6</t>
  </si>
  <si>
    <t>nicolas.bustos@nutrisco.com</t>
  </si>
  <si>
    <t>nbustos@cfelicitas.cl</t>
  </si>
  <si>
    <t>Bustos Matus Nicolas Enrique</t>
  </si>
  <si>
    <t>Jefe(A) Control De Gestion Unidad De Negocio</t>
  </si>
  <si>
    <t>19.360.716-0</t>
  </si>
  <si>
    <t>sebastian.arias@nutrisco.com</t>
  </si>
  <si>
    <t>sebariasgarcia95@gmail.com</t>
  </si>
  <si>
    <t>Arias Garcia Sebastian Rene</t>
  </si>
  <si>
    <t>9.508.516-4</t>
  </si>
  <si>
    <t>hector.oliveros@orizon.cl</t>
  </si>
  <si>
    <t>hector.oliverosh@gmail.com</t>
  </si>
  <si>
    <t>Oliveros Hormazabal Hector Eduardo</t>
  </si>
  <si>
    <t>Jefe(A) De Calidad Harina Y Aceite</t>
  </si>
  <si>
    <t>17.680.507-2</t>
  </si>
  <si>
    <t>loreto.sanmartin@orizon.cl</t>
  </si>
  <si>
    <t>loretosanmartinmontero@gmail.com</t>
  </si>
  <si>
    <t>San Martin Montero Loreto Gabriela</t>
  </si>
  <si>
    <t>Jefe(A) De Calidad Trading</t>
  </si>
  <si>
    <t>8.021.977-6</t>
  </si>
  <si>
    <t>victor.cifuentes@orizon.cl</t>
  </si>
  <si>
    <t>elconcevolvera@gmail.com</t>
  </si>
  <si>
    <t>Cifuentes Aravena Victor Miguel</t>
  </si>
  <si>
    <t>Jefe(A) De Cartera Artesanal Viii</t>
  </si>
  <si>
    <t>Emporchi (Thno)</t>
  </si>
  <si>
    <t>10.600.104-9</t>
  </si>
  <si>
    <t>pablo.aguilera@nutrisco.com</t>
  </si>
  <si>
    <t>aguileracontreras.p71@gmail.com</t>
  </si>
  <si>
    <t>Aguilera Contreras Pablo Andrés</t>
  </si>
  <si>
    <t>Jefe(A) De Comex Frutas Y Verduras</t>
  </si>
  <si>
    <t>17.636.810-1</t>
  </si>
  <si>
    <t>luis.caro@orizon.cl</t>
  </si>
  <si>
    <t>luis.caro.sanhueza@gmail.com</t>
  </si>
  <si>
    <t>Caro Sanhueza Luis Alejandro</t>
  </si>
  <si>
    <t>Jefe(A) De Gestion De La Produccion Seafood</t>
  </si>
  <si>
    <t>10.789.499-3</t>
  </si>
  <si>
    <t>hector.montoya@nutrisco.com</t>
  </si>
  <si>
    <t>arquitector005@gmail.com</t>
  </si>
  <si>
    <t>Montoya Castro Hector</t>
  </si>
  <si>
    <t>Jefe(A) De Infraestructura Y Servicios A Las Personas</t>
  </si>
  <si>
    <t>17.873.901-8</t>
  </si>
  <si>
    <t>alvaro.iglesias@orizon.cl</t>
  </si>
  <si>
    <t>alvaroiglesiaschavez@gmail.com</t>
  </si>
  <si>
    <t>Iglesias Chavez Alvaro Gonzalo</t>
  </si>
  <si>
    <t>Jefe(A) De Ingenieria</t>
  </si>
  <si>
    <t>13.853.030-2</t>
  </si>
  <si>
    <t>larisa.burgos@orizon.cl</t>
  </si>
  <si>
    <t>Larisa.burgos@gmail.com</t>
  </si>
  <si>
    <t>Burgos Zavala Larisa Andrea</t>
  </si>
  <si>
    <t>Jefe(A) De Inocuidad E Higiene Consumo Humano</t>
  </si>
  <si>
    <t>17.302.821-0</t>
  </si>
  <si>
    <t>nicolas.delarosa@nutrisco.com</t>
  </si>
  <si>
    <t>nicolas.delarosa1@gmail.com</t>
  </si>
  <si>
    <t>De La Rosa Farias Nicolas Mauricio</t>
  </si>
  <si>
    <t>Jefe(A) De Logistica Usa Y Europa</t>
  </si>
  <si>
    <t>María Constanza Aravena Sandoval</t>
  </si>
  <si>
    <t>14.324.649-3</t>
  </si>
  <si>
    <t>juan.sanchez@orizon.cl</t>
  </si>
  <si>
    <t>juanpablo2908@gmail.com</t>
  </si>
  <si>
    <t>Sanchez López Juan Pablo</t>
  </si>
  <si>
    <t>Jefe(A) De Mantencion Electrica</t>
  </si>
  <si>
    <t>17.197.340-6</t>
  </si>
  <si>
    <t>camila.vasquez@nutrisco.com</t>
  </si>
  <si>
    <t>camila.vasquez.kaid@gmail.com</t>
  </si>
  <si>
    <t>Vasquez Kaid Camila Alejandra</t>
  </si>
  <si>
    <t>Jefe(A) De Medio Ambiente</t>
  </si>
  <si>
    <t>Fiorella Montoya Portella</t>
  </si>
  <si>
    <t>16.503.903-3</t>
  </si>
  <si>
    <t>david.barriga@nutrisco.com</t>
  </si>
  <si>
    <t>david.i.barriga@gmail.com</t>
  </si>
  <si>
    <t>Barriga Rojas David Ignacio</t>
  </si>
  <si>
    <t>Jefe(A) De Mejora Continua Y Proyectos</t>
  </si>
  <si>
    <t>17.288.348-6</t>
  </si>
  <si>
    <t>elba.fredes@nutrisco.com</t>
  </si>
  <si>
    <t>efredesreyes@gmail.com</t>
  </si>
  <si>
    <t>Fredes Reyes Elba Elizabeth</t>
  </si>
  <si>
    <t>Jefe(A) De Planificacion Frutas Y Verduras</t>
  </si>
  <si>
    <t>18.412.624-9</t>
  </si>
  <si>
    <t>sebastian.olate@orizon.cl</t>
  </si>
  <si>
    <t>olate.vega@gmail.com</t>
  </si>
  <si>
    <t>Olate Vega Sebastian Ignacio</t>
  </si>
  <si>
    <t>Jefe(A) De Planificacion Y Confiabilidad</t>
  </si>
  <si>
    <t>13.456.233-1</t>
  </si>
  <si>
    <t>horacio.baldrich@nutrisco.com</t>
  </si>
  <si>
    <t>lhbc17@gmail.com</t>
  </si>
  <si>
    <t>Baldrich Cuadra Luis Horacio</t>
  </si>
  <si>
    <t>Jefe(A) De Planning</t>
  </si>
  <si>
    <t>12.432.514-5</t>
  </si>
  <si>
    <t>roberto.carcamo@orizon.cl</t>
  </si>
  <si>
    <t>robertocarcamo1611@gmail.com</t>
  </si>
  <si>
    <t>Carcamo Ojeda Roberto Carlos</t>
  </si>
  <si>
    <t>Jefe(A) De Planta Consumo Humano</t>
  </si>
  <si>
    <t>10.577.093-6</t>
  </si>
  <si>
    <t>marcos.nunez@orizon.cl</t>
  </si>
  <si>
    <t>marcos.nunez.g@gmail.com</t>
  </si>
  <si>
    <t>Nuñez Garcia Marcos Antonio</t>
  </si>
  <si>
    <t>Jefe(A) De Planta Harina Y Etiquetado</t>
  </si>
  <si>
    <t>19.242.678-2</t>
  </si>
  <si>
    <t>rosario.schacht@nutrisco.com</t>
  </si>
  <si>
    <t>rosarioschachts@gmail.com</t>
  </si>
  <si>
    <t>Schacht Spoerer Rosario</t>
  </si>
  <si>
    <t>Jefe(A) De Presupuesto, Proyectos E Inversion</t>
  </si>
  <si>
    <t>10.923.364-1</t>
  </si>
  <si>
    <t>andre.ponce@orizon.cl</t>
  </si>
  <si>
    <t>andreponcefernandez@gmail.com</t>
  </si>
  <si>
    <t>Ponce Fernandez Andre Ignacio</t>
  </si>
  <si>
    <t>Jefe(A) De Produccion Planta</t>
  </si>
  <si>
    <t>13.388.014-3</t>
  </si>
  <si>
    <t>carlos.gatica@nutrisco.com</t>
  </si>
  <si>
    <t>carlosgaticaparra@gmail.com</t>
  </si>
  <si>
    <t>Gatica Parra Carlos Antonio</t>
  </si>
  <si>
    <t>Jefe(A) De Productos Terminados Ch</t>
  </si>
  <si>
    <t>13.143.712-9</t>
  </si>
  <si>
    <t>jorge.miranda@nutrisco.com</t>
  </si>
  <si>
    <t>jmirandaf@gmail.com</t>
  </si>
  <si>
    <t>Miranda Ferrada Jorge Alejandro</t>
  </si>
  <si>
    <t>Jefe(A) De Productos Terminados H&amp;A</t>
  </si>
  <si>
    <t>18.776.680-k</t>
  </si>
  <si>
    <t>antonia.alamos@nutrisco.com</t>
  </si>
  <si>
    <t>antoniaalamosg@gmail.com</t>
  </si>
  <si>
    <t>Alamos Grau Antonia</t>
  </si>
  <si>
    <t>Jefe(A) De Proyecto De Sostenibilidad</t>
  </si>
  <si>
    <t>10.278.164-3</t>
  </si>
  <si>
    <t>claudia.celis@nutrisco.com</t>
  </si>
  <si>
    <t>ccelisguevara@gmail.com</t>
  </si>
  <si>
    <t>Celis Guevara Claudia Andrea</t>
  </si>
  <si>
    <t>Jefe(A) De Proyectos Ti</t>
  </si>
  <si>
    <t>16.552.215-k</t>
  </si>
  <si>
    <t>blagoje.razmilic@nutrisco.com</t>
  </si>
  <si>
    <t>blagorazmilic@gmail.com</t>
  </si>
  <si>
    <t>Razmilic Crichton Blagoje Mladem</t>
  </si>
  <si>
    <t>16.137.735-k</t>
  </si>
  <si>
    <t>mabel.poza@nutrisco.com</t>
  </si>
  <si>
    <t>mabelpoza@gmail.com</t>
  </si>
  <si>
    <t>Poza Tolosa Mabel De Lourdes</t>
  </si>
  <si>
    <t>Jefe(A) De Soporte Y Control Operativo</t>
  </si>
  <si>
    <t>17.222.367-2</t>
  </si>
  <si>
    <t>miguel.santos@orizon.cl</t>
  </si>
  <si>
    <t>msantoscotter@gmail.com</t>
  </si>
  <si>
    <t>Santos Cotter Miguel Angel</t>
  </si>
  <si>
    <t>Jefe(A) De Suministros</t>
  </si>
  <si>
    <t>9.348.238-7</t>
  </si>
  <si>
    <t>scorrea@cftla.cl</t>
  </si>
  <si>
    <t>rcorrea4260@gmail.com</t>
  </si>
  <si>
    <t>Correa Alarcon Sebastian Rolando</t>
  </si>
  <si>
    <t>Jefe(A) De Turno Bahia</t>
  </si>
  <si>
    <t>10.452.894-5</t>
  </si>
  <si>
    <t>javierneira68@gmail.com</t>
  </si>
  <si>
    <t>Neira Lobos Javier Adrian</t>
  </si>
  <si>
    <t>10.193.307-5</t>
  </si>
  <si>
    <t>l.albertosaez1@gmail.com</t>
  </si>
  <si>
    <t>Saez Peña Luis Alberto</t>
  </si>
  <si>
    <t>14.272.661-0</t>
  </si>
  <si>
    <t>esanchez20102010@hotmail.com</t>
  </si>
  <si>
    <t>Sanchez Cifuentes Eduardo Antonio</t>
  </si>
  <si>
    <t>16.581.708-7</t>
  </si>
  <si>
    <t>lizardo.gonzalez@orizon.cl</t>
  </si>
  <si>
    <t>ignagon47@gmail.com</t>
  </si>
  <si>
    <t>Gonzalez Flores Lizardo Ignacio</t>
  </si>
  <si>
    <t>Jefe(A) De Turno Blending</t>
  </si>
  <si>
    <t>Andre Ignacio Ponce Fernandez</t>
  </si>
  <si>
    <t>12.523.598-0</t>
  </si>
  <si>
    <t>cristian.cisternas@orizon.cl</t>
  </si>
  <si>
    <t>cristernascaceres@gmail.com</t>
  </si>
  <si>
    <t>Cisternas Caceres Cristian Giuliano</t>
  </si>
  <si>
    <t>Jefe(A) De Turno Congelado</t>
  </si>
  <si>
    <t>12.341.328-8</t>
  </si>
  <si>
    <t>cristian.delgado@orizon.cl</t>
  </si>
  <si>
    <t>cedelgadop@gmail.com</t>
  </si>
  <si>
    <t>Delgado Paillamanqui Cristian Enrique</t>
  </si>
  <si>
    <t>16.764.398-1</t>
  </si>
  <si>
    <t>juan.soto.solar@orizon.cl</t>
  </si>
  <si>
    <t>jc.sotos2018@gmail.com</t>
  </si>
  <si>
    <t>Soto Solar Juan Carlos</t>
  </si>
  <si>
    <t>10.416.004-2</t>
  </si>
  <si>
    <t>ramon.herrera@orizon.cl</t>
  </si>
  <si>
    <t>ramonh3008@gmail.com</t>
  </si>
  <si>
    <t>Herrera Hernandez Ramon Esteban</t>
  </si>
  <si>
    <t>Jefe(A) De Turno Conserva</t>
  </si>
  <si>
    <t>10.389.847-1</t>
  </si>
  <si>
    <t>luis.moena@orizon.cl</t>
  </si>
  <si>
    <t>emoena4952@gmail.com</t>
  </si>
  <si>
    <t>Moena Lazcano Luis Eduardo</t>
  </si>
  <si>
    <t>12.703.173-8</t>
  </si>
  <si>
    <t>mibraza@hotmail.com</t>
  </si>
  <si>
    <t>Bravo Zapata Milton</t>
  </si>
  <si>
    <t>Jefe(A) De Turno Harina</t>
  </si>
  <si>
    <t>20.258.588-4</t>
  </si>
  <si>
    <t>LUIS.VASQUEZ010200@GMAIL.COM</t>
  </si>
  <si>
    <t>Vasquez Sandoval Luis Jose</t>
  </si>
  <si>
    <t>9.517.205-9</t>
  </si>
  <si>
    <t>jm_346@yahoo.es</t>
  </si>
  <si>
    <t>Manriquez Duran Juan Arturo</t>
  </si>
  <si>
    <t>10.138.663-5</t>
  </si>
  <si>
    <t>lorenzo.vargas@orizon.cl</t>
  </si>
  <si>
    <t>Vargas Santis Lorenzo Eduardo</t>
  </si>
  <si>
    <t>7.136.551-4</t>
  </si>
  <si>
    <t>pedro.valenzuela@orizon.cl</t>
  </si>
  <si>
    <t>alvaradovalenzuelapedro@gmail.com</t>
  </si>
  <si>
    <t>Valenzuela Alvarado Pedro Alejandro</t>
  </si>
  <si>
    <t>12.362.391-6</t>
  </si>
  <si>
    <t>rodrigo.jofre@nutrisco.com</t>
  </si>
  <si>
    <t>rodrigo.jofre.rj@gmail.com</t>
  </si>
  <si>
    <t>Jofré Valdebenito Rodrigo Alejandro</t>
  </si>
  <si>
    <t>Jefe(A) De Vigilancia Y Ssgg</t>
  </si>
  <si>
    <t>17.857.920-7</t>
  </si>
  <si>
    <t>miguel.villanueva@orizon.cl</t>
  </si>
  <si>
    <t>mig.vilcue@gmail.com</t>
  </si>
  <si>
    <t>Villanueva Cuevas Miguel Angel</t>
  </si>
  <si>
    <t>Jefe(A) Desarrollo Productos Propios</t>
  </si>
  <si>
    <t>17.131.376-7</t>
  </si>
  <si>
    <t>myriam.rojas@nutrisco.com</t>
  </si>
  <si>
    <t>leliarojas2067@gmail.com</t>
  </si>
  <si>
    <t>Rojas Ibarra Myriam Lelia</t>
  </si>
  <si>
    <t>Jefe(A) Embarque Y Logistica Frutas Y Verduras</t>
  </si>
  <si>
    <t>10.475.147-4</t>
  </si>
  <si>
    <t>sergio.berrocal@nutrisco.com</t>
  </si>
  <si>
    <t>sberrocalmunoz@gmail.com</t>
  </si>
  <si>
    <t>Berrocal Muñoz Sergio Rolando</t>
  </si>
  <si>
    <t>Jefe(A) Planificacion Y Bodega Materiales</t>
  </si>
  <si>
    <t>16.986.452-7</t>
  </si>
  <si>
    <t>fabian.nieto@nutrisco.com</t>
  </si>
  <si>
    <t>fabianrafaelnietomorales@gmail.com</t>
  </si>
  <si>
    <t>Nieto Morales Fabian</t>
  </si>
  <si>
    <t>Jefe(A) Plataforma De Datos</t>
  </si>
  <si>
    <t>Gustavo Matamala Nuñez</t>
  </si>
  <si>
    <t>15.530.085-k</t>
  </si>
  <si>
    <t>cristian.millar@orizon.cl</t>
  </si>
  <si>
    <t>cmillar.apr@gmail.com</t>
  </si>
  <si>
    <t>Millar Davila Cristian Felipe</t>
  </si>
  <si>
    <t>Jefe(A) Prevencion De Riesgos</t>
  </si>
  <si>
    <t>17.242.220-9</t>
  </si>
  <si>
    <t>gustavo.matamala@nutrisco.com</t>
  </si>
  <si>
    <t>gu.matamala@gmail.com</t>
  </si>
  <si>
    <t>Matamala Nuñez Gustavo</t>
  </si>
  <si>
    <t>Jefe(A) Proyectos De Automatizacion Y Gestion</t>
  </si>
  <si>
    <t>13.796.286-1</t>
  </si>
  <si>
    <t>alexis.rivera@orizon.cl</t>
  </si>
  <si>
    <t>aleriverp@gmail.com</t>
  </si>
  <si>
    <t>Rivera Perez Alexis Antonio</t>
  </si>
  <si>
    <t>Jefe(A) Proyectos Y Mantencion Flota</t>
  </si>
  <si>
    <t>13.898.025-1</t>
  </si>
  <si>
    <t>pedro.cerda@orizon.cl</t>
  </si>
  <si>
    <t>pedrocerda51@hotmail.com</t>
  </si>
  <si>
    <t>Cerda Velasquez Pedro Alejandro</t>
  </si>
  <si>
    <t>Jefe(A) Turno Fisherman</t>
  </si>
  <si>
    <t>14.372.332-1</t>
  </si>
  <si>
    <t>luis.gutierrez@orizon.cl</t>
  </si>
  <si>
    <t>GUTIERREZ.ROJASL@HOTMAIL.COM</t>
  </si>
  <si>
    <t>Gutierrez Rojas Luis Andrés</t>
  </si>
  <si>
    <t>16.768.536-6</t>
  </si>
  <si>
    <t>francisco.ruiz@orizon.cl</t>
  </si>
  <si>
    <t>ing.franciscoruizh@gmail.com</t>
  </si>
  <si>
    <t>Ruiz Herrera Francisco Antonio</t>
  </si>
  <si>
    <t>19.083.952-4</t>
  </si>
  <si>
    <t>marlis.sandoval@nutrisco.com</t>
  </si>
  <si>
    <t>marlis.sg27@gmail.com</t>
  </si>
  <si>
    <t>Sandoval Gonzalez Marlis Paola</t>
  </si>
  <si>
    <t>Kam Productos Industriales</t>
  </si>
  <si>
    <t>Jose Luis Ureta Donoso</t>
  </si>
  <si>
    <t>8.263.948-9</t>
  </si>
  <si>
    <t>juaner.arenas@gmail.com</t>
  </si>
  <si>
    <t>Arenas Cepeda Juan Ernesto</t>
  </si>
  <si>
    <t>Laboratorista Aseguramiento Calidad</t>
  </si>
  <si>
    <t>10.163.077-3</t>
  </si>
  <si>
    <t>scontrerasartigas@gmail.com</t>
  </si>
  <si>
    <t>Contreras Artigas Sergio Cesar</t>
  </si>
  <si>
    <t>15.954.930-5</t>
  </si>
  <si>
    <t>mauricio.garrido@orizon.cl</t>
  </si>
  <si>
    <t>maurigarritor@gmail.com</t>
  </si>
  <si>
    <t>Garrido Torres Mauricio Eduardo</t>
  </si>
  <si>
    <t>16.598.825-6</t>
  </si>
  <si>
    <t>marco.aos14@gmail.com</t>
  </si>
  <si>
    <t>Orellana Salazar Marco Alexis</t>
  </si>
  <si>
    <t>19.598.957-5</t>
  </si>
  <si>
    <t>KATHERINE.A.GATICA@GMAIL.COM</t>
  </si>
  <si>
    <t>Gatica Valenzuela Katherine Alejandra</t>
  </si>
  <si>
    <t>18.414.706-8</t>
  </si>
  <si>
    <t>DIETER.ZAPATA@GMAIL.COM</t>
  </si>
  <si>
    <t>Zapata Gutierrez Dieter Ismael</t>
  </si>
  <si>
    <t>18.404.502-8</t>
  </si>
  <si>
    <t>miperez@udec.cl</t>
  </si>
  <si>
    <t>Pérez Luna Milton Edgardo</t>
  </si>
  <si>
    <t>19.408.587-7</t>
  </si>
  <si>
    <t>mabel.maidana@nutrisco.com</t>
  </si>
  <si>
    <t>mmaidana.mabel@gmail.com</t>
  </si>
  <si>
    <t>Maidana Maidana Mabel Alejandra</t>
  </si>
  <si>
    <t>Lider Presupuesto Proyecto E Inversion</t>
  </si>
  <si>
    <t>9.377.237-7</t>
  </si>
  <si>
    <t>luis.garay@orizon.cl</t>
  </si>
  <si>
    <t>luga6321@gmail.com</t>
  </si>
  <si>
    <t>Garay Carvajal Luis Alfredo</t>
  </si>
  <si>
    <t>Logistico Intermedio</t>
  </si>
  <si>
    <t>Narciso Wilfredo Guevara Letelier</t>
  </si>
  <si>
    <t>11.353.351-k</t>
  </si>
  <si>
    <t>narciso.guevara@orizon.cl</t>
  </si>
  <si>
    <t>narzi_31@hotmail.com</t>
  </si>
  <si>
    <t>Guevara Letelier Narciso Wilfredo</t>
  </si>
  <si>
    <t>14.372.168-k</t>
  </si>
  <si>
    <t>maximiliano.mardones@orizon.cl</t>
  </si>
  <si>
    <t>mxmmardonesarias@gmail.com</t>
  </si>
  <si>
    <t>Mardones Arias Maximiliano Eduardo</t>
  </si>
  <si>
    <t>9.464.925-0</t>
  </si>
  <si>
    <t>jose.araya@orizon.cl</t>
  </si>
  <si>
    <t>josearayasanhueza5@gmail.com</t>
  </si>
  <si>
    <t>Araya Sanhueza Jose Alberto</t>
  </si>
  <si>
    <t>Jose Enrique Hernandez Villegas</t>
  </si>
  <si>
    <t>20.362.430-1</t>
  </si>
  <si>
    <t>javiera.gonzalez@orizon.cl</t>
  </si>
  <si>
    <t>jaavieragg18@gmail.com</t>
  </si>
  <si>
    <t>Gonzalez Garcia Javiera Antonia</t>
  </si>
  <si>
    <t>Logistico Junior</t>
  </si>
  <si>
    <t>13.110.167-8</t>
  </si>
  <si>
    <t>pedro.leon@orizon.cl</t>
  </si>
  <si>
    <t>pedro.eleccion1976@gmail.com</t>
  </si>
  <si>
    <t>Leon Novoa Pedro Alex</t>
  </si>
  <si>
    <t>18.808.896-1</t>
  </si>
  <si>
    <t>daniel.valdebenito@orizon.cl</t>
  </si>
  <si>
    <t>danielvaldebenito.18@hotmail.com</t>
  </si>
  <si>
    <t>Valdebenito Mora Daniel Isaac</t>
  </si>
  <si>
    <t>8.973.214-k</t>
  </si>
  <si>
    <t>diaz37788@gmail.com</t>
  </si>
  <si>
    <t>Diaz Sanchez Carlos Jose</t>
  </si>
  <si>
    <t>15.188.052-5</t>
  </si>
  <si>
    <t>javieralarconriquelme@hotmail.com</t>
  </si>
  <si>
    <t>Alarcon Riquelme Javier Alexis</t>
  </si>
  <si>
    <t>20.441.624-9</t>
  </si>
  <si>
    <t>cesar.soto@orizon.cl</t>
  </si>
  <si>
    <t>booxeahd@gmail.com</t>
  </si>
  <si>
    <t>Soto Cofre Cesar Osvaldo</t>
  </si>
  <si>
    <t>Pedro Enrique Alfaro Flores</t>
  </si>
  <si>
    <t>15.588.476-2</t>
  </si>
  <si>
    <t>ARIELBRITO422@GMAIL.COM</t>
  </si>
  <si>
    <t>Brito Gonzalez Ariel Edgardo</t>
  </si>
  <si>
    <t>9.520.956-4</t>
  </si>
  <si>
    <t>m.villagra64@gmail.com</t>
  </si>
  <si>
    <t>Villagra Umara Marco Antonio</t>
  </si>
  <si>
    <t>19.577.743-8</t>
  </si>
  <si>
    <t>Leonardo.florescv19@gmail.com</t>
  </si>
  <si>
    <t>Flores Cuevas Leonardo Francisco</t>
  </si>
  <si>
    <t>17.450.701-5</t>
  </si>
  <si>
    <t>caro.1990.alvarez@gmail.com</t>
  </si>
  <si>
    <t>Alvarez Riquelme Carolina Aurora</t>
  </si>
  <si>
    <t>11.901.061-6</t>
  </si>
  <si>
    <t>cristian.alarcon@orizon.cl</t>
  </si>
  <si>
    <t>kristian.alarcono@gmail.com</t>
  </si>
  <si>
    <t>Alarcon Oviedo Cristian Marcelo</t>
  </si>
  <si>
    <t>Logístico Junior</t>
  </si>
  <si>
    <t>15.193.580-k</t>
  </si>
  <si>
    <t>oscar.24.oapj@gmail.com</t>
  </si>
  <si>
    <t>Poblete Jofre Oscar Alejandro</t>
  </si>
  <si>
    <t>11.913.460-9</t>
  </si>
  <si>
    <t>pedro.sobino@nutrisco.com</t>
  </si>
  <si>
    <t>pedro.sobino@gmail.com</t>
  </si>
  <si>
    <t>Sobino Bello Pedro Segundo</t>
  </si>
  <si>
    <t>13.954.612-1</t>
  </si>
  <si>
    <t>karlosvillagran80@gmail.com</t>
  </si>
  <si>
    <t>Villagran Gutierrez Carlos Eduardo</t>
  </si>
  <si>
    <t>20.125.042-0</t>
  </si>
  <si>
    <t>JOSERIVAS9811@GMAIL.COM</t>
  </si>
  <si>
    <t>Rivas Vargas Jose Miguel</t>
  </si>
  <si>
    <t>11.903.785-9</t>
  </si>
  <si>
    <t>josecatrilnovoa@gmail.com</t>
  </si>
  <si>
    <t>Catril Novoa Jose Mauricio</t>
  </si>
  <si>
    <t>9.762.103-9</t>
  </si>
  <si>
    <t>juan.varas@orizon.cl</t>
  </si>
  <si>
    <t>juanvarascastillo67@gmail.com</t>
  </si>
  <si>
    <t>Varas Castillo Juan Carlos</t>
  </si>
  <si>
    <t>Logistico Senior</t>
  </si>
  <si>
    <t>14.213.032-7</t>
  </si>
  <si>
    <t>Chochooo96517@gmail.com</t>
  </si>
  <si>
    <t>Aguilera Vega Jorge Esteban</t>
  </si>
  <si>
    <t>Mecanico</t>
  </si>
  <si>
    <t>Sergio Alberto Meneses Sánchez</t>
  </si>
  <si>
    <t>15.955.455-4</t>
  </si>
  <si>
    <t>villagransalzar@gmail.com</t>
  </si>
  <si>
    <t>Villagran Salazar Jaime Andres</t>
  </si>
  <si>
    <t>17.969.311-9</t>
  </si>
  <si>
    <t>hpe.seguel@gmail.com</t>
  </si>
  <si>
    <t>Peña Seguel Hans Erasmo</t>
  </si>
  <si>
    <t>22.346.011-9</t>
  </si>
  <si>
    <t>lubricadorphp@orizon.cl</t>
  </si>
  <si>
    <t>orland8.hidalg8@gmail.com</t>
  </si>
  <si>
    <t>Hidalgo Ramirez Edwin Orlando</t>
  </si>
  <si>
    <t>7.969.608-0</t>
  </si>
  <si>
    <t>ejas553@gmail.com</t>
  </si>
  <si>
    <t>Acuña Sanhueza Efrain Javier</t>
  </si>
  <si>
    <t>15.170.747-5</t>
  </si>
  <si>
    <t>CHRISTIANALEJ28@GMAIL.COM</t>
  </si>
  <si>
    <t>Hidalgo Alarcon Christian Alejandro</t>
  </si>
  <si>
    <t>Mecanico De Turno</t>
  </si>
  <si>
    <t>16.442.016-7</t>
  </si>
  <si>
    <t>alvarezmondaca@gmail.com</t>
  </si>
  <si>
    <t>Alvarez Mondaca Ana Magdalena</t>
  </si>
  <si>
    <t>18.633.168-0</t>
  </si>
  <si>
    <t>ginoandresflores@gmail.com</t>
  </si>
  <si>
    <t>Flores Quiroga Gino Andres</t>
  </si>
  <si>
    <t>9.590.822-5</t>
  </si>
  <si>
    <t>jorgeravanalnaranjo01@gmail.com</t>
  </si>
  <si>
    <t>Ravanal Naranjo Jorge Antonio</t>
  </si>
  <si>
    <t>11.755.533-k</t>
  </si>
  <si>
    <t>segundo.alegria@gmail.com</t>
  </si>
  <si>
    <t>Alegria Romero Segundo Augusto</t>
  </si>
  <si>
    <t>10.117.554-5</t>
  </si>
  <si>
    <t>torres.marceloalejandro@gmail.com</t>
  </si>
  <si>
    <t>Torres Torres Marcelo</t>
  </si>
  <si>
    <t>12.965.884-3</t>
  </si>
  <si>
    <t>benedictoramirez929@gmail.com</t>
  </si>
  <si>
    <t>Ramirez Bustos Benedicto Daniel</t>
  </si>
  <si>
    <t>13.807.066-2</t>
  </si>
  <si>
    <t>robertorgl138070662@gmail.com</t>
  </si>
  <si>
    <t>Garces Lavin Roberto Ruben</t>
  </si>
  <si>
    <t>Gerardo Fabian Rodriguez Zambrano</t>
  </si>
  <si>
    <t>15.518.384-5</t>
  </si>
  <si>
    <t>espinozaerik017@gmail.com</t>
  </si>
  <si>
    <t>Espinoza Sanhueza Erik Alexander</t>
  </si>
  <si>
    <t>15.616.166-7</t>
  </si>
  <si>
    <t>flavioisla035@gmail.com</t>
  </si>
  <si>
    <t>Isla Silva Flavio Ernei</t>
  </si>
  <si>
    <t>19.509.722-4</t>
  </si>
  <si>
    <t>carovargasdaniel@gmail.com</t>
  </si>
  <si>
    <t>Caro Vargas Daniel Marcelo</t>
  </si>
  <si>
    <t>20.125.627-5</t>
  </si>
  <si>
    <t>gerareliaz@gmail.com</t>
  </si>
  <si>
    <t>Portiño Diaz Gerardo Elias</t>
  </si>
  <si>
    <t>8.398.857-6</t>
  </si>
  <si>
    <t>nelsonviverosmora@gmail.com</t>
  </si>
  <si>
    <t>Viveros Mora Nelson Antonio</t>
  </si>
  <si>
    <t>9.287.145-2</t>
  </si>
  <si>
    <t>jorgehame@hotmail.com</t>
  </si>
  <si>
    <t>Hamame Oñate Jorge David</t>
  </si>
  <si>
    <t>9.363.315-6</t>
  </si>
  <si>
    <t>vicmedinamartinez@gmail.com</t>
  </si>
  <si>
    <t>Medina Martinez Victor Manuel</t>
  </si>
  <si>
    <t>9.762.178-0</t>
  </si>
  <si>
    <t>victormtd@gmail.com</t>
  </si>
  <si>
    <t>Salamanca Carrasco Victor Moises</t>
  </si>
  <si>
    <t>19.506.467-9</t>
  </si>
  <si>
    <t>julio.97.carvajal@gmail.com</t>
  </si>
  <si>
    <t>Miranda Carvajal Julio Elias</t>
  </si>
  <si>
    <t>10.163.521-k</t>
  </si>
  <si>
    <t>alberto.flores.m2016@gmail.com</t>
  </si>
  <si>
    <t>Flores Mamani Alberto Orlando</t>
  </si>
  <si>
    <t>Mecanico Especialista</t>
  </si>
  <si>
    <t>10.495.901-6</t>
  </si>
  <si>
    <t>jorgemedina1508@gmail.com</t>
  </si>
  <si>
    <t>Medina Gonzalez Jorge Luis</t>
  </si>
  <si>
    <t>Mecanico Especialista Ii</t>
  </si>
  <si>
    <t>9.429.227-1</t>
  </si>
  <si>
    <t>CONTRERASROJASCARLOS@GMAIL.COM</t>
  </si>
  <si>
    <t>Contreras Rojas Carlos Antonio</t>
  </si>
  <si>
    <t>7.560.116-6</t>
  </si>
  <si>
    <t>eduardoaa329@gmail.com</t>
  </si>
  <si>
    <t>Aguilera Arriagada Eduardo Washinto</t>
  </si>
  <si>
    <t>Mecanico Flota</t>
  </si>
  <si>
    <t>11.285.661-7</t>
  </si>
  <si>
    <t>tolosajoaquin08@gmail.com</t>
  </si>
  <si>
    <t>Tolosa Macaya Joaquin Antonio</t>
  </si>
  <si>
    <t>18.684.733-4</t>
  </si>
  <si>
    <t>tolosacuiti@gmail.com</t>
  </si>
  <si>
    <t>Tolosa Cuitiño Joaquin Alejandro</t>
  </si>
  <si>
    <t>15.755.929-k</t>
  </si>
  <si>
    <t>c.alvarez.frigorista@gmail.com</t>
  </si>
  <si>
    <t>Alvarez Chavez Cristian Andres</t>
  </si>
  <si>
    <t>15.187.959-4</t>
  </si>
  <si>
    <t>sergycasa@gmail.com</t>
  </si>
  <si>
    <t>Araneda Casanova Sergio Andres</t>
  </si>
  <si>
    <t>12.207.842-6</t>
  </si>
  <si>
    <t>rorro.oliva@gmail.com</t>
  </si>
  <si>
    <t>Oliva Rojas Rodrigo Leonardo</t>
  </si>
  <si>
    <t>13.311.824-1</t>
  </si>
  <si>
    <t>gabricata@gmail.com</t>
  </si>
  <si>
    <t>Espinoza Guzman Christian Engelberth</t>
  </si>
  <si>
    <t>13.312.519-1</t>
  </si>
  <si>
    <t>jaimarogabriel@gmail.com</t>
  </si>
  <si>
    <t>Sanchez Urra Gabriel Enrique</t>
  </si>
  <si>
    <t>15.193.046-8</t>
  </si>
  <si>
    <t>clausal_82@hotmail.es</t>
  </si>
  <si>
    <t>Salinas Riquelme Claudio Andres</t>
  </si>
  <si>
    <t>15.421.559-k</t>
  </si>
  <si>
    <t>carlosespinola1@gmail.com</t>
  </si>
  <si>
    <t>Espinola Opazo Carlos Andres</t>
  </si>
  <si>
    <t>15.528.827-2</t>
  </si>
  <si>
    <t>voquezad@gmail.com</t>
  </si>
  <si>
    <t>Quezada Araneda Vladimir Orlando</t>
  </si>
  <si>
    <t>16.503.920-3</t>
  </si>
  <si>
    <t>josemag24@gmail.com</t>
  </si>
  <si>
    <t>Alvarez Gallardo José Miguel</t>
  </si>
  <si>
    <t>8.324.258-2</t>
  </si>
  <si>
    <t>manuel.sanhueza1106@gmail.com</t>
  </si>
  <si>
    <t>Sanhueza Montero Manuel Hernan</t>
  </si>
  <si>
    <t>9.756.898-7</t>
  </si>
  <si>
    <t>george-fierro@hotmail.com</t>
  </si>
  <si>
    <t>Ferreira Fierro Jorge Alberto</t>
  </si>
  <si>
    <t>18.412.576-5</t>
  </si>
  <si>
    <t>lisette.contreras.garrido@gmail.com</t>
  </si>
  <si>
    <t>Contreras Garrido Lisette Macarena</t>
  </si>
  <si>
    <t>9.781.706-5</t>
  </si>
  <si>
    <t>MARIA.JACQUELINE706@GMAIL.COM</t>
  </si>
  <si>
    <t>Sanhueza Orellana Maria Jacqueline</t>
  </si>
  <si>
    <t>15.216.995-7</t>
  </si>
  <si>
    <t>raquelrsrp@gmail.com</t>
  </si>
  <si>
    <t>Rivas Perez Raquel Andrea</t>
  </si>
  <si>
    <t>17.320.459-0</t>
  </si>
  <si>
    <t>EVA.A.VARGAS89@GMAIL.COM</t>
  </si>
  <si>
    <t>Arevalo Vargas Evangeline Lissette</t>
  </si>
  <si>
    <t>17.076.094-8</t>
  </si>
  <si>
    <t>LIDIACARRASCOSEPULVEDA@GMAIL.COM</t>
  </si>
  <si>
    <t>Carrasco Sepulveda Lidia Elizabeth</t>
  </si>
  <si>
    <t>13.507.953-7</t>
  </si>
  <si>
    <t>PLAZAPAO1977@GMAIL.COM</t>
  </si>
  <si>
    <t>Chavez Plaza Paola Del Carmen</t>
  </si>
  <si>
    <t>13.508.114-0</t>
  </si>
  <si>
    <t>CLAUDIOFISE@GMAIL.COM</t>
  </si>
  <si>
    <t>Figueroa Seguel Claudio Andres</t>
  </si>
  <si>
    <t>16.764.125-3</t>
  </si>
  <si>
    <t>victoriaher.36@gmail.com</t>
  </si>
  <si>
    <t>Hermosilla Bravo Victoria Carolina</t>
  </si>
  <si>
    <t>16.036.890-k</t>
  </si>
  <si>
    <t>CARLOSALBERTOMORAM@GMAIL.COM</t>
  </si>
  <si>
    <t>Mora Mora Carlos Alberto</t>
  </si>
  <si>
    <t>17.000.676-3</t>
  </si>
  <si>
    <t>karituparranorambuena@gmail.com</t>
  </si>
  <si>
    <t>Parra Norambuena Karol Ximena</t>
  </si>
  <si>
    <t>16.601.015-2</t>
  </si>
  <si>
    <t>rodrigo.tapia.salinas@gmail.com</t>
  </si>
  <si>
    <t>Tapia Salinas Rodrigo Eduardo</t>
  </si>
  <si>
    <t>16.347.939-7</t>
  </si>
  <si>
    <t>MARCELITAVIDAL@gmail.com</t>
  </si>
  <si>
    <t>Vidal Huenchuleo Marcela Lorena</t>
  </si>
  <si>
    <t>19.566.539-7</t>
  </si>
  <si>
    <t>matamalaandrea90@gmail.com</t>
  </si>
  <si>
    <t>Matamala Mac-Kay Jessica Andrea</t>
  </si>
  <si>
    <t>16.818.256-2</t>
  </si>
  <si>
    <t>katherine.p.c.d@hotmail.cl</t>
  </si>
  <si>
    <t>Cuevas Diaz Katherine Paola</t>
  </si>
  <si>
    <t>11.449.083-0</t>
  </si>
  <si>
    <t>Leal Valenzuela Patricia Margaret</t>
  </si>
  <si>
    <t>13.953.625-8</t>
  </si>
  <si>
    <t>analista.etiquetado@orizon.cl</t>
  </si>
  <si>
    <t>pmariomardones@gmail.com</t>
  </si>
  <si>
    <t>Marió Mardones Paulina Andrea</t>
  </si>
  <si>
    <t>18.069.608-3</t>
  </si>
  <si>
    <t>carola.mellado@orizon.cl</t>
  </si>
  <si>
    <t>melladocarola7@gmail.com</t>
  </si>
  <si>
    <t>Mellado Fierro Carola Andrea</t>
  </si>
  <si>
    <t>18.135.151-9</t>
  </si>
  <si>
    <t>joelariel545@gmail.com</t>
  </si>
  <si>
    <t>Medina Luengo Joel Ariel</t>
  </si>
  <si>
    <t>10.021.264-1</t>
  </si>
  <si>
    <t>Jmonsalvez66.jm@gmail.com</t>
  </si>
  <si>
    <t>Monsalvez Gutierrez Juan Antonio</t>
  </si>
  <si>
    <t>12.703.195-9</t>
  </si>
  <si>
    <t>foxtrot.angers@gmail.com</t>
  </si>
  <si>
    <t>Rios Soto Angelo Enrique</t>
  </si>
  <si>
    <t>19.332.061-9</t>
  </si>
  <si>
    <t>Cristina.riffocastro@gmail.com</t>
  </si>
  <si>
    <t>Riffo Castro Cristina Deisy</t>
  </si>
  <si>
    <t>15.529.872-3</t>
  </si>
  <si>
    <t>jmmendiburo@gmail.com</t>
  </si>
  <si>
    <t>Sanchez Recabarren Claudia Carolyn</t>
  </si>
  <si>
    <t>18.134.850-k</t>
  </si>
  <si>
    <t>scarlet.venegas@hotmail.com</t>
  </si>
  <si>
    <t>Venegas Unzueta Scarlet Elizabeth</t>
  </si>
  <si>
    <t>17.844.420-4</t>
  </si>
  <si>
    <t>lavindaza.daniel@gmail.com</t>
  </si>
  <si>
    <t>Lavin Daza Daniel Antonio</t>
  </si>
  <si>
    <t>18.108.706-4</t>
  </si>
  <si>
    <t>gisellecarolinevc@gmail.com</t>
  </si>
  <si>
    <t>Villa Calvo Caroline Giselle</t>
  </si>
  <si>
    <t>8.680.798-k</t>
  </si>
  <si>
    <t>luisedunavarrod@gmail.com</t>
  </si>
  <si>
    <t>Navarro Diaz Luis Eduardo</t>
  </si>
  <si>
    <t>19.297.515-8</t>
  </si>
  <si>
    <t>MARILYNAREVALO25@GMAIL.COM</t>
  </si>
  <si>
    <t>Arevalo Vargas Marilyn Luzmira</t>
  </si>
  <si>
    <t>17.344.598-9</t>
  </si>
  <si>
    <t>francisco.correa.lmp@gmail.com</t>
  </si>
  <si>
    <t>Correa Madariaga Francisco Javier</t>
  </si>
  <si>
    <t>Motorista</t>
  </si>
  <si>
    <t>15.518.466-3</t>
  </si>
  <si>
    <t>nicolas.gonzalez@alumnos.usm.cl</t>
  </si>
  <si>
    <t>Gonzalez Almendras Nicolas Felipe</t>
  </si>
  <si>
    <t>10.186.425-1</t>
  </si>
  <si>
    <t>oscar_elmes_leal@hotmail.com</t>
  </si>
  <si>
    <t>Elmes Leal Oscar Alejandro</t>
  </si>
  <si>
    <t>10.513.829-6</t>
  </si>
  <si>
    <t>edujananin@gmail.com</t>
  </si>
  <si>
    <t>Stuardo Carrillo Eduardo Alejandro</t>
  </si>
  <si>
    <t>11.184.301-5</t>
  </si>
  <si>
    <t>leoroco2224@hotmail.com</t>
  </si>
  <si>
    <t>Morales Flores Leonel Octavio</t>
  </si>
  <si>
    <t>11.446.626-3</t>
  </si>
  <si>
    <t>joridi102@gmail.com</t>
  </si>
  <si>
    <t>Diaz Caamaño Jose Ricardo</t>
  </si>
  <si>
    <t>11.537.154-1</t>
  </si>
  <si>
    <t>j.l_andana@hotmail.com</t>
  </si>
  <si>
    <t>Andana Caamaño Jose Leonel</t>
  </si>
  <si>
    <t>12.995.232-6</t>
  </si>
  <si>
    <t>ianp04847@gmail.com</t>
  </si>
  <si>
    <t>Perez Acuña Ian Jose</t>
  </si>
  <si>
    <t>14.434.304-2</t>
  </si>
  <si>
    <t>hceballo@hotmail.com</t>
  </si>
  <si>
    <t>Ceballo Venegas Henry Alfonso</t>
  </si>
  <si>
    <t>15.855.044-k</t>
  </si>
  <si>
    <t>jorpimotorman@hotmail.com</t>
  </si>
  <si>
    <t>Pinilla Portiño Jorge Armando</t>
  </si>
  <si>
    <t>15.911.853-3</t>
  </si>
  <si>
    <t>luis.solorza.c@gmail.com</t>
  </si>
  <si>
    <t>Solorza Correa Luis Marcelo</t>
  </si>
  <si>
    <t>16.039.446-3</t>
  </si>
  <si>
    <t>francisco.bastias19@gmail.com</t>
  </si>
  <si>
    <t>Bastias Quezada Francisco Andres</t>
  </si>
  <si>
    <t>17.223.664-2</t>
  </si>
  <si>
    <t>victorcuevas.palma@gmail.com</t>
  </si>
  <si>
    <t>Cuevas Palma Ostidio Victor</t>
  </si>
  <si>
    <t>17.897.736-9</t>
  </si>
  <si>
    <t>madara.07@live.com</t>
  </si>
  <si>
    <t>Alister Seguel Christopher Alfonso</t>
  </si>
  <si>
    <t>18.318.714-7</t>
  </si>
  <si>
    <t>elliot.soto@virginiogomez.cl</t>
  </si>
  <si>
    <t>Soto Guzman Elliot Byron</t>
  </si>
  <si>
    <t>18.321.753-4</t>
  </si>
  <si>
    <t>diego.aguilar.a@hotmail.com</t>
  </si>
  <si>
    <t>Aguilar Agurto Diego Orlando</t>
  </si>
  <si>
    <t>7.645.492-2</t>
  </si>
  <si>
    <t>juliocr7264@gmail.com</t>
  </si>
  <si>
    <t>Riquelme Parra Julio Cesar</t>
  </si>
  <si>
    <t>8.686.633-1</t>
  </si>
  <si>
    <t>orellanapat@hotmail.com</t>
  </si>
  <si>
    <t>Orellana Bahamondes Patricio Del C.</t>
  </si>
  <si>
    <t>8.700.518-6</t>
  </si>
  <si>
    <t>gonzalez302k@gmail.com</t>
  </si>
  <si>
    <t>Gonzalez Perez Luis Hector</t>
  </si>
  <si>
    <t>8.874.224-9</t>
  </si>
  <si>
    <t>victor_esp12@hotmail.com</t>
  </si>
  <si>
    <t>Espinoza Gonzalez Victor Manuel</t>
  </si>
  <si>
    <t>9.334.103-1</t>
  </si>
  <si>
    <t>victornorambuena7@gmail.com</t>
  </si>
  <si>
    <t>Norambuena Rivera Victor Hugo</t>
  </si>
  <si>
    <t>9.339.076-8</t>
  </si>
  <si>
    <t>r.mercado.l@hotmail.com</t>
  </si>
  <si>
    <t>Mercado Luna Roberto Mario</t>
  </si>
  <si>
    <t>9.428.171-7</t>
  </si>
  <si>
    <t>eugeniocontreras2018@gmail.com</t>
  </si>
  <si>
    <t>Contreras Muñoz Raul Eugenio</t>
  </si>
  <si>
    <t>9.431.961-7</t>
  </si>
  <si>
    <t>ginofco.cortez@gmail.com</t>
  </si>
  <si>
    <t>Cortez Velasquez Gino Francisco</t>
  </si>
  <si>
    <t>9.703.440-0</t>
  </si>
  <si>
    <t>gabrielhenriquezsantana46@gmail.com</t>
  </si>
  <si>
    <t>Henriquez Santana Gabriel David</t>
  </si>
  <si>
    <t>9.747.340-4</t>
  </si>
  <si>
    <t>jose_lobito@live.cl</t>
  </si>
  <si>
    <t>Sanhueza Roa Jose Luis</t>
  </si>
  <si>
    <t>14.274.033-8</t>
  </si>
  <si>
    <t>fernandez_melo@hotmail.com</t>
  </si>
  <si>
    <t>Fernandez Melo Luis Manuel</t>
  </si>
  <si>
    <t>Carlos Enrique Muñoz Cortes</t>
  </si>
  <si>
    <t>17.616.890-0</t>
  </si>
  <si>
    <t>matus.usm@gmail.com</t>
  </si>
  <si>
    <t>Matus Aravena Daniel Marcos</t>
  </si>
  <si>
    <t>22.735.006-7</t>
  </si>
  <si>
    <t>javicabrerap90@gmail.com</t>
  </si>
  <si>
    <t>Cabrera Pincheira Javier Andrés</t>
  </si>
  <si>
    <t>20.116.576-8</t>
  </si>
  <si>
    <t>victor12payllacan@gmail.com</t>
  </si>
  <si>
    <t>Ñanco Payllacan Victor Patricio</t>
  </si>
  <si>
    <t>Operador Agua Mar</t>
  </si>
  <si>
    <t>Jose Carlos Hidalgo Flores</t>
  </si>
  <si>
    <t>9.331.796-3</t>
  </si>
  <si>
    <t>vargasmario1234567@gmail.com</t>
  </si>
  <si>
    <t>Vargas Triviño Mario Alberto</t>
  </si>
  <si>
    <t>9.550.571-6</t>
  </si>
  <si>
    <t>luisenriqueescobarfica@gmail.com</t>
  </si>
  <si>
    <t>Escobar Fica Luis Enrique</t>
  </si>
  <si>
    <t>19.826.842-9</t>
  </si>
  <si>
    <t>SCFRITZ@CFTLA.CL</t>
  </si>
  <si>
    <t>Fritz Sufan Scarlet Fernanda</t>
  </si>
  <si>
    <t>Operador Control Producción</t>
  </si>
  <si>
    <t>20.785.939-7</t>
  </si>
  <si>
    <t>Palmaelevancin0@gmail.com</t>
  </si>
  <si>
    <t>Palma Elevancin Hector Juan Pablo</t>
  </si>
  <si>
    <t>18.821.990-k</t>
  </si>
  <si>
    <t>HOLANDA.BELLO.7@GMAIL.COM</t>
  </si>
  <si>
    <t>Bello Muñoz Holanda Victoria</t>
  </si>
  <si>
    <t>Operador De Autoclaves</t>
  </si>
  <si>
    <t>Luis Andrés Gutierrez Rojas</t>
  </si>
  <si>
    <t>17.000.762-k</t>
  </si>
  <si>
    <t>urderokluna@gmail.com</t>
  </si>
  <si>
    <t>Luna Urdero Katherine Patricia</t>
  </si>
  <si>
    <t>11.903.293-8</t>
  </si>
  <si>
    <t>rhvr29@gmail.com</t>
  </si>
  <si>
    <t>Valenzuela Renca Richard Hernan</t>
  </si>
  <si>
    <t>Luis Eduardo Moena Lazcano</t>
  </si>
  <si>
    <t>20.020.000-4</t>
  </si>
  <si>
    <t>samuelvalenzueladiesiseis@gmail.com</t>
  </si>
  <si>
    <t>Valenzuela Quiñimil Samuel Edgardo</t>
  </si>
  <si>
    <t>20.613.170-5</t>
  </si>
  <si>
    <t>valentincarrascocopelli1010@gmail.com</t>
  </si>
  <si>
    <t>Carrasco Copelli Valentin Patricio</t>
  </si>
  <si>
    <t>Ramon Esteban Herrera Hernandez</t>
  </si>
  <si>
    <t>21.145.845-3</t>
  </si>
  <si>
    <t>jordanmb88@gmail.com</t>
  </si>
  <si>
    <t>Manriquez Bastias Jordan Andres</t>
  </si>
  <si>
    <t>9.658.425-3</t>
  </si>
  <si>
    <t>juvemauri1964@gmail.com</t>
  </si>
  <si>
    <t>Oñate Garrido Juvenal Mauricio</t>
  </si>
  <si>
    <t>9.273.647-4</t>
  </si>
  <si>
    <t>javitierno1964@gmail.com</t>
  </si>
  <si>
    <t>javierbastias1964@gmail.com</t>
  </si>
  <si>
    <t>Bastias Lara Javier Edgardo</t>
  </si>
  <si>
    <t>Operador De Autoclaves Ii</t>
  </si>
  <si>
    <t>10.082.361-6</t>
  </si>
  <si>
    <t>luisherrerasanhueza.65@gmail.com</t>
  </si>
  <si>
    <t>Herrera Sanhueza Luis Alberto</t>
  </si>
  <si>
    <t>17.640.962-2</t>
  </si>
  <si>
    <t>CIDPIZARRO20@GMAIL.COM</t>
  </si>
  <si>
    <t>Cid Lopez Oliver Damian</t>
  </si>
  <si>
    <t>Operador De Automatizacion</t>
  </si>
  <si>
    <t>Juan Carlos Soto Solar</t>
  </si>
  <si>
    <t>20.125.233-4</t>
  </si>
  <si>
    <t>alonso.mora@orizon.cl</t>
  </si>
  <si>
    <t>ALONSOMORANAVARRO@GMAIL.COM</t>
  </si>
  <si>
    <t>Mora Navarro Alonso Ignacio</t>
  </si>
  <si>
    <t>26.793.817-2</t>
  </si>
  <si>
    <t>EDENRAMOS@GMAIL.COM</t>
  </si>
  <si>
    <t>Ramos Martinez Eden Ernesto</t>
  </si>
  <si>
    <t>Cristian Enrique Delgado Paillamanqui</t>
  </si>
  <si>
    <t>7.998.542-2</t>
  </si>
  <si>
    <t>cesar.rifo@orizon.cl</t>
  </si>
  <si>
    <t>cesar.rifo@outlook.com</t>
  </si>
  <si>
    <t>Rifo Cabrera Cesar Arnoldo</t>
  </si>
  <si>
    <t>19.577.869-8</t>
  </si>
  <si>
    <t>mauricio.sepulveda@orizon.cl</t>
  </si>
  <si>
    <t>sepulvedamedinamauricio@gmail.com</t>
  </si>
  <si>
    <t>Sepulveda Medina Mauricio Enrique</t>
  </si>
  <si>
    <t>Cristian Giuliano Cisternas Caceres</t>
  </si>
  <si>
    <t>28.010.839-1</t>
  </si>
  <si>
    <t>cesar.vera@orizon.cl</t>
  </si>
  <si>
    <t>cesarprotin@gmail.com</t>
  </si>
  <si>
    <t>Vera Meza Cesar Augusto</t>
  </si>
  <si>
    <t>10.278.729-3</t>
  </si>
  <si>
    <t>juancartes374@gmail.com</t>
  </si>
  <si>
    <t>Cartes Fuentes Juan Alfonso</t>
  </si>
  <si>
    <t>Operador de Caldera</t>
  </si>
  <si>
    <t>8.643.224-2</t>
  </si>
  <si>
    <t>r.moraleslartiga23@gmail.com</t>
  </si>
  <si>
    <t>Morales Lartiga Raul Alejandro</t>
  </si>
  <si>
    <t>10.171.392-k</t>
  </si>
  <si>
    <t>eduardo.otarola@orizon.cl</t>
  </si>
  <si>
    <t>otarola.diaz@gmail.com</t>
  </si>
  <si>
    <t>Otarola Diaz Eduardo Mauricio</t>
  </si>
  <si>
    <t>9.457.992-9</t>
  </si>
  <si>
    <t>carlosriost23@gmail.com</t>
  </si>
  <si>
    <t>Rios Torres Carlos Horacio</t>
  </si>
  <si>
    <t>9.425.522-8</t>
  </si>
  <si>
    <t>arancibiaruben18@gmail.com</t>
  </si>
  <si>
    <t>Arancibia Morgado Ruben Antonio</t>
  </si>
  <si>
    <t>Lorenzo Eduardo Vargas Santis</t>
  </si>
  <si>
    <t>15.594.931-7</t>
  </si>
  <si>
    <t>aldocister2020@gmail.com</t>
  </si>
  <si>
    <t>Cisterna Cisterna Aldo Rodrigo</t>
  </si>
  <si>
    <t>12.806.224-6</t>
  </si>
  <si>
    <t>alexis.palma.ramos@gmail.com</t>
  </si>
  <si>
    <t>Palma Ramos Jorge Alexis</t>
  </si>
  <si>
    <t>Pedro Alejandro Valenzuela Alvarado</t>
  </si>
  <si>
    <t>14.495.144-1</t>
  </si>
  <si>
    <t>samuelmansilla932@gmail.com</t>
  </si>
  <si>
    <t>Mansilla Leal Samuel Alejandro</t>
  </si>
  <si>
    <t>9.027.855-k</t>
  </si>
  <si>
    <t>josetorresara60@gmail.com</t>
  </si>
  <si>
    <t>Torres Aravena Jose Luis</t>
  </si>
  <si>
    <t>9.421.497-1</t>
  </si>
  <si>
    <t>jose.espejo.zenteno63@gmail.com</t>
  </si>
  <si>
    <t>Espejo Zenteno Jose Humberto</t>
  </si>
  <si>
    <t>9.688.794-9</t>
  </si>
  <si>
    <t>segundo.escobar@orizon.cl</t>
  </si>
  <si>
    <t>segundo.escobar.rojas@gmail.com</t>
  </si>
  <si>
    <t>Escobar Rojas Segundo Luis</t>
  </si>
  <si>
    <t>15.954.566-0</t>
  </si>
  <si>
    <t>blaguel@hotmail.com</t>
  </si>
  <si>
    <t>Vega Rios Miguel Angel</t>
  </si>
  <si>
    <t>10.620.517-5</t>
  </si>
  <si>
    <t>luis.bag1208@gmail.com</t>
  </si>
  <si>
    <t>Avila Garay Luis Bernardo</t>
  </si>
  <si>
    <t>Operador Elaboracion</t>
  </si>
  <si>
    <t>9.045.471-4</t>
  </si>
  <si>
    <t>chechoavenda@hotmail.com</t>
  </si>
  <si>
    <t>Avendaño Salazar Sergio Crispin</t>
  </si>
  <si>
    <t>18.389.492-7</t>
  </si>
  <si>
    <t>ANDRESH.BELLOM@GMAIL.COM</t>
  </si>
  <si>
    <t>Bello Muñoz Andres Humberto</t>
  </si>
  <si>
    <t>10.132.183-5</t>
  </si>
  <si>
    <t>patio.cofre@gmail.com</t>
  </si>
  <si>
    <t>Cofre Jara Patricio Eduardo</t>
  </si>
  <si>
    <t>19.595.523-9</t>
  </si>
  <si>
    <t>nicoaxelbastian19@gmail.com</t>
  </si>
  <si>
    <t>Cuevas Villarroel Nicolas Esteban</t>
  </si>
  <si>
    <t>16.769.333-4</t>
  </si>
  <si>
    <t>andreasdiazj@gmail.com</t>
  </si>
  <si>
    <t>Diaz Jerez Andrea Soledad</t>
  </si>
  <si>
    <t>8.020.599-6</t>
  </si>
  <si>
    <t>bichodiaz1962@gmail.com</t>
  </si>
  <si>
    <t>Diaz Paz Victor Hugo</t>
  </si>
  <si>
    <t>11.153.045-9</t>
  </si>
  <si>
    <t>espinariosaida@gmail.com</t>
  </si>
  <si>
    <t>Espina Rios Aida Aureliana</t>
  </si>
  <si>
    <t>12.687.684-k</t>
  </si>
  <si>
    <t>aespinoza.r23@gmail.com</t>
  </si>
  <si>
    <t>Espinoza Romero Ruth Andrea</t>
  </si>
  <si>
    <t>12.529.523-1</t>
  </si>
  <si>
    <t>pg0289028@gmail.com</t>
  </si>
  <si>
    <t>Gutierrez Vasquez Patricia Angelica</t>
  </si>
  <si>
    <t>13.110.032-9</t>
  </si>
  <si>
    <t>henriquezpamela5@gmail.com</t>
  </si>
  <si>
    <t>Henriquez Aburto Pamela Andrea</t>
  </si>
  <si>
    <t>11.682.551-1</t>
  </si>
  <si>
    <t>marcoherrera3012@gmail.com</t>
  </si>
  <si>
    <t>Herrera Sanchez Marco Aurelio</t>
  </si>
  <si>
    <t>12.038.325-6</t>
  </si>
  <si>
    <t>patricia.matamala@orizon.cl</t>
  </si>
  <si>
    <t>p.matamalavera@gmail.com</t>
  </si>
  <si>
    <t>Matamala Vera Patricia Aida</t>
  </si>
  <si>
    <t>15.955.018-4</t>
  </si>
  <si>
    <t>bobinzon@gmail.com</t>
  </si>
  <si>
    <t>Millar Castro Robinson Sebastian</t>
  </si>
  <si>
    <t>Anselmo Leonardo Silva Caro</t>
  </si>
  <si>
    <t>18.383.806-7</t>
  </si>
  <si>
    <t>bmezaconstanzo@gmail.com</t>
  </si>
  <si>
    <t>Meza Constanzo Brian Jafet</t>
  </si>
  <si>
    <t>13.108.991-0</t>
  </si>
  <si>
    <t>karinamolinavillablanca@gmail.com</t>
  </si>
  <si>
    <t>Molina Villablanca Karina Nieves</t>
  </si>
  <si>
    <t>13.513.485-6</t>
  </si>
  <si>
    <t>alexmo1978.amo@gmail.com</t>
  </si>
  <si>
    <t>Muñoz Osses Alexis Enrique</t>
  </si>
  <si>
    <t>10.419.973-9</t>
  </si>
  <si>
    <t>dj_palacio.65@hotmail.com</t>
  </si>
  <si>
    <t>Palacio Perez Daniel Jesus</t>
  </si>
  <si>
    <t>11.683.518-5</t>
  </si>
  <si>
    <t>oyarceriffo@gmail.com</t>
  </si>
  <si>
    <t>Oyarce Riffo Ingrid Margot</t>
  </si>
  <si>
    <t>12.925.255-3</t>
  </si>
  <si>
    <t>manuel.palma@orizon.cl</t>
  </si>
  <si>
    <t>palma-1975@hotmail.com</t>
  </si>
  <si>
    <t>Palma Carrillo Manuel Edgardo</t>
  </si>
  <si>
    <t>Cristian Alfredo Bustamante Salgado</t>
  </si>
  <si>
    <t>12.072.478-9</t>
  </si>
  <si>
    <t>luchoalberto1969@gmail.com</t>
  </si>
  <si>
    <t>Pino Urrea Luis Alberto</t>
  </si>
  <si>
    <t>11.037.611-1</t>
  </si>
  <si>
    <t>felicitarecabarrenbarra@gmail.com</t>
  </si>
  <si>
    <t>Recabarren Barra Felicita Del Carmen</t>
  </si>
  <si>
    <t>13.960.006-1</t>
  </si>
  <si>
    <t>lrebolledo18@gmail.com</t>
  </si>
  <si>
    <t>Rebolledo Quiero Luis Ricardo</t>
  </si>
  <si>
    <t>18.813.051-8</t>
  </si>
  <si>
    <t>sandovalsepulvedasergio@gmail.com</t>
  </si>
  <si>
    <t>Sandoval Sepulveda Sergio Anibal</t>
  </si>
  <si>
    <t>10.820.685-3</t>
  </si>
  <si>
    <t>omarsobarzo338@gmail.com</t>
  </si>
  <si>
    <t>Sobarzo Pulgar Omar Rene</t>
  </si>
  <si>
    <t>12.530.616-0</t>
  </si>
  <si>
    <t>gelisolvari@gmail.com</t>
  </si>
  <si>
    <t>Valenzuela Rivera Angelica Soledad</t>
  </si>
  <si>
    <t>14.062.245-1</t>
  </si>
  <si>
    <t>isaville2018@gmail.com</t>
  </si>
  <si>
    <t>Villegas Vergara Isabel Del Carmen</t>
  </si>
  <si>
    <t>14.572.962-9</t>
  </si>
  <si>
    <t>robinsonzambranoaguilera@gmail.com</t>
  </si>
  <si>
    <t>Zambrano Aguilera Robinson Eduardo</t>
  </si>
  <si>
    <t>17.444.664-4</t>
  </si>
  <si>
    <t>DANILOEVT@HOTMAIL.COM</t>
  </si>
  <si>
    <t>Vera Torres Danilo Esteban</t>
  </si>
  <si>
    <t>13.959.478-9</t>
  </si>
  <si>
    <t>cristiangonzalezestrada723@gmail.com</t>
  </si>
  <si>
    <t>Gonzalez Estrada Cristian Marcelo</t>
  </si>
  <si>
    <t>15.848.773-k</t>
  </si>
  <si>
    <t>marcelamia53@gmail.com</t>
  </si>
  <si>
    <t>Pinto Osorio Marcela Alejandra</t>
  </si>
  <si>
    <t>17.291.354-7</t>
  </si>
  <si>
    <t>fneiracastro@gmail.com</t>
  </si>
  <si>
    <t>Neira Castro Felipe Andres</t>
  </si>
  <si>
    <t>18.143.296-9</t>
  </si>
  <si>
    <t>catalinacaullan967@gmail.com</t>
  </si>
  <si>
    <t>Caullan Parra Catalina Del Pilar</t>
  </si>
  <si>
    <t>19.800.038-8</t>
  </si>
  <si>
    <t>bryaan789@gmail.com</t>
  </si>
  <si>
    <t>Sanhueza Salazar Bryan Mauricio</t>
  </si>
  <si>
    <t>8.244.396-7</t>
  </si>
  <si>
    <t>danielojedaramirez327@gmail.com</t>
  </si>
  <si>
    <t>Ojeda Ramirez Daniel Segundo</t>
  </si>
  <si>
    <t>8.794.826-9</t>
  </si>
  <si>
    <t>juansanmora@gmail.com</t>
  </si>
  <si>
    <t>Sanhueza Mora Juan Reinaldo</t>
  </si>
  <si>
    <t>9.238.617-1</t>
  </si>
  <si>
    <t>fmedinasilvaa@gmail.com</t>
  </si>
  <si>
    <t>Medina Silva Fredy Alberto</t>
  </si>
  <si>
    <t>9.348.534-3</t>
  </si>
  <si>
    <t>gabriel.alvialarismendi@gmail.com</t>
  </si>
  <si>
    <t>Alvial Arismendi Gabriel Fernando</t>
  </si>
  <si>
    <t>9.884.600-k</t>
  </si>
  <si>
    <t>jaime.torres@orizon.cl</t>
  </si>
  <si>
    <t>jtm1911996@gmail.com</t>
  </si>
  <si>
    <t>Torres Mendoza Jaime Manuel</t>
  </si>
  <si>
    <t>10.547.922-0</t>
  </si>
  <si>
    <t>bladimir.aravenaiturra@gmail.com</t>
  </si>
  <si>
    <t>Aravena Iturra Bladimir Damaceno</t>
  </si>
  <si>
    <t>18.608.279-6</t>
  </si>
  <si>
    <t>cristopher.andreu@gmail.com</t>
  </si>
  <si>
    <t>Andreu Espinoza Cristopher Brian</t>
  </si>
  <si>
    <t>21.658.470-8</t>
  </si>
  <si>
    <t>JAVIERFUENTEALBA303@GMAIL.COM</t>
  </si>
  <si>
    <t>Aravena Fuentealba Javier Natahel</t>
  </si>
  <si>
    <t>19.531.690-2</t>
  </si>
  <si>
    <t>emerson.arriaza@outlook.com</t>
  </si>
  <si>
    <t>Arriaza Valdés Emerson Ariel</t>
  </si>
  <si>
    <t>18.109.090-1</t>
  </si>
  <si>
    <t>JOFREMICHAEL2@GMAIL.COM</t>
  </si>
  <si>
    <t>Jofre Peña Michael Antonio</t>
  </si>
  <si>
    <t>19.825.430-4</t>
  </si>
  <si>
    <t>basketrola@gmail.com</t>
  </si>
  <si>
    <t>Gonzalez Briceño Brayhan Jesus</t>
  </si>
  <si>
    <t>19.205.907-0</t>
  </si>
  <si>
    <t>rokogobri@gmail.com</t>
  </si>
  <si>
    <t>Gonzalez Briceño Rodrigo Alexis</t>
  </si>
  <si>
    <t>18.686.193-0</t>
  </si>
  <si>
    <t>JORGEGONZALEZGUINEZ@GMAIL.COM</t>
  </si>
  <si>
    <t>Gonzalez Guiñez Jorge Guillermo Octavio</t>
  </si>
  <si>
    <t>15.529.876-6</t>
  </si>
  <si>
    <t>ALEXANDERGONZALEZ0212@GMAIL.COM</t>
  </si>
  <si>
    <t>Gonzalez Palma Gerardo Alexander</t>
  </si>
  <si>
    <t>21.506.026-8</t>
  </si>
  <si>
    <t>BENJAMINIBANEZ322@GMAIL.COM</t>
  </si>
  <si>
    <t>Ibañez Flores Benjamin Ignacio</t>
  </si>
  <si>
    <t>17.969.538-3</t>
  </si>
  <si>
    <t>lagosllancajonathan@GMAIL.COM</t>
  </si>
  <si>
    <t>Lagos Llanca Jonathan Felipe</t>
  </si>
  <si>
    <t>15.529.236-9</t>
  </si>
  <si>
    <t>israelbritoza@gmail.com</t>
  </si>
  <si>
    <t>Brito Zapata Israel Jonathan</t>
  </si>
  <si>
    <t>9.683.818-2</t>
  </si>
  <si>
    <t>jaime.xos1964@gmail.com</t>
  </si>
  <si>
    <t>Burgos Herrera Jaime Cristian</t>
  </si>
  <si>
    <t>10.395.819-9</t>
  </si>
  <si>
    <t>cornejoverdugojorge@gmail.com</t>
  </si>
  <si>
    <t>Cornejo Verdugo Jorge Enrique</t>
  </si>
  <si>
    <t>David Arnaldo Candia Arriagada</t>
  </si>
  <si>
    <t>8.447.478-9</t>
  </si>
  <si>
    <t>juliocesargonzales2022@gmail.com</t>
  </si>
  <si>
    <t>Gonzalez Lopez Julio Cesar</t>
  </si>
  <si>
    <t>8.676.291-9</t>
  </si>
  <si>
    <t>gerardogonzalezfigueroa2@gmail.com</t>
  </si>
  <si>
    <t>Gonzalez Figueroa Gerardo Enrique</t>
  </si>
  <si>
    <t>10.208.301-6</t>
  </si>
  <si>
    <t>mario.ibanez@orizon.cl</t>
  </si>
  <si>
    <t>marioibanez361@gmail.com</t>
  </si>
  <si>
    <t>Ibañez Soto Mario Salvador</t>
  </si>
  <si>
    <t>8.756.175-5</t>
  </si>
  <si>
    <t>leonelneira15@gmail.com</t>
  </si>
  <si>
    <t>Neira Bello Leonel Francisco</t>
  </si>
  <si>
    <t>12.943.080-k</t>
  </si>
  <si>
    <t>julioalfarooo1976@gmail.com</t>
  </si>
  <si>
    <t>Alfaro Gaete Julio Alejandro</t>
  </si>
  <si>
    <t>11.345.113-0</t>
  </si>
  <si>
    <t>pablondres6@gmail.com</t>
  </si>
  <si>
    <t>Araya Gallardo Pablo Andres</t>
  </si>
  <si>
    <t>11.346.058-k</t>
  </si>
  <si>
    <t>marcoscarvajal1133@gmail.com</t>
  </si>
  <si>
    <t>Carvajal Arancibia Marco Antonio</t>
  </si>
  <si>
    <t>20.406.265-k</t>
  </si>
  <si>
    <t>alonsocastillo1324@gmail.com</t>
  </si>
  <si>
    <t>Castillo Castillo Victor Alonso</t>
  </si>
  <si>
    <t>19.963.118-7</t>
  </si>
  <si>
    <t>alvarofelipemansillahueica@gmail.com</t>
  </si>
  <si>
    <t>Mansilla Hueica Alvaro Felipe</t>
  </si>
  <si>
    <t>15.595.266-0</t>
  </si>
  <si>
    <t>alejandro_sgs1@hotmail.com</t>
  </si>
  <si>
    <t>Rios Anatibia Alejandro Javier</t>
  </si>
  <si>
    <t>18.631.758-0</t>
  </si>
  <si>
    <t>freddy.veliz2708@gmail.com</t>
  </si>
  <si>
    <t>Veliz Cruz Freddy Mauricio</t>
  </si>
  <si>
    <t>12.569.558-2</t>
  </si>
  <si>
    <t>alfredoalburquenque1974@gmail.com</t>
  </si>
  <si>
    <t>Alburquenque Alburquenque Alfredo Amadiel</t>
  </si>
  <si>
    <t>17.722.051-5</t>
  </si>
  <si>
    <t>catalinaflorensia@gmail.com</t>
  </si>
  <si>
    <t>Araya Castillo Roberto Segundo</t>
  </si>
  <si>
    <t>13.211.695-4</t>
  </si>
  <si>
    <t>RJCERSAL28@GMAIL.COM</t>
  </si>
  <si>
    <t>Cerda Salfate Robinson Javier</t>
  </si>
  <si>
    <t>13.176.356-5</t>
  </si>
  <si>
    <t>gonzalezmarinmanuelantonio40@gmail.com</t>
  </si>
  <si>
    <t>Gonzalez Marin Manuel Antonio</t>
  </si>
  <si>
    <t>9.188.032-6</t>
  </si>
  <si>
    <t>alejandro.mg1961@gmail.com</t>
  </si>
  <si>
    <t>Miranda Gomez Alejandro Manuel</t>
  </si>
  <si>
    <t>11.220.615-9</t>
  </si>
  <si>
    <t>marcoojeda688@gmail.com</t>
  </si>
  <si>
    <t>Ojeda Meneses Marco Antonio</t>
  </si>
  <si>
    <t>9.132.559-4</t>
  </si>
  <si>
    <t>edomarvillagran@gmail.com</t>
  </si>
  <si>
    <t>Villagran Bravo Eduardo Omar</t>
  </si>
  <si>
    <t>9.148.419-6</t>
  </si>
  <si>
    <t>miguelon.aravena@gmail.com</t>
  </si>
  <si>
    <t>Aravena Iturra Miguel Alfonso</t>
  </si>
  <si>
    <t>9.360.246-3</t>
  </si>
  <si>
    <t>valerianomoraz@gmail.com</t>
  </si>
  <si>
    <t>Mora Zambrano Valeriano Adan</t>
  </si>
  <si>
    <t>9.466.724-0</t>
  </si>
  <si>
    <t>josehernanalarcon285@gmail.com</t>
  </si>
  <si>
    <t>Alarcon Cariaga Jose Hernan</t>
  </si>
  <si>
    <t>10.732.210-8</t>
  </si>
  <si>
    <t>jaimepatricio.jr1@gmail.com</t>
  </si>
  <si>
    <t>Rojas Casanga Jaime Patricio</t>
  </si>
  <si>
    <t>15.054.124-7</t>
  </si>
  <si>
    <t>luisalbertotrujillotrujillo@gmail.com</t>
  </si>
  <si>
    <t>Trujillo Trujillo Luis Alberto</t>
  </si>
  <si>
    <t>17.721.844-8</t>
  </si>
  <si>
    <t>velizsaavedra27@gmail.com</t>
  </si>
  <si>
    <t>Veliz Saavedra Nelson Guillermo</t>
  </si>
  <si>
    <t>20.517.732-9</t>
  </si>
  <si>
    <t>mathiaspvd_2000@hotmail.com</t>
  </si>
  <si>
    <t>Villafaña Dorador Mathias Patricio</t>
  </si>
  <si>
    <t>18.002.524-3</t>
  </si>
  <si>
    <t>nleonmadrid@gmail.com</t>
  </si>
  <si>
    <t>Leon Madrid Nicolas Gonzalo</t>
  </si>
  <si>
    <t>15.122.112-2</t>
  </si>
  <si>
    <t>kevin.diazrisco@gmail.com</t>
  </si>
  <si>
    <t>Diaz Risco Kevin Benjamin</t>
  </si>
  <si>
    <t>13.972.937-4</t>
  </si>
  <si>
    <t>arayaibarbecarlos@gmail.com</t>
  </si>
  <si>
    <t>Araya Ibarbe Carlos Andres</t>
  </si>
  <si>
    <t>20.276.014-7</t>
  </si>
  <si>
    <t>franco.inostroza2023@gmail.com</t>
  </si>
  <si>
    <t>Inostroza Cuevas Franco Nicolas Ivan</t>
  </si>
  <si>
    <t>13.399.249-9</t>
  </si>
  <si>
    <t>ROMANET0623@GMAIL.COM</t>
  </si>
  <si>
    <t>Labraña Moyano Arturo Enrique</t>
  </si>
  <si>
    <t>18.069.734-9</t>
  </si>
  <si>
    <t>felipe.venegas.vasquez@gmail.com</t>
  </si>
  <si>
    <t>Venegas Vasquez Felipe Alfonso</t>
  </si>
  <si>
    <t>18.135.066-0</t>
  </si>
  <si>
    <t>brayanrojasolate1992@gmail.com</t>
  </si>
  <si>
    <t>Rojas Olate Brian Eric</t>
  </si>
  <si>
    <t>13.952.302-4</t>
  </si>
  <si>
    <t>kanonjorge1980@gmail.com</t>
  </si>
  <si>
    <t>Gonzalez Muñoz Jorge Eduardo</t>
  </si>
  <si>
    <t>13.806.462-k</t>
  </si>
  <si>
    <t>arriagada.p36@gmail.com</t>
  </si>
  <si>
    <t>Arriagada Rojas Pablo Esteban</t>
  </si>
  <si>
    <t>Operador Grua Horquilla</t>
  </si>
  <si>
    <t>9.291.567-0</t>
  </si>
  <si>
    <t>daniel.fransisco.caceres@gmail.com</t>
  </si>
  <si>
    <t>Caceres Paredes Daniel Francisco</t>
  </si>
  <si>
    <t>19.816.102-0</t>
  </si>
  <si>
    <t>josealarconulloa1998@gmail.com</t>
  </si>
  <si>
    <t>Alarcon Ulloa Jose Andres</t>
  </si>
  <si>
    <t>11.182.543-2</t>
  </si>
  <si>
    <t>lbarrasrivas@gmail.com</t>
  </si>
  <si>
    <t>Barra Rivas Luis Alberto</t>
  </si>
  <si>
    <t>18.137.237-0</t>
  </si>
  <si>
    <t>richardbustos2117@gmail.com</t>
  </si>
  <si>
    <t>Bustos Herrera Richard Hernan</t>
  </si>
  <si>
    <t>11.902.191-k</t>
  </si>
  <si>
    <t>johncabreramolina@gmail.com</t>
  </si>
  <si>
    <t>Cabrera Molina Jhon Cristian</t>
  </si>
  <si>
    <t>16.600.585-k</t>
  </si>
  <si>
    <t>angeloavellor@gmail.com</t>
  </si>
  <si>
    <t>Avello Rubilar Angelo Andres</t>
  </si>
  <si>
    <t>19.647.949-k</t>
  </si>
  <si>
    <t>DANIEGONZALEZ@CFTLA.CL</t>
  </si>
  <si>
    <t>danielgonzalezf7597@gmail.com</t>
  </si>
  <si>
    <t>Gonzalez Fernandez Daniel Isaias</t>
  </si>
  <si>
    <t>13.308.359-6</t>
  </si>
  <si>
    <t>juanismael0077@gmail.com</t>
  </si>
  <si>
    <t>Bravo Araneda Juan Ismael</t>
  </si>
  <si>
    <t>13.175.022-6</t>
  </si>
  <si>
    <t>cisternaespinoza.rodrigo@gmail.com</t>
  </si>
  <si>
    <t>Cisterna Espinoza Rodrigo Antonio</t>
  </si>
  <si>
    <t>18.804.125-6</t>
  </si>
  <si>
    <t>jnacho778@hotmail.com</t>
  </si>
  <si>
    <t>Díaz Fica Julio Ignacio</t>
  </si>
  <si>
    <t>13.726.937-6</t>
  </si>
  <si>
    <t>car.hernandezm19@gmail.com</t>
  </si>
  <si>
    <t>Hernandez San Martin Carlos Guillermo</t>
  </si>
  <si>
    <t>18.111.673-0</t>
  </si>
  <si>
    <t>SAMUEL.HERRERA.VALLEJOS@GMAIL.COM</t>
  </si>
  <si>
    <t>Herrera Vallejos Samuel Alexis</t>
  </si>
  <si>
    <t>10.327.669-1</t>
  </si>
  <si>
    <t>ALESMUNOS33@GMAIL.COM</t>
  </si>
  <si>
    <t>Muñoz Arroyo Alex Eduardo</t>
  </si>
  <si>
    <t>11.498.484-1</t>
  </si>
  <si>
    <t>victormanuelsanhueza69@gmail.com</t>
  </si>
  <si>
    <t>Sanhueza Fernandez Victor Manuel</t>
  </si>
  <si>
    <t>13.958.124-5</t>
  </si>
  <si>
    <t>jtoledosaldias@gmail.com</t>
  </si>
  <si>
    <t>Toledo Saldias Jose Temistocles</t>
  </si>
  <si>
    <t>15.624.669-7</t>
  </si>
  <si>
    <t>ZURITAPALMACRISTIAN@GMAIL.COM</t>
  </si>
  <si>
    <t>Zurita Palma Cristian Andres</t>
  </si>
  <si>
    <t>7.929.760-7</t>
  </si>
  <si>
    <t>robertosanhueza175@gmail.com</t>
  </si>
  <si>
    <t>Sanhueza Neira Roberto Eduardo</t>
  </si>
  <si>
    <t>13.110.081-7</t>
  </si>
  <si>
    <t>rodrigomorafreire@gmail.com</t>
  </si>
  <si>
    <t>Mora Freire Rodrigo Jacob</t>
  </si>
  <si>
    <t>9.297.215-1</t>
  </si>
  <si>
    <t>castrohernan653@gmail.com</t>
  </si>
  <si>
    <t>Castro Zurita Hernán Alfredo</t>
  </si>
  <si>
    <t>9.997.765-5</t>
  </si>
  <si>
    <t>villarroel.guillermo59@gmail.com</t>
  </si>
  <si>
    <t>Villarroel Cartes Guillermo Eduardo</t>
  </si>
  <si>
    <t>Roberto Carlos Robles Fuentes</t>
  </si>
  <si>
    <t>9.131.514-9</t>
  </si>
  <si>
    <t>JARODRIGUEZP478@GMAIL.COM</t>
  </si>
  <si>
    <t>Rodriguez Parra Juan Antonio</t>
  </si>
  <si>
    <t>20.361.819-0</t>
  </si>
  <si>
    <t>msobarzo1701@gmail.com</t>
  </si>
  <si>
    <t>Sobarzo Rodriguez Matias Fernando</t>
  </si>
  <si>
    <t>15.517.376-9</t>
  </si>
  <si>
    <t>PNXO.JVER@GMAIL.COM</t>
  </si>
  <si>
    <t>Rogel Castillo Francisco Javier</t>
  </si>
  <si>
    <t>10.862.869-3</t>
  </si>
  <si>
    <t>HECTOR.LUISBELTRAN1409@GMAIL.COM</t>
  </si>
  <si>
    <t>Beltran Vega Hector Luis</t>
  </si>
  <si>
    <t>12.701.729-8</t>
  </si>
  <si>
    <t>LOLO.MARQUEZ.JK02@GMAIL.COM</t>
  </si>
  <si>
    <t>Marquez Leal Rodrigo Andres</t>
  </si>
  <si>
    <t>14.208.952-1</t>
  </si>
  <si>
    <t>MININCO1063@GMAIL.COM</t>
  </si>
  <si>
    <t>Sepulveda Osses Gonzalo Andres</t>
  </si>
  <si>
    <t>18.434.108-5</t>
  </si>
  <si>
    <t>GERMANSEPULVEDA1993@GMAIL.COM</t>
  </si>
  <si>
    <t>Sepulveda Sepulveda German Antonio</t>
  </si>
  <si>
    <t>11.914.274-1</t>
  </si>
  <si>
    <t>r.vergaraao@gmail.com</t>
  </si>
  <si>
    <t>Vergara Oñate Ricardo Ambrosio</t>
  </si>
  <si>
    <t>18.137.569-8</t>
  </si>
  <si>
    <t>DHIDALGOMELLA@GMAIL.COM</t>
  </si>
  <si>
    <t>Hidalgo Mella Diego Alejandro</t>
  </si>
  <si>
    <t>17.444.551-6</t>
  </si>
  <si>
    <t>cg.gonzalez8912@gmail.com</t>
  </si>
  <si>
    <t>Gonzalez Palma Cristian Giovanni</t>
  </si>
  <si>
    <t>Operador Grupo Generadores</t>
  </si>
  <si>
    <t>9.459.618-1</t>
  </si>
  <si>
    <t>p.paz963@gmail.com</t>
  </si>
  <si>
    <t>Paz Ruiz Pedro Arturo</t>
  </si>
  <si>
    <t>14.489.312-3</t>
  </si>
  <si>
    <t>marcoaguayogodoy193@gmail.com</t>
  </si>
  <si>
    <t>Aguayo Godoy Marco Antonio</t>
  </si>
  <si>
    <t>Operador Maquina Etiqueta</t>
  </si>
  <si>
    <t>15.517.832-9</t>
  </si>
  <si>
    <t>alvaroarriagada.z@gmail.com</t>
  </si>
  <si>
    <t>Arriagada Zapata Alvaro Alexis</t>
  </si>
  <si>
    <t>20.194.644-1</t>
  </si>
  <si>
    <t>moisesfernandezinzunza@gmail.com</t>
  </si>
  <si>
    <t>Fernandez Inzunza Moises Rocky</t>
  </si>
  <si>
    <t>19.107.297-9</t>
  </si>
  <si>
    <t>carlos.vargas.fierro@gmail.com</t>
  </si>
  <si>
    <t>Vargas Fierro Carlos Miguel</t>
  </si>
  <si>
    <t>Operador Planta Riles Daf</t>
  </si>
  <si>
    <t>18.418.711-6</t>
  </si>
  <si>
    <t>vaariasg3@gmail.com</t>
  </si>
  <si>
    <t>Arias Garcia Victor Andres</t>
  </si>
  <si>
    <t>13.210.188-4</t>
  </si>
  <si>
    <t>luis.ferrada.s@hotmail.com</t>
  </si>
  <si>
    <t>Ferrada Salgado Luis Mauricio</t>
  </si>
  <si>
    <t>10.372.218-7</t>
  </si>
  <si>
    <t>michel.efm66@gmail.com</t>
  </si>
  <si>
    <t>Fuentes Medina Michel Edmundo</t>
  </si>
  <si>
    <t>13.513.616-6</t>
  </si>
  <si>
    <t>novoa4040@gmail.com</t>
  </si>
  <si>
    <t>Novoa Aravena Luis Segundo</t>
  </si>
  <si>
    <t>9.995.034-k</t>
  </si>
  <si>
    <t>mauriciotapia940@gmail.com</t>
  </si>
  <si>
    <t>Tapia Pino Mauricio Raul</t>
  </si>
  <si>
    <t>19.815.829-1</t>
  </si>
  <si>
    <t>lucianocastillo.h@gmail.com</t>
  </si>
  <si>
    <t>Castillo Hernandez Luciano Eduardo</t>
  </si>
  <si>
    <t>18.500.986-6</t>
  </si>
  <si>
    <t>joaquinfica.c@gmail.com</t>
  </si>
  <si>
    <t>joaquinfica.c2@gmail.com</t>
  </si>
  <si>
    <t>Fica Cabezas Joaquin Ignacio</t>
  </si>
  <si>
    <t>13.959.135-6</t>
  </si>
  <si>
    <t>ramirez.aut@gmail.com</t>
  </si>
  <si>
    <t>Ramirez Maldonado Marcelo Alejandro</t>
  </si>
  <si>
    <t>16.228.945-4</t>
  </si>
  <si>
    <t>manuel.pozahenriquez22@gmail.com</t>
  </si>
  <si>
    <t>Poza Henriquez Manuel Alejandro</t>
  </si>
  <si>
    <t>18.626.410-k</t>
  </si>
  <si>
    <t>ALBORNOZELIZABETH24@GMAIL.COM</t>
  </si>
  <si>
    <t>Albornoz Sepulveda Elizabeth Andrea</t>
  </si>
  <si>
    <t>14.060.194-2</t>
  </si>
  <si>
    <t>GABRIEL.ESPINOZA.LAVIN@GMAIL.COM</t>
  </si>
  <si>
    <t>Espinoza Lavin Gabriel Alejandro</t>
  </si>
  <si>
    <t>Viviana Andrea Manriquez Llanquiman</t>
  </si>
  <si>
    <t>20.033.080-3</t>
  </si>
  <si>
    <t>JORDANJEANPAUL6@GMAIL.COM</t>
  </si>
  <si>
    <t>Pinchulef Ceballo Jordan Jean Paul</t>
  </si>
  <si>
    <t>14.533.295-8</t>
  </si>
  <si>
    <t>BEROIZA.2535@GMAIL.COM</t>
  </si>
  <si>
    <t>Ramirez Beroiza Gladys Aurora</t>
  </si>
  <si>
    <t>17.862.768-6</t>
  </si>
  <si>
    <t>INGRIDOJEDACH@LIVE.CL</t>
  </si>
  <si>
    <t>Ojeda Chávez Ingrid Leticia</t>
  </si>
  <si>
    <t>10.639.924-7</t>
  </si>
  <si>
    <t>SILVIA.ELIANA362@GMAIL.COM</t>
  </si>
  <si>
    <t>Garcia Paredes Silvia Eliana</t>
  </si>
  <si>
    <t>16.873.892-7</t>
  </si>
  <si>
    <t>ROSSYBARRIGA@GMAIL.COM</t>
  </si>
  <si>
    <t>Barriga Zenteno Rosa Ivonne</t>
  </si>
  <si>
    <t>14.638.150-2</t>
  </si>
  <si>
    <t>fmargarida2024@gmail.com</t>
  </si>
  <si>
    <t>Fernandes Da Silva Margarida</t>
  </si>
  <si>
    <t>19.120.791-2</t>
  </si>
  <si>
    <t>GISELLESEPULVEDA0@GMAIL.COM</t>
  </si>
  <si>
    <t>Sepulveda Fuentes Giselle Estefania</t>
  </si>
  <si>
    <t>12.926.809-3</t>
  </si>
  <si>
    <t>OLGAPAUCHARD0@GMAIL.COM</t>
  </si>
  <si>
    <t>Gomez Pauchard Olga Andrea</t>
  </si>
  <si>
    <t>20.613.586-7</t>
  </si>
  <si>
    <t>JOCENICO721@GMAIL.COM</t>
  </si>
  <si>
    <t>Avello Meza Jocelyn Nicole</t>
  </si>
  <si>
    <t>7.887.183-0</t>
  </si>
  <si>
    <t>malarconcariaga@gmail.com</t>
  </si>
  <si>
    <t>Alarcon Cariaga Maria Gladys</t>
  </si>
  <si>
    <t>9.554.554-8</t>
  </si>
  <si>
    <t>aliciacelisjara@gmail.com</t>
  </si>
  <si>
    <t>Celis Jara Alicia Del Rosario</t>
  </si>
  <si>
    <t>14.059.909-3</t>
  </si>
  <si>
    <t>karinavenegas1981@gmail.com</t>
  </si>
  <si>
    <t>Venegas Troncoso Karina Edith</t>
  </si>
  <si>
    <t>9.954.004-4</t>
  </si>
  <si>
    <t>patriciacuevasarriegada@gmail.com</t>
  </si>
  <si>
    <t>Cuevas Arriagada Patricia Del Carmen</t>
  </si>
  <si>
    <t>14.404.736-2</t>
  </si>
  <si>
    <t>janetteramirezduran@gmail.com</t>
  </si>
  <si>
    <t>Ramirez Duran Janette Paola</t>
  </si>
  <si>
    <t>12.299.414-7</t>
  </si>
  <si>
    <t>hermosillajaque575@gmail.com</t>
  </si>
  <si>
    <t>Hermosilla Gomez Jacqueline Andrea</t>
  </si>
  <si>
    <t>26.398.980-5</t>
  </si>
  <si>
    <t>Yvenor.antoine84@gmail.com</t>
  </si>
  <si>
    <t>Antoine  Yvenor</t>
  </si>
  <si>
    <t>13.105.315-0</t>
  </si>
  <si>
    <t>Ortegapaola.072@gmail.com</t>
  </si>
  <si>
    <t>Ortega Gomez Paola Andrea</t>
  </si>
  <si>
    <t>14.272.867-2</t>
  </si>
  <si>
    <t>jeannette.coni@gmail.com</t>
  </si>
  <si>
    <t>Torres Henriquez Jeannette Angelica</t>
  </si>
  <si>
    <t>14.404.108-9</t>
  </si>
  <si>
    <t>Venegasrita56@gmail.com</t>
  </si>
  <si>
    <t>Venegas Troncoso Rita Del Carmen</t>
  </si>
  <si>
    <t>17.845.345-9</t>
  </si>
  <si>
    <t>nicolalejandravenegas@gmail.com</t>
  </si>
  <si>
    <t>Gonzalez Venegas Nicol Alejandra</t>
  </si>
  <si>
    <t>11.496.271-6</t>
  </si>
  <si>
    <t>robertostuardo5@gmail.com</t>
  </si>
  <si>
    <t>Stuardo Velasquez Roberto Enrique</t>
  </si>
  <si>
    <t>8.670.563-k</t>
  </si>
  <si>
    <t>isa_bel_iva@hotmail.com</t>
  </si>
  <si>
    <t>Alarcon Cariaga Isabel Veronica</t>
  </si>
  <si>
    <t>7.964.822-1</t>
  </si>
  <si>
    <t>monidazalop@gmail.com</t>
  </si>
  <si>
    <t>Daza Lopez Monica Del Transito</t>
  </si>
  <si>
    <t>8.291.810-8</t>
  </si>
  <si>
    <t>madelaine.2019viveros@gmail.com</t>
  </si>
  <si>
    <t>Viveros Viveros Madelaine Del Carmen</t>
  </si>
  <si>
    <t>26.341.506-k</t>
  </si>
  <si>
    <t>VIZCAYAOSWALDO85@GMAIL.COM</t>
  </si>
  <si>
    <t>Vizcaya Rodriguez Oswaldo Rafael</t>
  </si>
  <si>
    <t>11.303.920-5</t>
  </si>
  <si>
    <t>ccrucesneira@gmail.com</t>
  </si>
  <si>
    <t>Cruces Neira Carlos Ivan</t>
  </si>
  <si>
    <t>9.789.435-3</t>
  </si>
  <si>
    <t>pbastias22@hotmail.com</t>
  </si>
  <si>
    <t>Bastias Bello Patricia Eugenia</t>
  </si>
  <si>
    <t>17.578.787-9</t>
  </si>
  <si>
    <t>DANIELLEHENRIQUEZ22@GMAIL.COM</t>
  </si>
  <si>
    <t>Henriquez Gallardo Danielle Andrea</t>
  </si>
  <si>
    <t>20.613.522-0</t>
  </si>
  <si>
    <t>danitzahenriquez09@gmail.com</t>
  </si>
  <si>
    <t>Henriquez Muñoz Danitza Catalina</t>
  </si>
  <si>
    <t>16.037.424-1</t>
  </si>
  <si>
    <t>VALESKASOTO19844@GMAIL.COM</t>
  </si>
  <si>
    <t>Soto Soto Valeska Janneth</t>
  </si>
  <si>
    <t>17.445.065-k</t>
  </si>
  <si>
    <t>ALICESOTODIAZ@GMAIL.COM</t>
  </si>
  <si>
    <t>Soto Diaz Alice Ivonne</t>
  </si>
  <si>
    <t>20.125.701-8</t>
  </si>
  <si>
    <t>SARAISRZULLOA@GMAIL.COM</t>
  </si>
  <si>
    <t>SARAISU900@GMAIL.COM</t>
  </si>
  <si>
    <t>Suarez Ulloa Sarai Anais</t>
  </si>
  <si>
    <t>20.613.419-4</t>
  </si>
  <si>
    <t>KRISHNARUIZ691@GMAIL.COM</t>
  </si>
  <si>
    <t>Ruiz Aillon Krisna Anagelli</t>
  </si>
  <si>
    <t>14.372.278-3</t>
  </si>
  <si>
    <t>avalenzuela2012@outlook.com</t>
  </si>
  <si>
    <t>Valenzuela Espinoza Luis Alejandro</t>
  </si>
  <si>
    <t>8.493.006-7</t>
  </si>
  <si>
    <t>emperatrizortiz1968@gmail.com</t>
  </si>
  <si>
    <t>emperatrizortiz1968@gmail.comm</t>
  </si>
  <si>
    <t>Ortiz Ruiz Graciela Emperatriz</t>
  </si>
  <si>
    <t>15.589.355-9</t>
  </si>
  <si>
    <t>rodrigoalarconq@gmail.com</t>
  </si>
  <si>
    <t>Alarcon Quezada Rodrigo Andres</t>
  </si>
  <si>
    <t>15.518.097-8</t>
  </si>
  <si>
    <t>fritzjaimeandress@gmail.com</t>
  </si>
  <si>
    <t>Fritz Cantillana Jaime Andres</t>
  </si>
  <si>
    <t>26.321.503-6</t>
  </si>
  <si>
    <t>eordiguen@gmail.com</t>
  </si>
  <si>
    <t>Hernandez Lopez Erik Eordiguen</t>
  </si>
  <si>
    <t>17.291.555-8</t>
  </si>
  <si>
    <t>abigacc15@hotmail.com</t>
  </si>
  <si>
    <t>Cuevas Carrillo Abigail Armida</t>
  </si>
  <si>
    <t>15.517.763-2</t>
  </si>
  <si>
    <t>krmenulloa.1983@gmail.com</t>
  </si>
  <si>
    <t>Ulloa Recabal Carmen Gloria</t>
  </si>
  <si>
    <t>17.843.964-2</t>
  </si>
  <si>
    <t>jessicaulloaruminot@gmail.com</t>
  </si>
  <si>
    <t>Ulloa Ruminot Jessica Roxana</t>
  </si>
  <si>
    <t>16.391.758-0</t>
  </si>
  <si>
    <t>mellakaren229@gmail.com</t>
  </si>
  <si>
    <t>Mella Medina Karen Andrea</t>
  </si>
  <si>
    <t>11.914.227-k</t>
  </si>
  <si>
    <t>MARIELABURGOSROJAS@GMAIL.COM</t>
  </si>
  <si>
    <t>Burgos Rojas Mariela Janett</t>
  </si>
  <si>
    <t>9.376.926-0</t>
  </si>
  <si>
    <t>ysabelespinozaorellana@gmail.com</t>
  </si>
  <si>
    <t>Espinoza Orellana Isabel Lorenza</t>
  </si>
  <si>
    <t>17.159.018-3</t>
  </si>
  <si>
    <t>ALARCONRUBEN006@GMAIL.COM</t>
  </si>
  <si>
    <t>Andrade Alarcon Ruben Alejandro</t>
  </si>
  <si>
    <t>9.534.710-k</t>
  </si>
  <si>
    <t>CECILIACARVALLO74@GMAIL.COM</t>
  </si>
  <si>
    <t>Carvallo Carvallo Cecilia Margot</t>
  </si>
  <si>
    <t>16.504.596-3</t>
  </si>
  <si>
    <t>TERESAARREDONDOZURITA@GMAIL.COM</t>
  </si>
  <si>
    <t>Arredondo Zurita Teresa Ester</t>
  </si>
  <si>
    <t>16.999.738-1</t>
  </si>
  <si>
    <t>ISABELJCAMPOSG88@GMAIL.COM</t>
  </si>
  <si>
    <t>Campos Gutierrez Isabel Jazmin</t>
  </si>
  <si>
    <t>17.076.486-2</t>
  </si>
  <si>
    <t>ISAIAS251932@GMAIL.COM</t>
  </si>
  <si>
    <t>Muñoz Saez Edgardo Isaias</t>
  </si>
  <si>
    <t>17.614.025-9</t>
  </si>
  <si>
    <t>KARENCIFUENTES.2310@GMAIL.COM</t>
  </si>
  <si>
    <t>Cifuentes Aguilera Karen Pamela</t>
  </si>
  <si>
    <t>10.190.917-4</t>
  </si>
  <si>
    <t>ANGELAARRAIN151@GMAIL.COM</t>
  </si>
  <si>
    <t>Seguel Calderon Delia Rosa</t>
  </si>
  <si>
    <t>16.897.013-7</t>
  </si>
  <si>
    <t>catherinechavez090@gmail.com</t>
  </si>
  <si>
    <t>Chavez Chavez Catherine Margot</t>
  </si>
  <si>
    <t>16.157.284-5</t>
  </si>
  <si>
    <t>LUPICINIA8.28@GMAIL.COM</t>
  </si>
  <si>
    <t>Muñoz Vega Lupicinia Betzabe</t>
  </si>
  <si>
    <t>21.323.198-7</t>
  </si>
  <si>
    <t>CESAR.ANDRES.052003@GMAIL.COM</t>
  </si>
  <si>
    <t>Hernandez Sanhueza Cesar Andres</t>
  </si>
  <si>
    <t>5.879.555-0</t>
  </si>
  <si>
    <t>PEREIRAGASTON88@GMAIL.COM</t>
  </si>
  <si>
    <t>Pereira Martinez Gaston Antonio</t>
  </si>
  <si>
    <t>21.582.841-7</t>
  </si>
  <si>
    <t>ISABELTRUCK20@GMAIL.COM</t>
  </si>
  <si>
    <t>Vasquez Espinola Isabel Charlotte</t>
  </si>
  <si>
    <t>17.844.101-9</t>
  </si>
  <si>
    <t>CAROLINA.FUENTEALBA1323@GMAIL.COM</t>
  </si>
  <si>
    <t>Sanhueza Fuentealba Carolina De Las Mercedes</t>
  </si>
  <si>
    <t>11.352.151-1</t>
  </si>
  <si>
    <t>CARLOSFLORESORELLANA85@GMAIL.COM</t>
  </si>
  <si>
    <t>Flores Orellana Carlos Sandro</t>
  </si>
  <si>
    <t>20.255.114-9</t>
  </si>
  <si>
    <t>Valentina.ahc@gmail.com</t>
  </si>
  <si>
    <t>Hidalgo Contreras Valentina Andrea</t>
  </si>
  <si>
    <t>9.340.570-6</t>
  </si>
  <si>
    <t>aureliayeya2@gmail.com</t>
  </si>
  <si>
    <t>Cabezas Uribe Aurelia Del Carmen</t>
  </si>
  <si>
    <t>19.509.692-9</t>
  </si>
  <si>
    <t>solesssr@gmail.com</t>
  </si>
  <si>
    <t>Saez Rivas Solange Scarleth</t>
  </si>
  <si>
    <t>18.745.710-6</t>
  </si>
  <si>
    <t>ANNABEANS1234@GMAIL.COM</t>
  </si>
  <si>
    <t>Salazar Cabrera Yaritssa Ana Luisa</t>
  </si>
  <si>
    <t>20.613.238-8</t>
  </si>
  <si>
    <t>HECTORALONSOAN@GMAIL.COM</t>
  </si>
  <si>
    <t>Arevalo Nova Hector Alonso</t>
  </si>
  <si>
    <t>18.965.404-9</t>
  </si>
  <si>
    <t>CATRILEOFERNANDEZ@GMAIL.COM</t>
  </si>
  <si>
    <t>Fernandez Catrileo Glenda Ester</t>
  </si>
  <si>
    <t>17.206.159-1</t>
  </si>
  <si>
    <t>flerida_17@hotmail.com</t>
  </si>
  <si>
    <t>Peña Mora Flerida Marisol</t>
  </si>
  <si>
    <t>17.004.979-9</t>
  </si>
  <si>
    <t>CECY__ANDREA@HOTMAIL.COM</t>
  </si>
  <si>
    <t>Rozas Reyes Cecilia Andrea</t>
  </si>
  <si>
    <t>17.445.691-7</t>
  </si>
  <si>
    <t>CAMISEPULVEDA030@GMAIL.COM</t>
  </si>
  <si>
    <t>Sepulveda Conejeros Camila Arlette</t>
  </si>
  <si>
    <t>17.570.949-5</t>
  </si>
  <si>
    <t>ANA_KARENGS@HOTMAIL.COM</t>
  </si>
  <si>
    <t>Gallegos Soto Ana Karen</t>
  </si>
  <si>
    <t>17.641.264-k</t>
  </si>
  <si>
    <t>DENISSEVEGA1119@GMAIL.COM</t>
  </si>
  <si>
    <t>Vega Torres Denisse Nicole</t>
  </si>
  <si>
    <t>18.333.448-4</t>
  </si>
  <si>
    <t>FABIOLAANDREALEALCANTEROS@GMAIL.COM</t>
  </si>
  <si>
    <t>Leal Canteros Fabiola Andrea</t>
  </si>
  <si>
    <t>18.433.641-3</t>
  </si>
  <si>
    <t>V.ALEJANDRAVALENZUELA@GMAIL.COM</t>
  </si>
  <si>
    <t>Valenzuela Cruz Victoria Alejandra</t>
  </si>
  <si>
    <t>18.950.117-k</t>
  </si>
  <si>
    <t>BELENJAURE73@GMAIL.COM</t>
  </si>
  <si>
    <t>Jaure Cortez Belen Del Pilar</t>
  </si>
  <si>
    <t>19.297.859-9</t>
  </si>
  <si>
    <t>IVONMELLADO020@GMAIL.COM</t>
  </si>
  <si>
    <t>Mellado Vera Ivon Del Carmen</t>
  </si>
  <si>
    <t>19.578.149-4</t>
  </si>
  <si>
    <t>CAMILITA.NATALIA@HOTMAIL.COM</t>
  </si>
  <si>
    <t>Grandon Vasquez Camila Natalia</t>
  </si>
  <si>
    <t>19.799.683-8</t>
  </si>
  <si>
    <t>EMILYGUANTEO1313AILEEN@GMAIL.COM</t>
  </si>
  <si>
    <t>Guanteo Riquelme Romina Scarlett</t>
  </si>
  <si>
    <t>19.814.462-2</t>
  </si>
  <si>
    <t>velasquezalexandra538@gmail.com</t>
  </si>
  <si>
    <t>Velasquez Velasquez Alexandra Del Carmen</t>
  </si>
  <si>
    <t>20.868.667-4</t>
  </si>
  <si>
    <t>MARIAJOSESALAZARALARCON782@GMAIL.COM</t>
  </si>
  <si>
    <t>Salazar Alarcon Maria Jose</t>
  </si>
  <si>
    <t>21.130.789-7</t>
  </si>
  <si>
    <t>MUNOZCARLITA585@GMAIL.COM</t>
  </si>
  <si>
    <t>Muñoz Reyes Carla Belen</t>
  </si>
  <si>
    <t>21.265.993-2</t>
  </si>
  <si>
    <t>VQUINTANA568@GMAIL.COM</t>
  </si>
  <si>
    <t>Quintana Ruiz Valentina Elena</t>
  </si>
  <si>
    <t>19.799.758-3</t>
  </si>
  <si>
    <t>SCARLETTE.HERMOSILLA@VIRGINIOGOMEZ.CL</t>
  </si>
  <si>
    <t>Hermosilla Mora Scarlette Yanira</t>
  </si>
  <si>
    <t>18.150.095-6</t>
  </si>
  <si>
    <t>villardaniela99@gmail.com</t>
  </si>
  <si>
    <t>Villar Martinez Daniela Alejandra</t>
  </si>
  <si>
    <t>20.951.605-5</t>
  </si>
  <si>
    <t>giulianamendoza43@gmail.com</t>
  </si>
  <si>
    <t>Mendoza Pirul Giuliana Millaray</t>
  </si>
  <si>
    <t>14.005.846-7</t>
  </si>
  <si>
    <t>viviconcha.es@gmail.com</t>
  </si>
  <si>
    <t>Concha Escobar Viviana Angelica</t>
  </si>
  <si>
    <t>11.617.791-9</t>
  </si>
  <si>
    <t>mariaguerra97parada@gmail.com</t>
  </si>
  <si>
    <t>Guerra Parada Maria Ivonne</t>
  </si>
  <si>
    <t>14.393.543-4</t>
  </si>
  <si>
    <t>patriciameza1978@gmail.com</t>
  </si>
  <si>
    <t>Meza Alvarez Patricia Alejandra</t>
  </si>
  <si>
    <t>18.069.291-6</t>
  </si>
  <si>
    <t>angie.ortiz102@icloud.com</t>
  </si>
  <si>
    <t>Ortiz Herrera Angie Alejandra</t>
  </si>
  <si>
    <t>10.926.581-0</t>
  </si>
  <si>
    <t>benitezcarola19761@gmail.com</t>
  </si>
  <si>
    <t>Benitez Novoa Carolina Andrea</t>
  </si>
  <si>
    <t>11.684.652-7</t>
  </si>
  <si>
    <t>erica.quilodran24@gmail.com</t>
  </si>
  <si>
    <t>Quilodran Ramirez Erica Jeannette</t>
  </si>
  <si>
    <t>15.615.512-8</t>
  </si>
  <si>
    <t>susanarios91.sr@gmail.com</t>
  </si>
  <si>
    <t>Rios Rios Susana Jacqueline</t>
  </si>
  <si>
    <t>16.353.077-5</t>
  </si>
  <si>
    <t>elbavalenzuela813@gmail.com</t>
  </si>
  <si>
    <t>Valenzuela Astudillo Elba Del Carmen</t>
  </si>
  <si>
    <t>19.139.371-6</t>
  </si>
  <si>
    <t>hatcarla15@gmail.com</t>
  </si>
  <si>
    <t>Venegas Diaz Carla Francesca</t>
  </si>
  <si>
    <t>13.791.833-1</t>
  </si>
  <si>
    <t>lorenadefatimacampos@gmail.com</t>
  </si>
  <si>
    <t>Campos Andrade Lorena De Fatima</t>
  </si>
  <si>
    <t>20.125.875-8</t>
  </si>
  <si>
    <t>folkmarcelo.chan@gmail.com</t>
  </si>
  <si>
    <t>Zambrano Salinas Marcelo Alejandro</t>
  </si>
  <si>
    <t>15.955.083-4</t>
  </si>
  <si>
    <t>karenrecabarren.01@gmail.com</t>
  </si>
  <si>
    <t>Recabarren Recabarren Karen Vanessa</t>
  </si>
  <si>
    <t>17.540.088-5</t>
  </si>
  <si>
    <t>valel192022@hotmail.com</t>
  </si>
  <si>
    <t>Oliveros Ibañez Solange Macarena</t>
  </si>
  <si>
    <t>14.061.893-4</t>
  </si>
  <si>
    <t>sussysalas1981@gmail.com</t>
  </si>
  <si>
    <t>Salas Muñoz Susana Andrea</t>
  </si>
  <si>
    <t>19.799.300-6</t>
  </si>
  <si>
    <t>daimi.artigas.ramos@gmail.com</t>
  </si>
  <si>
    <t>Artigas Ramos Daimi Catalina</t>
  </si>
  <si>
    <t>15.193.188-k</t>
  </si>
  <si>
    <t>eliesther2000@gmail.com</t>
  </si>
  <si>
    <t>Cabezas Vega Elizabeth Esther</t>
  </si>
  <si>
    <t>9.942.186-k</t>
  </si>
  <si>
    <t>rosavergara998@gmail.com</t>
  </si>
  <si>
    <t>Vergara Jofre Rosa Elena</t>
  </si>
  <si>
    <t>16.229.182-3</t>
  </si>
  <si>
    <t>palvialvilla@gmail.com</t>
  </si>
  <si>
    <t>Alvial Villa Paulina Soledad</t>
  </si>
  <si>
    <t>14.462.254-5</t>
  </si>
  <si>
    <t>elosaez1971@gmail.com</t>
  </si>
  <si>
    <t>Saez Cisterna Eloisa Del Carmen</t>
  </si>
  <si>
    <t>19.531.621-k</t>
  </si>
  <si>
    <t>alejandra.rosales.venegas@gmail.com</t>
  </si>
  <si>
    <t>Rosales Venegas Alejandra Eugenia</t>
  </si>
  <si>
    <t>16.229.943-3</t>
  </si>
  <si>
    <t>natalie.macaya2020@gmail.com</t>
  </si>
  <si>
    <t>Macaya Macaya Natalie Maria</t>
  </si>
  <si>
    <t>14.214.649-5</t>
  </si>
  <si>
    <t>carmitaladona007@gmail.com</t>
  </si>
  <si>
    <t>Silva Andrades Carmen Andrea</t>
  </si>
  <si>
    <t>9.687.601-7</t>
  </si>
  <si>
    <t>marisolgarciamonsalves@gmail.com</t>
  </si>
  <si>
    <t>Garcia Monsalves Marisol Del Carmen</t>
  </si>
  <si>
    <t>20.908.426-0</t>
  </si>
  <si>
    <t>danielmoya807@gmail.com</t>
  </si>
  <si>
    <t>Moya Flores Daniel Maximiliano</t>
  </si>
  <si>
    <t>12.925.981-7</t>
  </si>
  <si>
    <t>paolaconejeros55@gmail.com</t>
  </si>
  <si>
    <t>Conejeros Riveras Paola Andrea</t>
  </si>
  <si>
    <t>13.448.553-1</t>
  </si>
  <si>
    <t>campillayviviana002@gmail.com</t>
  </si>
  <si>
    <t>Campillay Borguero Viviana Del Carmen</t>
  </si>
  <si>
    <t>19.090.305-2</t>
  </si>
  <si>
    <t>d.moisesanchez@gmail.com</t>
  </si>
  <si>
    <t>Sanchez Villablanca David Moises</t>
  </si>
  <si>
    <t>20.327.334-7</t>
  </si>
  <si>
    <t>santibanezf218@gmail.com</t>
  </si>
  <si>
    <t>Santibañez Gutierrez Francisca Javiera Scarlett</t>
  </si>
  <si>
    <t>11.149.806-7</t>
  </si>
  <si>
    <t>marceloandreu912@gmail.com</t>
  </si>
  <si>
    <t>Andreu Riveros Marcelo Eduardo</t>
  </si>
  <si>
    <t>19.090.154-8</t>
  </si>
  <si>
    <t>munozepullank@gmail.com</t>
  </si>
  <si>
    <t>Muñoz Epullan Camila Andrea</t>
  </si>
  <si>
    <t>12.528.068-4</t>
  </si>
  <si>
    <t>seguramorenovm@gmail.com</t>
  </si>
  <si>
    <t>Segura Moreno Victor Mario</t>
  </si>
  <si>
    <t>16.690.465-k</t>
  </si>
  <si>
    <t>carolinemarion1988@gmail.com</t>
  </si>
  <si>
    <t>Veloso Muñoz Caroline Marion</t>
  </si>
  <si>
    <t>12.390.500-8</t>
  </si>
  <si>
    <t>sanhuezaerika1873@gmail.com</t>
  </si>
  <si>
    <t>Sanhueza Ramos Erica Jeannette</t>
  </si>
  <si>
    <t>9.950.892-2</t>
  </si>
  <si>
    <t>millagualernestina6@gmail.com</t>
  </si>
  <si>
    <t>Millagual Arevalo Ernestina Del Carmen</t>
  </si>
  <si>
    <t>11.291.672-5</t>
  </si>
  <si>
    <t>delia2727.monjes@gmail.com</t>
  </si>
  <si>
    <t>Monjes Torres Delia Del Carmen</t>
  </si>
  <si>
    <t>18.134.971-9</t>
  </si>
  <si>
    <t>verajasmink@gmail.com</t>
  </si>
  <si>
    <t>Vera Martinez Jasmin Solange</t>
  </si>
  <si>
    <t>18.815.806-4</t>
  </si>
  <si>
    <t>belensanhueza145@hotmail.com</t>
  </si>
  <si>
    <t>Sanhueza Leal Angel Belen</t>
  </si>
  <si>
    <t>16.175.421-8</t>
  </si>
  <si>
    <t>riffomatilde2@gmail.com</t>
  </si>
  <si>
    <t>Riffo Carrillo Matilde Aracely</t>
  </si>
  <si>
    <t>17.789.509-1</t>
  </si>
  <si>
    <t>ferreiravaleria550@gmail.com</t>
  </si>
  <si>
    <t>Ferreira Arratia Valeria Andrea</t>
  </si>
  <si>
    <t>15.451.873-8</t>
  </si>
  <si>
    <t>juanpascalpierosandoval@gmail.com</t>
  </si>
  <si>
    <t>Sandoval Candia Juan Alberto</t>
  </si>
  <si>
    <t>11.103.782-5</t>
  </si>
  <si>
    <t>yccmachuk@gmail.com</t>
  </si>
  <si>
    <t>Carrillo Machuca Yessica Cecilia</t>
  </si>
  <si>
    <t>9.412.953-2</t>
  </si>
  <si>
    <t>patyojeda2205@gmail.com</t>
  </si>
  <si>
    <t>Ojeda Ramirez Patricia Ines</t>
  </si>
  <si>
    <t>10.316.058-8</t>
  </si>
  <si>
    <t>jacquelinesaavedra0910@gmail.com</t>
  </si>
  <si>
    <t>Saavedra Cabrera Jacqueline Del Carmen</t>
  </si>
  <si>
    <t>27.021.665-k</t>
  </si>
  <si>
    <t>jensse87@gmail.com</t>
  </si>
  <si>
    <t>Rojas Parra Jean Carlos</t>
  </si>
  <si>
    <t>27.046.927-2</t>
  </si>
  <si>
    <t>chuchocolina@gmail.com</t>
  </si>
  <si>
    <t>Colina Atacho Henyerber Jose</t>
  </si>
  <si>
    <t>20.149.546-6</t>
  </si>
  <si>
    <t>anaismoni123@gmail.com</t>
  </si>
  <si>
    <t>Andaur Parra Francisco Ignacio</t>
  </si>
  <si>
    <t>17.844.943-5</t>
  </si>
  <si>
    <t>mariajose.ramirezsarzosa@gmail.com</t>
  </si>
  <si>
    <t>Ramirez Sarzosa Maria Jose</t>
  </si>
  <si>
    <t>16.827.318-5</t>
  </si>
  <si>
    <t>johannarivera903@gmail.com</t>
  </si>
  <si>
    <t>Rivera Fuentes Johanna Del Transito</t>
  </si>
  <si>
    <t>17.241.952-6</t>
  </si>
  <si>
    <t>franleo.1988@gmail.com</t>
  </si>
  <si>
    <t>Yañez Barriga Francisco Leonardo</t>
  </si>
  <si>
    <t>20.992.362-9</t>
  </si>
  <si>
    <t>bastianbascur2002@gmail.com</t>
  </si>
  <si>
    <t>Muñoz Bascur Bastian Alejandro</t>
  </si>
  <si>
    <t>21.895.659-9</t>
  </si>
  <si>
    <t>olivarezconstanza28@gmail.com</t>
  </si>
  <si>
    <t>Olivarez Briceño Constanza Ignacia</t>
  </si>
  <si>
    <t>9.688.358-7</t>
  </si>
  <si>
    <t>belenmunozaraneda@gmail.com</t>
  </si>
  <si>
    <t>Araneda Zuñiga Olga Veronica</t>
  </si>
  <si>
    <t>21.303.511-8</t>
  </si>
  <si>
    <t>17marce2003@gmail.com</t>
  </si>
  <si>
    <t>Arriagada Torres Marcela Geraldine</t>
  </si>
  <si>
    <t>20.362.221-k</t>
  </si>
  <si>
    <t>adiazln00@gmail.com</t>
  </si>
  <si>
    <t>Arriagada Diaz Andres Ignacio</t>
  </si>
  <si>
    <t>18.384.071-1</t>
  </si>
  <si>
    <t>marlotteavendano@gmail.com</t>
  </si>
  <si>
    <t>Avendaño Contreras Lacey Marlotte</t>
  </si>
  <si>
    <t>11.179.246-1</t>
  </si>
  <si>
    <t>patriciocastagnoli.m@gmail.com</t>
  </si>
  <si>
    <t>Castagnoli Mendez Patricio Eduardo</t>
  </si>
  <si>
    <t>20.866.749-1</t>
  </si>
  <si>
    <t>sigrid.valeska21@gmail.com</t>
  </si>
  <si>
    <t>Elgueta Carrasco Sigrid Valeska</t>
  </si>
  <si>
    <t>19.532.216-3</t>
  </si>
  <si>
    <t>crisgonzalez@cftla.cl</t>
  </si>
  <si>
    <t>Gonzalez Guiñez Cristopher Distefano</t>
  </si>
  <si>
    <t>12.704.435-k</t>
  </si>
  <si>
    <t>victor.munozn74@gmail.com</t>
  </si>
  <si>
    <t>Muñoz Neira Victor Manuel</t>
  </si>
  <si>
    <t>12.531.947-5</t>
  </si>
  <si>
    <t>vergaraviviana023@gmail.com</t>
  </si>
  <si>
    <t>Namos Burgos Tatiana Del Carmen</t>
  </si>
  <si>
    <t>20.362.200-7</t>
  </si>
  <si>
    <t>luisolivares.alexi1@gmail.com</t>
  </si>
  <si>
    <t>Olivares Acevedo Luis Alexi</t>
  </si>
  <si>
    <t>9.084.737-6</t>
  </si>
  <si>
    <t>maria.riquelme.jaque25@gmail.com</t>
  </si>
  <si>
    <t>Riquelme Jaque Maria De Lourdes</t>
  </si>
  <si>
    <t>19.532.356-9</t>
  </si>
  <si>
    <t>brayantilleriahuenul@gmail.com</t>
  </si>
  <si>
    <t>Tilleria Huenul Brayan Andres</t>
  </si>
  <si>
    <t>17.206.882-0</t>
  </si>
  <si>
    <t>F7</t>
  </si>
  <si>
    <t>magda03198921@gmail.com</t>
  </si>
  <si>
    <t>Valdebenito Huaiquipan Magdalena Elizabeth</t>
  </si>
  <si>
    <t>8.885.420-9</t>
  </si>
  <si>
    <t>ricardovargasjerez.777@gmail.com</t>
  </si>
  <si>
    <t>Vargas Jerez Ricardo Segundo</t>
  </si>
  <si>
    <t>9.062.985-9</t>
  </si>
  <si>
    <t>hernancid1012@gmail.com</t>
  </si>
  <si>
    <t>Cid Escobar Maria Haydee</t>
  </si>
  <si>
    <t>11.904.055-8</t>
  </si>
  <si>
    <t>mazambrano@cftla.cl</t>
  </si>
  <si>
    <t>Zambrano Aguilera Margarita</t>
  </si>
  <si>
    <t>19.297.894-7</t>
  </si>
  <si>
    <t>ruthjimena96@gmail.com</t>
  </si>
  <si>
    <t>Palma Duran Ruth Jimena</t>
  </si>
  <si>
    <t>15.756.363-7</t>
  </si>
  <si>
    <t>vegavegaambar@gmail.com</t>
  </si>
  <si>
    <t>Vega Vega Ambar Jasmin</t>
  </si>
  <si>
    <t>16.515.413-4</t>
  </si>
  <si>
    <t>mariiasol.32@gmail.com</t>
  </si>
  <si>
    <t>Vera Marchant Marisol Alejandra</t>
  </si>
  <si>
    <t>20.149.662-4</t>
  </si>
  <si>
    <t>jjazminzapataa21@gmail.com</t>
  </si>
  <si>
    <t>Zapata Aravena Carla Jazmin</t>
  </si>
  <si>
    <t>16.156.975-5</t>
  </si>
  <si>
    <t>mariale.jara39@gmail.com</t>
  </si>
  <si>
    <t>Jara Valenzuela Maria Alejandra</t>
  </si>
  <si>
    <t>12.701.399-3</t>
  </si>
  <si>
    <t>franleonardo.silva1974@gmail.com</t>
  </si>
  <si>
    <t>Silva Inostroza Francisco Leonardo</t>
  </si>
  <si>
    <t>15.224.284-0</t>
  </si>
  <si>
    <t>maribel.noriega.valenzuela@gmail.com</t>
  </si>
  <si>
    <t>Noriega Valenzuela Maribel Denis</t>
  </si>
  <si>
    <t>9.166.404-6</t>
  </si>
  <si>
    <t>cecig3535@gmail.com</t>
  </si>
  <si>
    <t>Gonzalez Cofre Maria Cecilia</t>
  </si>
  <si>
    <t>27.554.603-8</t>
  </si>
  <si>
    <t>andreabolivar711@gmail.com</t>
  </si>
  <si>
    <t>Guayabo Bolivar July Andrea</t>
  </si>
  <si>
    <t>19.827.078-4</t>
  </si>
  <si>
    <t>meganykiara98@gmail.com</t>
  </si>
  <si>
    <t>Figueroa Orellana Javiera Isabel</t>
  </si>
  <si>
    <t>20.021.262-2</t>
  </si>
  <si>
    <t>aguileracofres@gmail.com</t>
  </si>
  <si>
    <t>Aguilera Cofré Sebastián Andrés</t>
  </si>
  <si>
    <t>16.304.529-k</t>
  </si>
  <si>
    <t>leticia.urrazapata08@gmail.com</t>
  </si>
  <si>
    <t>Urra Zapata Leticia Andrea</t>
  </si>
  <si>
    <t>9.809.612-4</t>
  </si>
  <si>
    <t>vitoco401@gmail.com</t>
  </si>
  <si>
    <t>Carrillo Caceres Victor Eduardo</t>
  </si>
  <si>
    <t>10.375.018-0</t>
  </si>
  <si>
    <t>guardariosecotita@gmail.com</t>
  </si>
  <si>
    <t>Guarda Rioseco Aida Del Carmen</t>
  </si>
  <si>
    <t>9.422.481-0</t>
  </si>
  <si>
    <t>cisternagrace5@gmail.com</t>
  </si>
  <si>
    <t>Cisterna Fernandez Grace Elizabeth</t>
  </si>
  <si>
    <t>14.214.606-1</t>
  </si>
  <si>
    <t>andreaonate101@gmail.com</t>
  </si>
  <si>
    <t>Oñate Pereira Isabel Andrea</t>
  </si>
  <si>
    <t>19.297.812-2</t>
  </si>
  <si>
    <t>dominic.melissa1234@gmail.com</t>
  </si>
  <si>
    <t>Peña Nova Dominique Melissa</t>
  </si>
  <si>
    <t>18.136.897-7</t>
  </si>
  <si>
    <t>stgonzalez1991@gmail.com</t>
  </si>
  <si>
    <t>Gonzalez Espinoza Stephanie Solange</t>
  </si>
  <si>
    <t>16.347.792-0</t>
  </si>
  <si>
    <t>varelagraci246@gmail.com</t>
  </si>
  <si>
    <t>Varela Chavez Graciela Elizabeth</t>
  </si>
  <si>
    <t>27.556.814-7</t>
  </si>
  <si>
    <t>jesustoalar@hotmail.com</t>
  </si>
  <si>
    <t>Toala Ruiz Jesus Fernando</t>
  </si>
  <si>
    <t>19.827.280-9</t>
  </si>
  <si>
    <t>priscillaaltamiranovega@gmail.com</t>
  </si>
  <si>
    <t>Vega Altamirano Priscilla Andrea</t>
  </si>
  <si>
    <t>18.442.946-2</t>
  </si>
  <si>
    <t>jeanclaudearmijovillagran@gmail.com</t>
  </si>
  <si>
    <t>jeanclaudearmijovillagran@gmail.comm</t>
  </si>
  <si>
    <t>Armijo Villagran Jean Claude Valentin</t>
  </si>
  <si>
    <t>17.896.821-1</t>
  </si>
  <si>
    <t>majoleiva22@gmail.com</t>
  </si>
  <si>
    <t>Leiva Zambrano Maria Jose</t>
  </si>
  <si>
    <t>19.799.556-4</t>
  </si>
  <si>
    <t>danitzamolinam5@gmail.com</t>
  </si>
  <si>
    <t>Molina Mella Danitza Dayana</t>
  </si>
  <si>
    <t>17.944.632-4</t>
  </si>
  <si>
    <t>peters.24.aguilera@gmail.com</t>
  </si>
  <si>
    <t>Peters Aguilera Tiffany Lissette</t>
  </si>
  <si>
    <t>17.729.226-5</t>
  </si>
  <si>
    <t>jennysotoescobar@gmail.com</t>
  </si>
  <si>
    <t>Soto Escobar Jenny Katherine</t>
  </si>
  <si>
    <t>9.528.676-3</t>
  </si>
  <si>
    <t>palmeniauribep@gmail.com</t>
  </si>
  <si>
    <t>Uribe Peña Palmenia Cecilia</t>
  </si>
  <si>
    <t>16.999.554-0</t>
  </si>
  <si>
    <t>olivaquiroz72@gmail.com</t>
  </si>
  <si>
    <t>Oliva Quiroz Marta Alejandra</t>
  </si>
  <si>
    <t>9.317.926-9</t>
  </si>
  <si>
    <t>aburgosmunoz24@gmail.com</t>
  </si>
  <si>
    <t>Burgos Muñoz Aldo Alberto</t>
  </si>
  <si>
    <t>19.520.774-7</t>
  </si>
  <si>
    <t>rflordanitza@gmail.com</t>
  </si>
  <si>
    <t>Retamal Alvarez Flor Danitza</t>
  </si>
  <si>
    <t>14.392.842-k</t>
  </si>
  <si>
    <t>lessly.78.pavez@gmail.com</t>
  </si>
  <si>
    <t>Pavez Ulloa Lessly Paola</t>
  </si>
  <si>
    <t>13.958.037-0</t>
  </si>
  <si>
    <t>silviaash15@gmail.com</t>
  </si>
  <si>
    <t>Sanhueza Hermosilla Silvia Alejandra</t>
  </si>
  <si>
    <t>19.731.148-7</t>
  </si>
  <si>
    <t>tandrea10marly@gmail.com</t>
  </si>
  <si>
    <t>Tegler Mariñan Marly Andrea</t>
  </si>
  <si>
    <t>16.230.115-2</t>
  </si>
  <si>
    <t>prisciurra2016@gmail.com</t>
  </si>
  <si>
    <t>Urra Rodriguez Priscilla Vanessa</t>
  </si>
  <si>
    <t>13.726.847-7</t>
  </si>
  <si>
    <t>maritacampos79@gmail.com</t>
  </si>
  <si>
    <t>Campos Loncomilla Maria Isabel</t>
  </si>
  <si>
    <t>17.396.116-2</t>
  </si>
  <si>
    <t>solange.constanza31@gmail.com</t>
  </si>
  <si>
    <t>Contreras Monsalves Solange Constanza</t>
  </si>
  <si>
    <t>17.454.275-9</t>
  </si>
  <si>
    <t>liliangzmn@gmail.com</t>
  </si>
  <si>
    <t>Guzman Toledo Lilian Del Carmen</t>
  </si>
  <si>
    <t>12.527.259-2</t>
  </si>
  <si>
    <t>marianelaruizoses23@gmail.com</t>
  </si>
  <si>
    <t>Ruiz Osses Marianela Del Carmen</t>
  </si>
  <si>
    <t>15.529.053-6</t>
  </si>
  <si>
    <t>caroantileo12345@gmail.com</t>
  </si>
  <si>
    <t>Diaz Antileo Carolina Andrea</t>
  </si>
  <si>
    <t>10.603.030-8</t>
  </si>
  <si>
    <t>sanhuezayevenes68@gmail.com</t>
  </si>
  <si>
    <t>Sanhueza Yevenes Jacqueline De Las Mercedes</t>
  </si>
  <si>
    <t>10.639.239-0</t>
  </si>
  <si>
    <t>patricia.angelica.vargas@gmail.com</t>
  </si>
  <si>
    <t>Vargas Osses Patricia Angelica</t>
  </si>
  <si>
    <t>17.204.236-8</t>
  </si>
  <si>
    <t>sanchez288210@gmail.com</t>
  </si>
  <si>
    <t>Sanchez Torres Lorena Del Carmen</t>
  </si>
  <si>
    <t>20.145.187-6</t>
  </si>
  <si>
    <t>dny.boki@gmail.comm</t>
  </si>
  <si>
    <t>dny.boki@gmail.com</t>
  </si>
  <si>
    <t>Villanueva Burboa Daniel Antonio</t>
  </si>
  <si>
    <t>14.361.771-8</t>
  </si>
  <si>
    <t>araceli.10abarca@gmail.com</t>
  </si>
  <si>
    <t>Flores Abarca Araceli De Las Mercedes</t>
  </si>
  <si>
    <t>17.223.134-9</t>
  </si>
  <si>
    <t>hortenciagonzalezceballos1989@gmail.com</t>
  </si>
  <si>
    <t>Gonzalez Ceballos Hortencia Del Carmen</t>
  </si>
  <si>
    <t>18.802.638-9</t>
  </si>
  <si>
    <t>ludacm1495@gmail.com</t>
  </si>
  <si>
    <t>Carrillo Manriquez Luis David</t>
  </si>
  <si>
    <t>15.756.010-7</t>
  </si>
  <si>
    <t>saldias.beld@gmail.com</t>
  </si>
  <si>
    <t>Saldias Beldaño Fabian Andres</t>
  </si>
  <si>
    <t>21.991.821-6</t>
  </si>
  <si>
    <t>aedowilliams03@gmail.com</t>
  </si>
  <si>
    <t>Aedo Contreras Williams Eduardo</t>
  </si>
  <si>
    <t>17.571.642-4</t>
  </si>
  <si>
    <t>nino.bermedo@hotmail.com</t>
  </si>
  <si>
    <t>Bermedo Vargas Ninoska Alejandra</t>
  </si>
  <si>
    <t>11.683.458-8</t>
  </si>
  <si>
    <t>inesmabelartigapradena@gmail.com</t>
  </si>
  <si>
    <t>Artiga Pradena Ines Mabel</t>
  </si>
  <si>
    <t>20.724.938-6</t>
  </si>
  <si>
    <t>kamilap615@gmail.com</t>
  </si>
  <si>
    <t>Prado Belmar Kamila Margarita</t>
  </si>
  <si>
    <t>19.297.951-k</t>
  </si>
  <si>
    <t>sotoburgoscarolina@gmail.com</t>
  </si>
  <si>
    <t>Soto Burgos Carolina Andrea</t>
  </si>
  <si>
    <t>21.209.200-2</t>
  </si>
  <si>
    <t>estebanconejerosarce@gmail.com</t>
  </si>
  <si>
    <t>Conejeros Arce Esteban Alonso</t>
  </si>
  <si>
    <t>15.420.594-2</t>
  </si>
  <si>
    <t>valenzuela.yohana82@gmail.com</t>
  </si>
  <si>
    <t>Valenzuela Rodriguez Yohana Karina</t>
  </si>
  <si>
    <t>22.274.825-9</t>
  </si>
  <si>
    <t>ds2408273@gmail.com</t>
  </si>
  <si>
    <t>Pineda Sanchez Anthony Araan</t>
  </si>
  <si>
    <t>16.348.695-4</t>
  </si>
  <si>
    <t>frandeconce@gmail.com</t>
  </si>
  <si>
    <t>Retamal Alvarez Francisca Alejandra</t>
  </si>
  <si>
    <t>19.387.435-5</t>
  </si>
  <si>
    <t>daniskaa.gonzalezm@gmail.com</t>
  </si>
  <si>
    <t>Gonzalez Monje Daniska Sivoney</t>
  </si>
  <si>
    <t>18.106.667-9</t>
  </si>
  <si>
    <t>snake.mvs@gmail.com</t>
  </si>
  <si>
    <t>Valencia Sanhueza Michele Antonio</t>
  </si>
  <si>
    <t>11.174.728-8</t>
  </si>
  <si>
    <t>edithmarlenespina08@gmail.com</t>
  </si>
  <si>
    <t>Espina Arriagada Edith Marlene</t>
  </si>
  <si>
    <t>26.243.395-1</t>
  </si>
  <si>
    <t>gladyscrmorientacion@gmail.com</t>
  </si>
  <si>
    <t>Rodriguez Molina Gladys Cecilia</t>
  </si>
  <si>
    <t>18.821.078-3</t>
  </si>
  <si>
    <t>g.h.16@hotmail.com</t>
  </si>
  <si>
    <t>Hernandez Jeldres German Nicolas</t>
  </si>
  <si>
    <t>12.407.458-4</t>
  </si>
  <si>
    <t>zaico.rodrigo@gmail.com</t>
  </si>
  <si>
    <t>Mellado Tarifeño Rodrigo Alex</t>
  </si>
  <si>
    <t>21.313.719-0</t>
  </si>
  <si>
    <t>joangelicarojas@gmail.com</t>
  </si>
  <si>
    <t>Rojas Matamala Josefina Angélica</t>
  </si>
  <si>
    <t>24.922.508-8</t>
  </si>
  <si>
    <t>ana.escobar.libre@gmail.com</t>
  </si>
  <si>
    <t>Escobar Libreros Ana Milena</t>
  </si>
  <si>
    <t>19.531.481-0</t>
  </si>
  <si>
    <t>estebanmr416@gmail.com</t>
  </si>
  <si>
    <t>Martinez Reyes Luis Esteban</t>
  </si>
  <si>
    <t>7.902.348-5</t>
  </si>
  <si>
    <t>anarosita_2011@hotmail.com</t>
  </si>
  <si>
    <t>Alarcon Garcia Ana Rosa</t>
  </si>
  <si>
    <t>12.704.501-1</t>
  </si>
  <si>
    <t>pablocanalesjara@gmail.com</t>
  </si>
  <si>
    <t>Canales Jara Pablo Enrique</t>
  </si>
  <si>
    <t>18.822.266-8</t>
  </si>
  <si>
    <t>camibrj7@gmail.com</t>
  </si>
  <si>
    <t>Bravo Jara Camila Angelica</t>
  </si>
  <si>
    <t>19.908.741-k</t>
  </si>
  <si>
    <t>alecruces24@gmail.com</t>
  </si>
  <si>
    <t>Cruces Cruces Brayan Alexander</t>
  </si>
  <si>
    <t>13.802.775-9</t>
  </si>
  <si>
    <t>ljohanapm1980@gmail.com</t>
  </si>
  <si>
    <t>Pirul Monsalves Luisa Johanna</t>
  </si>
  <si>
    <t>20.149.400-1</t>
  </si>
  <si>
    <t>jjjavi.rra23@gmail.com</t>
  </si>
  <si>
    <t>Sanchez Ruiz Javiera Ignacia</t>
  </si>
  <si>
    <t>17.321.169-4</t>
  </si>
  <si>
    <t>romina.vallejos.f@gmail.com</t>
  </si>
  <si>
    <t>Vallejos Fuentealba Romina Elizabeth</t>
  </si>
  <si>
    <t>18.418.963-1</t>
  </si>
  <si>
    <t>vparedes069@gmail.com</t>
  </si>
  <si>
    <t>Paredes Torres Valentina Felicia</t>
  </si>
  <si>
    <t>20.613.495-k</t>
  </si>
  <si>
    <t>franciscomalejandro39@gmail.com</t>
  </si>
  <si>
    <t>Medina Fernández Francisco Alejandro</t>
  </si>
  <si>
    <t>19.814.878-4</t>
  </si>
  <si>
    <t>priscilariosecoorizon@gmail.com</t>
  </si>
  <si>
    <t>Rioseco Dibarrat Priscila Escarlet</t>
  </si>
  <si>
    <t>16.038.783-1</t>
  </si>
  <si>
    <t>mayidelgado8@gmail.com</t>
  </si>
  <si>
    <t>Delgado Martinez Margarita Aurora</t>
  </si>
  <si>
    <t>8.021.658-0</t>
  </si>
  <si>
    <t>fuentesloydaisabel@gmail.com</t>
  </si>
  <si>
    <t>Fuentes Muñoz Loyda Isabel</t>
  </si>
  <si>
    <t>20.439.818-6</t>
  </si>
  <si>
    <t>d.castillo.c.2409@gmail.com</t>
  </si>
  <si>
    <t>Castillo Castro Diego Andres</t>
  </si>
  <si>
    <t>17.594.144-4</t>
  </si>
  <si>
    <t>pazmalbrann@gmail.com</t>
  </si>
  <si>
    <t>Malbrán Paredes Julia Paz</t>
  </si>
  <si>
    <t>11.903.572-4</t>
  </si>
  <si>
    <t>viejachicaodette@gmail.com</t>
  </si>
  <si>
    <t>Silva Rodriguez Odette Elvira</t>
  </si>
  <si>
    <t>12.589.096-2</t>
  </si>
  <si>
    <t>paulaespina45@gmail.com</t>
  </si>
  <si>
    <t>Espina Arriagada Paula Andrea</t>
  </si>
  <si>
    <t>16.818.287-2</t>
  </si>
  <si>
    <t>saezzenteno123@gmail.com</t>
  </si>
  <si>
    <t>Saez Zenteno Jennifer Alejandra</t>
  </si>
  <si>
    <t>20.738.454-2</t>
  </si>
  <si>
    <t>marcoantonioov2001@gmail.com</t>
  </si>
  <si>
    <t>Oviedo Aguilera Marco Antonio</t>
  </si>
  <si>
    <t>14.549.259-9</t>
  </si>
  <si>
    <t>elizabethfuentealba548@gmail.com</t>
  </si>
  <si>
    <t>Fuentealba Opazo Elizabeth Rosario</t>
  </si>
  <si>
    <t>18.500.919-k</t>
  </si>
  <si>
    <t>fabryrodriguezgarces@gmail.com</t>
  </si>
  <si>
    <t>Rodriguez Garces Fabrizio Luis Fernando</t>
  </si>
  <si>
    <t>21.600.069-2</t>
  </si>
  <si>
    <t>javier.torresmaxii@gmail.com</t>
  </si>
  <si>
    <t>Torres Araneda Javier Maximiliano</t>
  </si>
  <si>
    <t>19.816.724-k</t>
  </si>
  <si>
    <t>diergorivcar@gmail.com</t>
  </si>
  <si>
    <t>Rivera Carrasco Diego Enrique</t>
  </si>
  <si>
    <t>12.982.892-7</t>
  </si>
  <si>
    <t>susanaconcha124@gmail.com</t>
  </si>
  <si>
    <t>Concha Toloza Susana Leonor</t>
  </si>
  <si>
    <t>10.619.617-6</t>
  </si>
  <si>
    <t>josselynsandoval127@gmail.com</t>
  </si>
  <si>
    <t>Sandoval Hermosilla Josselyn Paola</t>
  </si>
  <si>
    <t>17.730.869-2</t>
  </si>
  <si>
    <t>CRISTOPHER.ROMAN.E55@GMAIL.COM</t>
  </si>
  <si>
    <t>Roman Espina Cristopher Sebastian</t>
  </si>
  <si>
    <t>19.335.444-0</t>
  </si>
  <si>
    <t>rcformandoy@gmail.com</t>
  </si>
  <si>
    <t>Campos Formandoy Robert Alejandro</t>
  </si>
  <si>
    <t>9.719.461-0</t>
  </si>
  <si>
    <t>BER.MOLINA3597@GMAIL.COM</t>
  </si>
  <si>
    <t>Molina Herrera Bernardo Enrique</t>
  </si>
  <si>
    <t>17.892.256-4</t>
  </si>
  <si>
    <t>dmora7255@gmail.com</t>
  </si>
  <si>
    <t>dmora7255@gmail.comm</t>
  </si>
  <si>
    <t>Mora Bustos David Eduardo</t>
  </si>
  <si>
    <t>26.671.020-8</t>
  </si>
  <si>
    <t>ELEAZARBORGES85@GMAIL.COM</t>
  </si>
  <si>
    <t>Borges Mata Eleazar Jose</t>
  </si>
  <si>
    <t>9.165.135-1</t>
  </si>
  <si>
    <t>F.CARRASCOBURGOS@GMAIL.COM</t>
  </si>
  <si>
    <t>Carrasco Burgos Fernando</t>
  </si>
  <si>
    <t>19.826.928-k</t>
  </si>
  <si>
    <t>JACOBLEONIDAS.7@GMAIL.COM</t>
  </si>
  <si>
    <t>Chamorro Santibañez Jacob Leonidas</t>
  </si>
  <si>
    <t>20.363.684-9</t>
  </si>
  <si>
    <t>ANGELONICOLAS.AF@GMAIL.COM</t>
  </si>
  <si>
    <t>Flores Baeza Angelo Nicolas</t>
  </si>
  <si>
    <t>17.696.517-7</t>
  </si>
  <si>
    <t>JOHNBAEZA990@GMAIL.COM</t>
  </si>
  <si>
    <t>Flores Baeza John Michael</t>
  </si>
  <si>
    <t>27.924.230-0</t>
  </si>
  <si>
    <t>MKSMENSAJERIA@GMAIL.COM</t>
  </si>
  <si>
    <t>Gonzalez Alape Cristhian Camilo</t>
  </si>
  <si>
    <t>14.214.739-4</t>
  </si>
  <si>
    <t>HANSMANRIQUEZ18@GMAIL.COM</t>
  </si>
  <si>
    <t>Manriquez Bernales Hans Alexis</t>
  </si>
  <si>
    <t>16.817.858-1</t>
  </si>
  <si>
    <t>ANTONIOMONSALVES1987@GMAIL.COM</t>
  </si>
  <si>
    <t>Monsalves Roman Eliazar Antonio</t>
  </si>
  <si>
    <t>19.521.404-2</t>
  </si>
  <si>
    <t>DIEGOMUNOZCARRILLO1997@GMAIL.COM</t>
  </si>
  <si>
    <t>Muñoz Carrillo Diego Mauricio</t>
  </si>
  <si>
    <t>21.093.204-6</t>
  </si>
  <si>
    <t>MARCELOJESUSNAVARRO@GMAIL.COM</t>
  </si>
  <si>
    <t>Navarro Izquierdo Marcelo Jesus</t>
  </si>
  <si>
    <t>13.513.285-3</t>
  </si>
  <si>
    <t>RAULALEJANDRO.197839@GMAIL.COM</t>
  </si>
  <si>
    <t>Puga Aravena Raul Alejandro</t>
  </si>
  <si>
    <t>19.521.629-0</t>
  </si>
  <si>
    <t>GIOOVALENZ@GMAIL.COM</t>
  </si>
  <si>
    <t>Valenzuela Sierra Giovanni Enrique</t>
  </si>
  <si>
    <t>13.108.917-1</t>
  </si>
  <si>
    <t>CRISTIANVILLARROELSAAVEDRA@GMAIL.COM</t>
  </si>
  <si>
    <t>Villarroel Saavedra Cristian Rodrigo</t>
  </si>
  <si>
    <t>19.599.422-6</t>
  </si>
  <si>
    <t>GABO192837465@GMAIL.COM</t>
  </si>
  <si>
    <t>Carrillo Vega Gabriel Alexander</t>
  </si>
  <si>
    <t>13.725.943-5</t>
  </si>
  <si>
    <t>gs5174182@gmail.com</t>
  </si>
  <si>
    <t>Salinas Chabur Gonzalo Antonio</t>
  </si>
  <si>
    <t>20.150.148-2</t>
  </si>
  <si>
    <t>juliobust77@gmail.com</t>
  </si>
  <si>
    <t>Bustos Fernandez Julio Andres</t>
  </si>
  <si>
    <t>19.520.729-1</t>
  </si>
  <si>
    <t>ROMINA.BROWN20@HOTMAIL.COM</t>
  </si>
  <si>
    <t>Brown Perez Romina Monserrat</t>
  </si>
  <si>
    <t>10.932.005-6</t>
  </si>
  <si>
    <t>JACQUELINMARTINEZ144@GMAIL.COM</t>
  </si>
  <si>
    <t>Martinez Carrasco Jacquelin Del Carmen</t>
  </si>
  <si>
    <t>10.037.764-0</t>
  </si>
  <si>
    <t>sanzanaisaias516@gmail.com</t>
  </si>
  <si>
    <t>Sanzana Merino Isaias Del Carmen</t>
  </si>
  <si>
    <t>20.886.959-0</t>
  </si>
  <si>
    <t>mario.sierra.2e@gmail.com</t>
  </si>
  <si>
    <t>Farfan Sierra Mario Enrique</t>
  </si>
  <si>
    <t>20.613.517-4</t>
  </si>
  <si>
    <t>ROBERTOJOSUE0402@GMAIL.COM</t>
  </si>
  <si>
    <t>Viveros Cuevas Roberto Zacarias</t>
  </si>
  <si>
    <t>13.512.684-5</t>
  </si>
  <si>
    <t>gd0593047@gmail.com</t>
  </si>
  <si>
    <t>Diaz Acuña Guillermo Deniz</t>
  </si>
  <si>
    <t>19.750.220-7</t>
  </si>
  <si>
    <t>REYESBILLS3@GMAIL.COM</t>
  </si>
  <si>
    <t>Perez Reyes Paolo Camilo</t>
  </si>
  <si>
    <t>11.153.361-k</t>
  </si>
  <si>
    <t>davidbusto177@gmail.com</t>
  </si>
  <si>
    <t>Bustos Cerna David Arsenio</t>
  </si>
  <si>
    <t>21.287.399-3</t>
  </si>
  <si>
    <t>PAVEZXX@GMAIL.COM</t>
  </si>
  <si>
    <t>Pavez Vallejos Bryan Isaac Andres</t>
  </si>
  <si>
    <t>18.137.975-8</t>
  </si>
  <si>
    <t>angelicacernaquezada@gmail.com</t>
  </si>
  <si>
    <t>Cerna Quezada Angélica Yamilet</t>
  </si>
  <si>
    <t>19.827.253-1</t>
  </si>
  <si>
    <t>danielaoriasneira27@gmail.com</t>
  </si>
  <si>
    <t>Orias Neira Daniela Ester</t>
  </si>
  <si>
    <t>21.561.623-1</t>
  </si>
  <si>
    <t>ulloanicolas971@gmail.com</t>
  </si>
  <si>
    <t>Ulloa Valencia Nicolas Jose Luis</t>
  </si>
  <si>
    <t>15.584.790-5</t>
  </si>
  <si>
    <t>DEPORTENACIONALX@GMAIL.COM</t>
  </si>
  <si>
    <t>Parra Carrasco Luciano Enrique</t>
  </si>
  <si>
    <t>19.799.279-4</t>
  </si>
  <si>
    <t>CAMILOFLORESPOBLETE@GMAIL.COM</t>
  </si>
  <si>
    <t>Flores Poblete Alvaro Camilo</t>
  </si>
  <si>
    <t>17.608.363-8</t>
  </si>
  <si>
    <t>andrea.diaz46@gmail.com</t>
  </si>
  <si>
    <t>Diaz Diaz Andrea Del Carmen</t>
  </si>
  <si>
    <t>15.192.693-2</t>
  </si>
  <si>
    <t>nurylabarrera4@gmail.com</t>
  </si>
  <si>
    <t>Aravena Martinez Deysi</t>
  </si>
  <si>
    <t>19.637.743-3</t>
  </si>
  <si>
    <t>kcuevas0597@gmail.com</t>
  </si>
  <si>
    <t>Cuevas Mora Kenneth Brian</t>
  </si>
  <si>
    <t>20.014.152-0</t>
  </si>
  <si>
    <t>ACEVEDOOSIGRIID@GMAIL.COM</t>
  </si>
  <si>
    <t>Acevedo Gutierrez Sigrid Yael</t>
  </si>
  <si>
    <t>8.843.670-9</t>
  </si>
  <si>
    <t>benitaaguilera124@gmail.com</t>
  </si>
  <si>
    <t>Aguilera Garces Benita Bad</t>
  </si>
  <si>
    <t>18.882.668-7</t>
  </si>
  <si>
    <t>MARIAAGUIRRE1994@GMAIL.COM</t>
  </si>
  <si>
    <t>Aguirre Fuentes Maria Victoria</t>
  </si>
  <si>
    <t>21.097.084-3</t>
  </si>
  <si>
    <t>DARLINGALARCON4@GMAIL.COM</t>
  </si>
  <si>
    <t>Alarcon Arevalo Darling Constanza</t>
  </si>
  <si>
    <t>19.121.833-7</t>
  </si>
  <si>
    <t>ALESKARODRIGUEZ46@GMAIL.COM</t>
  </si>
  <si>
    <t>Albornoz Rodriguez Aleska Camila</t>
  </si>
  <si>
    <t>19.511.565-6</t>
  </si>
  <si>
    <t>RO.ALEGRIAMO@GMAIL.COM</t>
  </si>
  <si>
    <t>Alegria Molina Romina Gricel</t>
  </si>
  <si>
    <t>13.391.947-3</t>
  </si>
  <si>
    <t>ALVAREZCLAUDIADELROSARIO@GMAIL.COM</t>
  </si>
  <si>
    <t>Alvarez Lozano Claudia Del Rosario</t>
  </si>
  <si>
    <t>20.823.341-6</t>
  </si>
  <si>
    <t>marcelalexandreuespinoza@gmail.com</t>
  </si>
  <si>
    <t>Andreu Espinoza Marcel Alex</t>
  </si>
  <si>
    <t>20.512.791-7</t>
  </si>
  <si>
    <t>CARITOLALEJANDRA.2000M@GMAIL.COM</t>
  </si>
  <si>
    <t>Aravena Morales Carol Alejandra</t>
  </si>
  <si>
    <t>12.918.411-6</t>
  </si>
  <si>
    <t>SOLEDADARAVENA1974@GMAIL.COM</t>
  </si>
  <si>
    <t>Aravena Cabrera Maria Soledad</t>
  </si>
  <si>
    <t>12.100.433-k</t>
  </si>
  <si>
    <t>ARAYAJUANA409@GMAIL.COM</t>
  </si>
  <si>
    <t>Araya Inostroza Juana Lorena</t>
  </si>
  <si>
    <t>16.283.369-3</t>
  </si>
  <si>
    <t>CAREN08022015@GMAIL.COM</t>
  </si>
  <si>
    <t>Arce Vega Caren Del Pilar</t>
  </si>
  <si>
    <t>9.694.980-4</t>
  </si>
  <si>
    <t>PATRICIAAREVALO006@GMAIL.COM</t>
  </si>
  <si>
    <t>Arevalo Parra Patricia De Las Nieves</t>
  </si>
  <si>
    <t>11.739.818-8</t>
  </si>
  <si>
    <t>WILMAASTETEIBARRA07@GMAIL.COM</t>
  </si>
  <si>
    <t>Astete Ibarra Wilma</t>
  </si>
  <si>
    <t>15.962.842-6</t>
  </si>
  <si>
    <t>ANDREA.ASTUDILLO.SALA@GMAIL.COM</t>
  </si>
  <si>
    <t>Astudillo Salazar Urde Andrea</t>
  </si>
  <si>
    <t>24.827.079-9</t>
  </si>
  <si>
    <t>ALEXANDRA.AVILESLOZANO@GMAIL.COM</t>
  </si>
  <si>
    <t>Aviles Lozano Juana Alexandra</t>
  </si>
  <si>
    <t>17.540.924-6</t>
  </si>
  <si>
    <t>BARABONA.PREV@GMAIL.COM</t>
  </si>
  <si>
    <t>Barabona Ferrada Ahiliny Scarlett</t>
  </si>
  <si>
    <t>15.955.170-9</t>
  </si>
  <si>
    <t>MARISOLBARRAZAMBRANO@GMAIL.COM</t>
  </si>
  <si>
    <t>Barra Zambrano Marisol Ascension</t>
  </si>
  <si>
    <t>13.848.770-9</t>
  </si>
  <si>
    <t>clauyrafy17@gmail.com</t>
  </si>
  <si>
    <t>Barria Yañez Claudia Alejandra</t>
  </si>
  <si>
    <t>17.640.624-0</t>
  </si>
  <si>
    <t>CBASCUNAN242@GMAIL.COM</t>
  </si>
  <si>
    <t>Bascuñan Vargas Carlos Eduardo</t>
  </si>
  <si>
    <t>17.042.058-6</t>
  </si>
  <si>
    <t>L.BETANCOURTOYARCE@GMAIL.COM</t>
  </si>
  <si>
    <t>Betancourt Oyarce Leslie Elizabeth</t>
  </si>
  <si>
    <t>21.507.613-k</t>
  </si>
  <si>
    <t>bastianburgos06@gmail.com</t>
  </si>
  <si>
    <t>Burgos Cisternas Bastian Cristobal Nicolas</t>
  </si>
  <si>
    <t>12.303.422-8</t>
  </si>
  <si>
    <t>JANI.CANALES.J@GMAIL.COM</t>
  </si>
  <si>
    <t>Canales Jiménez Juana Aída</t>
  </si>
  <si>
    <t>19.799.355-3</t>
  </si>
  <si>
    <t>cr.carrascop@duocuc.cl</t>
  </si>
  <si>
    <t>Carrasco Paz Cristian Eduardo</t>
  </si>
  <si>
    <t>14.391.763-0</t>
  </si>
  <si>
    <t>rikicarrasco1978@gmail.com</t>
  </si>
  <si>
    <t>Carrasco Valenzuela Ricardo Enrique</t>
  </si>
  <si>
    <t>17.221.745-1</t>
  </si>
  <si>
    <t>IVONNE.CARRASCO.MONSALVE@GMAIL.COM</t>
  </si>
  <si>
    <t>Carrasco Monsalve Ivonne Teresa De Jesus</t>
  </si>
  <si>
    <t>16.039.764-0</t>
  </si>
  <si>
    <t>DAYARLEE@GMAIL.COM</t>
  </si>
  <si>
    <t>Carrillo Beltran Carolina Yanaira</t>
  </si>
  <si>
    <t>21.716.409-5</t>
  </si>
  <si>
    <t>MANUELALEJANDROCARRILLONOVA@GMAIL.COM</t>
  </si>
  <si>
    <t>Carrillo Nova Manuel Alejandro</t>
  </si>
  <si>
    <t>22.049.366-0</t>
  </si>
  <si>
    <t>NEYENCARTES6@GMAIL.COM</t>
  </si>
  <si>
    <t>Cartes Morales Neyen Isabel Sebastiana</t>
  </si>
  <si>
    <t>16.391.744-0</t>
  </si>
  <si>
    <t>ruthcarvallo12@gmail.com</t>
  </si>
  <si>
    <t>Carvallo Oñate Ruth Elizabeth</t>
  </si>
  <si>
    <t>21.862.867-2</t>
  </si>
  <si>
    <t>CATRILCATALINA1@GMAIL.COM</t>
  </si>
  <si>
    <t>Catril Amaya Catalina Lucinda</t>
  </si>
  <si>
    <t>13.311.259-6</t>
  </si>
  <si>
    <t>CHAPARRITOBURGOS77@HOTMAIL.COM</t>
  </si>
  <si>
    <t>Chaparro Burgos Gabriel Octavio</t>
  </si>
  <si>
    <t>17.862.501-2</t>
  </si>
  <si>
    <t>EMACID55@GMAIL.COM</t>
  </si>
  <si>
    <t>Cid Medel Ema Del Carmen</t>
  </si>
  <si>
    <t>15.978.091-0</t>
  </si>
  <si>
    <t>milza.niria85@gmail.com</t>
  </si>
  <si>
    <t>Contreras Saavedra Milza Niria</t>
  </si>
  <si>
    <t>10.336.964-9</t>
  </si>
  <si>
    <t>LIGIACORTESGUZMAN@GMAIL.COM</t>
  </si>
  <si>
    <t>Cortes Guzman Ligia Del Pilar</t>
  </si>
  <si>
    <t>11.774.275-k</t>
  </si>
  <si>
    <t>MARTA.CORDOVA.047@GMAIL.COM</t>
  </si>
  <si>
    <t>Cordova Betanzo Marta Del Transito</t>
  </si>
  <si>
    <t>20.513.528-6</t>
  </si>
  <si>
    <t>JOSECRUCES302001@GMAIL.COM</t>
  </si>
  <si>
    <t>Cruces Fonseca Jose Benjamin</t>
  </si>
  <si>
    <t>10.522.016-2</t>
  </si>
  <si>
    <t>LETELIERDFABIOLA@GMAIL.COM</t>
  </si>
  <si>
    <t>Diaz Letelier Fabiola Elizabeth</t>
  </si>
  <si>
    <t>15.224.548-3</t>
  </si>
  <si>
    <t>MAXIESPINOZA588@GMAIL.COM</t>
  </si>
  <si>
    <t>Duran Espinoza Maximiliano Javier</t>
  </si>
  <si>
    <t>14.034.505-9</t>
  </si>
  <si>
    <t>ALEJANDRAESCALONAESCALONA@GMAIL.COM</t>
  </si>
  <si>
    <t>Escalona Escalona Alejandra Patricia</t>
  </si>
  <si>
    <t>10.982.632-4</t>
  </si>
  <si>
    <t>JOSEJOCY.DIEGO@GMAIL.COM</t>
  </si>
  <si>
    <t>Espinoza Quinchavil Ana Cecilia</t>
  </si>
  <si>
    <t>15.528.977-5</t>
  </si>
  <si>
    <t>EVAESPINOZA2705@YAHOO.COM</t>
  </si>
  <si>
    <t>Espinoza Zambrano Eva Pamela</t>
  </si>
  <si>
    <t>21.005.050-7</t>
  </si>
  <si>
    <t>CAROLINAFAUNDEZRODRIGUEZ@GMAIL.COM</t>
  </si>
  <si>
    <t>Faundez Rodriguez Carolina Constanza</t>
  </si>
  <si>
    <t>17.393.946-9</t>
  </si>
  <si>
    <t>JAFERNANDEZMORAGA@GMAIL.COM</t>
  </si>
  <si>
    <t>Fernandez Moraga Jaritza Valeska</t>
  </si>
  <si>
    <t>12.036.668-8</t>
  </si>
  <si>
    <t>1966MARIFERNANDEZ@GMAIL.COM</t>
  </si>
  <si>
    <t>Fernandez Pacheco Maria Antonieta</t>
  </si>
  <si>
    <t>15.193.686-5</t>
  </si>
  <si>
    <t>MANUFERNANDEZ717@GMAIL.COM</t>
  </si>
  <si>
    <t>Fernandez Sepulveda Manuel Balduino</t>
  </si>
  <si>
    <t>17.896.919-6</t>
  </si>
  <si>
    <t>AF2714887@GMAIL.COM</t>
  </si>
  <si>
    <t>Figueroa Martinez Alejandra Jacqueline</t>
  </si>
  <si>
    <t>14.401.784-6</t>
  </si>
  <si>
    <t>FLORESLUISMAURI@GMAIL.COM</t>
  </si>
  <si>
    <t>Flores Urqueta Luis Mauricio</t>
  </si>
  <si>
    <t>12.529.866-4</t>
  </si>
  <si>
    <t>CARMENFLORESMACHUCA2020@GMAIL.COM</t>
  </si>
  <si>
    <t>Flores Machuca Godelba Carmen</t>
  </si>
  <si>
    <t>18.137.147-1</t>
  </si>
  <si>
    <t>NICOGABRIELA1125@GMAIL.COM</t>
  </si>
  <si>
    <t>Forte Vargas Nicole Gabriela</t>
  </si>
  <si>
    <t>18.137.014-9</t>
  </si>
  <si>
    <t>ADOLFOANDRADE938@GMAIL.COM</t>
  </si>
  <si>
    <t>Fuentes Andrade Gustavo Adolfo</t>
  </si>
  <si>
    <t>18.079.675-4</t>
  </si>
  <si>
    <t>ANGELINAGALVEZ1992@GMAIL.COM</t>
  </si>
  <si>
    <t>Galvez Cea Angelina Del Rosario</t>
  </si>
  <si>
    <t>16.229.468-7</t>
  </si>
  <si>
    <t>GARRIDOGERMAN49@GMAIL.COM</t>
  </si>
  <si>
    <t>Garrido Ramirez German Andres Alberto</t>
  </si>
  <si>
    <t>22.145.907-5</t>
  </si>
  <si>
    <t>DS2924951@GMAIL.COM</t>
  </si>
  <si>
    <t>Godoy Sandoval Dylan Alejandro</t>
  </si>
  <si>
    <t>15.198.140-2</t>
  </si>
  <si>
    <t>CINTHYAGONZALEZALARCON@GMAIL.COM</t>
  </si>
  <si>
    <t>Gonzalez Alarcon Cinthya Lorena</t>
  </si>
  <si>
    <t>16.156.588-1</t>
  </si>
  <si>
    <t>LISETGONZA2014@GMAIL.COM</t>
  </si>
  <si>
    <t>Gonzalez Santibañez Evelyn Lissette</t>
  </si>
  <si>
    <t>17.641.681-5</t>
  </si>
  <si>
    <t>NICOLEJIMENAG@GMAIL.COM</t>
  </si>
  <si>
    <t>Guevara Zambrano Nicole Jimena</t>
  </si>
  <si>
    <t>14.342.457-k</t>
  </si>
  <si>
    <t>ROSANAGUTIERREZRIVERA@GMAIL.COM</t>
  </si>
  <si>
    <t>Gutierrez Rivera Rosana Del Pilar</t>
  </si>
  <si>
    <t>18.150.117-0</t>
  </si>
  <si>
    <t>LISETHGUTIERREZPENA@GMAIL.COM</t>
  </si>
  <si>
    <t>Gutierrez Peña Liseth Andrea</t>
  </si>
  <si>
    <t>21.090.831-5</t>
  </si>
  <si>
    <t>OGUTIERREVEGA@GMAIL.COM</t>
  </si>
  <si>
    <t>Gutierrez Vega Oscar Fabian</t>
  </si>
  <si>
    <t>11.904.851-6</t>
  </si>
  <si>
    <t>PAULAPINO447@GMAIL.COM</t>
  </si>
  <si>
    <t>Henriquez Salazar Paula Cristina</t>
  </si>
  <si>
    <t>16.818.011-k</t>
  </si>
  <si>
    <t>JACOB_HER21@HOTMAIL.COM</t>
  </si>
  <si>
    <t>Herrera Orellana Eusebio Jacob</t>
  </si>
  <si>
    <t>18.136.850-0</t>
  </si>
  <si>
    <t>fenox.ir@gmail.com</t>
  </si>
  <si>
    <t>Ibarra Parra Fernando Andres</t>
  </si>
  <si>
    <t>20.020.873-0</t>
  </si>
  <si>
    <t>SCARLETJARA30@GMAIL.COM</t>
  </si>
  <si>
    <t>Jara Avila Scarlet Natalia</t>
  </si>
  <si>
    <t>18.433.147-0</t>
  </si>
  <si>
    <t>VICTORJARAFUENTEALBA@HOTMAIL.COM</t>
  </si>
  <si>
    <t>Jara Fuentealba Victor Alejandro</t>
  </si>
  <si>
    <t>13.835.455-5</t>
  </si>
  <si>
    <t>YOLALABRAMIR@GMAIL.COM</t>
  </si>
  <si>
    <t>Labra Miranda Yolanda Del Carmen</t>
  </si>
  <si>
    <t>14.909.103-3</t>
  </si>
  <si>
    <t>YERKALAY7@GMAIL.COM</t>
  </si>
  <si>
    <t>Lay Flores Yerka Paola</t>
  </si>
  <si>
    <t>14.438.585-3</t>
  </si>
  <si>
    <t>normalealchaparro@gmail.com</t>
  </si>
  <si>
    <t>Leal Chaparro Norma Rosa Del Carmen</t>
  </si>
  <si>
    <t>12.102.075-0</t>
  </si>
  <si>
    <t>CASIMIRALEAL367@GMAIL.COM</t>
  </si>
  <si>
    <t>Leal Leal Maria Cacimira</t>
  </si>
  <si>
    <t>20.512.918-9</t>
  </si>
  <si>
    <t>DNLEALPAZ@GMAIL.COM</t>
  </si>
  <si>
    <t>Leal Paz Darling Nicole</t>
  </si>
  <si>
    <t>13.284.053-9</t>
  </si>
  <si>
    <t>MLEYTONVALDES7@GMAIL.COM</t>
  </si>
  <si>
    <t>Leyton Valdes María Elena</t>
  </si>
  <si>
    <t>8.850.650-2</t>
  </si>
  <si>
    <t>SCARLETHVANESSA19@GMAIL.COM</t>
  </si>
  <si>
    <t>Lopez Fredes Scarleth Vanessa</t>
  </si>
  <si>
    <t>20.022.262-8</t>
  </si>
  <si>
    <t>MLUCEROQUEVEDO@GMAIL.COM</t>
  </si>
  <si>
    <t>Lucero Quevedo Mariana Consuelo</t>
  </si>
  <si>
    <t>21.731.140-3</t>
  </si>
  <si>
    <t>YAMNAMACAYA1519@GMAIL.COM</t>
  </si>
  <si>
    <t>Macaya Aguayo Yamna Alejandra</t>
  </si>
  <si>
    <t>10.356.017-9</t>
  </si>
  <si>
    <t>FRANCIAMV310@GMAIL.COM</t>
  </si>
  <si>
    <t>Mamani Villca Francia Eliana</t>
  </si>
  <si>
    <t>12.405.155-k</t>
  </si>
  <si>
    <t>JM2015261@GMAIL.COM</t>
  </si>
  <si>
    <t>Mayorga Alfaro Juan Alejandro</t>
  </si>
  <si>
    <t>21.917.977-4</t>
  </si>
  <si>
    <t>MARTINMEDINAORELLANA1005@GMAIL.COM</t>
  </si>
  <si>
    <t>Medina Orellana Martin Rodrigo</t>
  </si>
  <si>
    <t>17.445.721-2</t>
  </si>
  <si>
    <t>LUISMATHEO2019@GMAIL.COM</t>
  </si>
  <si>
    <t>Medina Farias Nadia Karen</t>
  </si>
  <si>
    <t>20.149.908-9</t>
  </si>
  <si>
    <t>TAVO_MELLA@HOTMAIL.COM</t>
  </si>
  <si>
    <t>Mella Salazar Gustavo Ignacio</t>
  </si>
  <si>
    <t>19.297.282-5</t>
  </si>
  <si>
    <t>CFER9259@GMAIL.COM</t>
  </si>
  <si>
    <t>Mercado Fernandez Camila Andrea</t>
  </si>
  <si>
    <t>16.863.516-8</t>
  </si>
  <si>
    <t>MARCELOANDRESMIRANDAGON@GMAIL.COM</t>
  </si>
  <si>
    <t>Miranda Gonzales Marcelo Andres</t>
  </si>
  <si>
    <t>13.141.427-7</t>
  </si>
  <si>
    <t>CLAUDIAMORALES7794@GMAIL.COM</t>
  </si>
  <si>
    <t>Morales Torres Claudia Del Carmen</t>
  </si>
  <si>
    <t>10.884.449-3</t>
  </si>
  <si>
    <t>MANUELMORALES568@GMAIL.COM</t>
  </si>
  <si>
    <t>Morales Solis Manuel Eugenio</t>
  </si>
  <si>
    <t>7.801.950-6</t>
  </si>
  <si>
    <t>MULLERESTELA57@GMAIL.COM</t>
  </si>
  <si>
    <t>Muller Hernandez Estela De Fatima</t>
  </si>
  <si>
    <t>7.013.898-0</t>
  </si>
  <si>
    <t>FLORMARIAMUNOZORMENO@GMAIL.COM</t>
  </si>
  <si>
    <t>Muñoz Ormeño Flor María</t>
  </si>
  <si>
    <t>16.009.687-k</t>
  </si>
  <si>
    <t>x.abrazame@hotmail.com</t>
  </si>
  <si>
    <t>Muñoz Muñoz Viviana Elizabeth</t>
  </si>
  <si>
    <t>13.886.617-3</t>
  </si>
  <si>
    <t>KARENESTAMPADOS@GMAIL.COM</t>
  </si>
  <si>
    <t>Navarro Muñoz Karen Ivette</t>
  </si>
  <si>
    <t>14.128.948-9</t>
  </si>
  <si>
    <t>KATYNAVARROMUNOZ@GMAIL.COM</t>
  </si>
  <si>
    <t>Navarro Muñoz Katherine Elizabeth</t>
  </si>
  <si>
    <t>15.881.820-5</t>
  </si>
  <si>
    <t>GREYNEIRA012@GMAIL.COM</t>
  </si>
  <si>
    <t>Neira Meza Grey Eloisa</t>
  </si>
  <si>
    <t>19.509.198-6</t>
  </si>
  <si>
    <t>KRISTIANNORAMBUENA46@GMAIL.COM</t>
  </si>
  <si>
    <t>Norambuena Montoya Cristian Gonzalo</t>
  </si>
  <si>
    <t>16.504.108-9</t>
  </si>
  <si>
    <t>DIEGOOLIVEROSOLIVEROS1@GMAIL.COM</t>
  </si>
  <si>
    <t>Oliveros Matus Diego Andres</t>
  </si>
  <si>
    <t>12.531.225-k</t>
  </si>
  <si>
    <t>VOPAZO511@GMAIL.COM</t>
  </si>
  <si>
    <t>Opazo Baeza Veronica Alejandra</t>
  </si>
  <si>
    <t>8.689.680-k</t>
  </si>
  <si>
    <t>JAIMEORELLANA6058@GMAIL.COM</t>
  </si>
  <si>
    <t>Orellana Mendoza Jaime Arturo</t>
  </si>
  <si>
    <t>21.585.125-7</t>
  </si>
  <si>
    <t>BRAYANEDGARORELLANA@GMAIL.COM</t>
  </si>
  <si>
    <t>Orellana Chavez Bryan Edgard Harley Steve</t>
  </si>
  <si>
    <t>8.933.324-5</t>
  </si>
  <si>
    <t>BERTICAOSES@GMAIL.COM</t>
  </si>
  <si>
    <t>Oses Muñoz Berta Alicia</t>
  </si>
  <si>
    <t>18.137.808-5</t>
  </si>
  <si>
    <t>PAUL1992PACHECO@GMAIL.COM</t>
  </si>
  <si>
    <t>Pacheco Martinez Paul Andres</t>
  </si>
  <si>
    <t>17.955.412-7</t>
  </si>
  <si>
    <t>ABIGAILPARRACH91MC@GMAIL.COM</t>
  </si>
  <si>
    <t>Parra Chavez Abigail Magdalena</t>
  </si>
  <si>
    <t>13.861.618-5</t>
  </si>
  <si>
    <t>MCORINAP@HOTMAIL.COM</t>
  </si>
  <si>
    <t>Pastor Ruiz Maria Corina</t>
  </si>
  <si>
    <t>20.868.608-9</t>
  </si>
  <si>
    <t>PEDREROSMELLADO18@GMAIL.COM</t>
  </si>
  <si>
    <t>Pedreros Mellado Carla Mirna</t>
  </si>
  <si>
    <t>15.193.890-6</t>
  </si>
  <si>
    <t>4030PRISCILA@GMAIL.COM</t>
  </si>
  <si>
    <t>Pedrero Valencia Priscila Herminia</t>
  </si>
  <si>
    <t>10.446.420-3</t>
  </si>
  <si>
    <t>ALICE77121967@GMAIL.COM</t>
  </si>
  <si>
    <t>Peña Hernandez Bernardo Arturo</t>
  </si>
  <si>
    <t>20.362.325-9</t>
  </si>
  <si>
    <t>SPENACIFUENTES@GMAIL.COM</t>
  </si>
  <si>
    <t>Peña Cifuentes Sebastian Alejandro</t>
  </si>
  <si>
    <t>18.135.147-0</t>
  </si>
  <si>
    <t>KARENGISSELLEPC@GMAIL.COM</t>
  </si>
  <si>
    <t>Peña Cisternas Karen Gisselle</t>
  </si>
  <si>
    <t>9.731.535-3</t>
  </si>
  <si>
    <t>S.PENA0702@GMAIL.COM</t>
  </si>
  <si>
    <t>Peña Campos Silvia Teresa</t>
  </si>
  <si>
    <t>20.613.279-5</t>
  </si>
  <si>
    <t>PEREZ.R.S.2001@GMAIL.COM</t>
  </si>
  <si>
    <t>Perez Reyes Steve Hoffman</t>
  </si>
  <si>
    <t>9.562.217-8</t>
  </si>
  <si>
    <t>MONICAPEREZBURGOS1@GMAIL.COM</t>
  </si>
  <si>
    <t>Perez Burgos Monica Irene</t>
  </si>
  <si>
    <t>21.171.040-3</t>
  </si>
  <si>
    <t>RICARDO.PEREZ.TOLOZA@GMAIL.COM</t>
  </si>
  <si>
    <t>Perez Toloza Ricardo Enrique</t>
  </si>
  <si>
    <t>10.402.945-0</t>
  </si>
  <si>
    <t>PPEZOTURBO66@GMAIL.COM</t>
  </si>
  <si>
    <t>Pezo Neira Pablo Antonio</t>
  </si>
  <si>
    <t>6.571.748-4</t>
  </si>
  <si>
    <t>DCEBALLOSBURGOS@YAHOO.COM</t>
  </si>
  <si>
    <t>Pflieger Vejar Guillermo Enrique</t>
  </si>
  <si>
    <t>19.121.599-0</t>
  </si>
  <si>
    <t>JENNI.Q.URRA@GMAIL.COM</t>
  </si>
  <si>
    <t>Quezada Urra Jennifer Macarena</t>
  </si>
  <si>
    <t>18.068.877-3</t>
  </si>
  <si>
    <t>MARYORIQUINTANA92@GMAIL.COM</t>
  </si>
  <si>
    <t>Quintana Córdova Maryori Alejandra</t>
  </si>
  <si>
    <t>15.809.203-4</t>
  </si>
  <si>
    <t>NINOSKAQUINTERO1984@GMAIL.COM</t>
  </si>
  <si>
    <t>Quintero Flores Ninoska Delia</t>
  </si>
  <si>
    <t>26.578.941-2</t>
  </si>
  <si>
    <t>JOSEFRANCISCORAMOS@GMAIL.COM</t>
  </si>
  <si>
    <t>Ramos Martinez Jose Francisco</t>
  </si>
  <si>
    <t>15.853.842-3</t>
  </si>
  <si>
    <t>MONITA.REYES.31@GMAIL.COM</t>
  </si>
  <si>
    <t>Reyes Stuardo Catherine Loreto</t>
  </si>
  <si>
    <t>21.150.652-0</t>
  </si>
  <si>
    <t>JULIO.RIOS.2000.JR@GMAIL.COM</t>
  </si>
  <si>
    <t>Rios Contreras Julio Alvaro Renato</t>
  </si>
  <si>
    <t>20.868.756-5</t>
  </si>
  <si>
    <t>OYARCEF8@GMAIL.COM</t>
  </si>
  <si>
    <t>Rivas Oyarce Francisco Antonio</t>
  </si>
  <si>
    <t>17.320.484-1</t>
  </si>
  <si>
    <t>NOELIARIVERAS398@GMAIL.COM</t>
  </si>
  <si>
    <t>Riveras Contreras Noelia Andrea</t>
  </si>
  <si>
    <t>19.909.010-0</t>
  </si>
  <si>
    <t>ANNAROA25@GMAIL.COM</t>
  </si>
  <si>
    <t>Roa Alvarez Ana Veronica</t>
  </si>
  <si>
    <t>13.726.075-1</t>
  </si>
  <si>
    <t>NADIALEJANDRA1979@GMAIL.COM</t>
  </si>
  <si>
    <t>Ruiz Perez Nadia Alejandra</t>
  </si>
  <si>
    <t>18.822.151-3</t>
  </si>
  <si>
    <t>DAYIIS.SAGREDO@gmail.com</t>
  </si>
  <si>
    <t>Sagredo Machuca Dayana Alejandra</t>
  </si>
  <si>
    <t>14.273.004-9</t>
  </si>
  <si>
    <t>ISAIAS.SALAZARV10@GMAIL.COM</t>
  </si>
  <si>
    <t>Salazar Vidal Isaias David</t>
  </si>
  <si>
    <t>16.230.168-3</t>
  </si>
  <si>
    <t>RSALGADOSAEZ@GMAIL.COM</t>
  </si>
  <si>
    <t>Salgado Saez Roberto Antonio</t>
  </si>
  <si>
    <t>13.958.545-3</t>
  </si>
  <si>
    <t>SANHUEZAPAOLA333@GMAIL.COM</t>
  </si>
  <si>
    <t>Sanhueza Saez Paola Alejandra</t>
  </si>
  <si>
    <t>18.433.230-2</t>
  </si>
  <si>
    <t>HELENCITA130222@GMAIL.COM</t>
  </si>
  <si>
    <t>Sanhueza Tobosque Helen Leandra</t>
  </si>
  <si>
    <t>8.353.379-k</t>
  </si>
  <si>
    <t>RUTH.SANHUEZA.TOLEDO@GMAIL.COM</t>
  </si>
  <si>
    <t>Sanhueza Toledo Ruth Deura</t>
  </si>
  <si>
    <t>12.073.915-8</t>
  </si>
  <si>
    <t>MARIASANHUEZAGUZMAN@gmail.com</t>
  </si>
  <si>
    <t>Sanhueza Guzman Maria Ximena</t>
  </si>
  <si>
    <t>20.866.864-1</t>
  </si>
  <si>
    <t>genesissantibanez232@gmail.com</t>
  </si>
  <si>
    <t>Santibañez Cuevas Genesis Leandra</t>
  </si>
  <si>
    <t>9.753.986-3</t>
  </si>
  <si>
    <t>XIMENADCSS.68@GMAIL.COM</t>
  </si>
  <si>
    <t>Santos Sobino Ximena Del Carmen</t>
  </si>
  <si>
    <t>10.719.292-1</t>
  </si>
  <si>
    <t>SILVATORRESROSA22@GMAIL.COM</t>
  </si>
  <si>
    <t>Silva Torres Rosa Del Carmen</t>
  </si>
  <si>
    <t>13.139.688-0</t>
  </si>
  <si>
    <t>JDTSILVA72@GMAIL.COM</t>
  </si>
  <si>
    <t>Silva Gonzalez Julia Del Transito</t>
  </si>
  <si>
    <t>14.580.404-3</t>
  </si>
  <si>
    <t>ANYTAPIA2236@GMAIL.COM</t>
  </si>
  <si>
    <t>Tapia Araya Ana Del Carmen</t>
  </si>
  <si>
    <t>16.890.016-3</t>
  </si>
  <si>
    <t>TAPIAPLAZARICARDO@GMAIL.COM</t>
  </si>
  <si>
    <t>Tapia Plaza Ricardo Andres</t>
  </si>
  <si>
    <t>21.072.998-4</t>
  </si>
  <si>
    <t>MARCOSTORRES.M69@GMAIL.COM</t>
  </si>
  <si>
    <t>Torres Maldonado Marcos Alexander</t>
  </si>
  <si>
    <t>22.300.944-1</t>
  </si>
  <si>
    <t>TORRESARANEDAA@GMAIL.COM</t>
  </si>
  <si>
    <t>Torres Araneda Agustin Adolfo</t>
  </si>
  <si>
    <t>18.821.353-7</t>
  </si>
  <si>
    <t>nayarettorresvargas@gmail.com</t>
  </si>
  <si>
    <t>Torres Vargas Nayaret Fernanda</t>
  </si>
  <si>
    <t>20.124.975-9</t>
  </si>
  <si>
    <t>JORGE.TORRESCUEVAS98@GMAIL.COM</t>
  </si>
  <si>
    <t>Torres Cuevas Jorge Alejandro</t>
  </si>
  <si>
    <t>20.513.250-3</t>
  </si>
  <si>
    <t>GENESIS.ROCIOTS@GMAIL.COM</t>
  </si>
  <si>
    <t>Torres Saez Genesis Rocio</t>
  </si>
  <si>
    <t>11.103.767-1</t>
  </si>
  <si>
    <t>luisairisulloagonzalez@gmail.com</t>
  </si>
  <si>
    <t>Ulloa Gonzalez Luisa Iris</t>
  </si>
  <si>
    <t>21.808.009-k</t>
  </si>
  <si>
    <t>VALENCIA.CONTRERAS.SEBASTIAN@GMAIL.COM</t>
  </si>
  <si>
    <t>Valencia Contreras Sebastian Nicolas</t>
  </si>
  <si>
    <t>7.263.920-0</t>
  </si>
  <si>
    <t>VALLEJOSFERNANDO635@GMAIL.COM</t>
  </si>
  <si>
    <t>Vallejos Peralta Fernando Enrique</t>
  </si>
  <si>
    <t>20.150.122-9</t>
  </si>
  <si>
    <t>VALLEJOSDELGADOKIARA@GMAIL.COM</t>
  </si>
  <si>
    <t>Vallejos Delgado Kiara Michelle</t>
  </si>
  <si>
    <t>13.606.549-1</t>
  </si>
  <si>
    <t>MARIZA.35.MV@GMAIL.COM</t>
  </si>
  <si>
    <t>Vasquez Rivera Mariza Efigenia</t>
  </si>
  <si>
    <t>18.434.162-k</t>
  </si>
  <si>
    <t>danielavelasquez.a13@gmail.com</t>
  </si>
  <si>
    <t>Velasquez Acuña Daniela Andrea</t>
  </si>
  <si>
    <t>21.115.075-0</t>
  </si>
  <si>
    <t>venegasn666@gmail.com</t>
  </si>
  <si>
    <t>Venegas Matus Nicolas Eladio</t>
  </si>
  <si>
    <t>17.843.072-6</t>
  </si>
  <si>
    <t>YESENIA.VERA@VIRGINIOGOMEZ.CL</t>
  </si>
  <si>
    <t>Vera Vega Yesenia Alejandra</t>
  </si>
  <si>
    <t>20.149.755-8</t>
  </si>
  <si>
    <t>VIVIANATATIANA06@GMAIL.COM</t>
  </si>
  <si>
    <t>Vergara Namos Viviana Tatiana</t>
  </si>
  <si>
    <t>13.312.042-4</t>
  </si>
  <si>
    <t>SUSANIIITHAAX@LIVE.CL</t>
  </si>
  <si>
    <t>Vergara Medina Susana Elizabeth</t>
  </si>
  <si>
    <t>11.353.360-9</t>
  </si>
  <si>
    <t>PATRICIAPILARVM@GMAIL.COM</t>
  </si>
  <si>
    <t>Vidal Molina Patricia Del Pilar</t>
  </si>
  <si>
    <t>21.396.571-9</t>
  </si>
  <si>
    <t>590VIELMA@GMAIL.COM</t>
  </si>
  <si>
    <t>Vielma Zuñiga Ester Andrea</t>
  </si>
  <si>
    <t>16.979.813-3</t>
  </si>
  <si>
    <t>INVILLA29@GMAIL.COM</t>
  </si>
  <si>
    <t>Villa Inostroza Ingrid Margot</t>
  </si>
  <si>
    <t>18.826.200-7</t>
  </si>
  <si>
    <t>VILLALOBOSGENESIS55@GMAIL.COM</t>
  </si>
  <si>
    <t>Villalobos Torres Genesis Paloma</t>
  </si>
  <si>
    <t>17.332.696-3</t>
  </si>
  <si>
    <t>SEGUROHERNAN1989@GMAIL.COM</t>
  </si>
  <si>
    <t>Vilugron Loyola Hernan Patricio</t>
  </si>
  <si>
    <t>13.109.045-5</t>
  </si>
  <si>
    <t>ZAMBRANONELSON4723@GMAIL.COM</t>
  </si>
  <si>
    <t>Zambrano Sandoval Nelson Elias</t>
  </si>
  <si>
    <t>14.060.987-0</t>
  </si>
  <si>
    <t>AEDOYANETZAMBRA@GMAIL.COM</t>
  </si>
  <si>
    <t>Zambrano Aedo Jeanette Andrea</t>
  </si>
  <si>
    <t>18.005.340-9</t>
  </si>
  <si>
    <t>PBLANCASZAGAL@GMAIL.COM</t>
  </si>
  <si>
    <t>Blancas Zagal Patricio Alejandro</t>
  </si>
  <si>
    <t>19.521.351-8</t>
  </si>
  <si>
    <t>CONTRERAS.ALFONSOM97@GMAIL.COM</t>
  </si>
  <si>
    <t>Contreras Contreras Mauricio Alfonso</t>
  </si>
  <si>
    <t>10.323.461-1</t>
  </si>
  <si>
    <t>rosariogonagu1964@gmail.com</t>
  </si>
  <si>
    <t>rosarigonagu1964@gmail.com</t>
  </si>
  <si>
    <t>Gonzalez Aguayo Rosario Del Pilar</t>
  </si>
  <si>
    <t>16.503.717-0</t>
  </si>
  <si>
    <t>TOLOZANATALI3@GMAIL.COM</t>
  </si>
  <si>
    <t>Toloza Hidalgo Natali De Las Nieves</t>
  </si>
  <si>
    <t>20.837.134-7</t>
  </si>
  <si>
    <t>mati.audi2001@gmail.com</t>
  </si>
  <si>
    <t>Godoy Anabalon Matias Ariel</t>
  </si>
  <si>
    <t>16.990.945-8</t>
  </si>
  <si>
    <t>palmeniapao@gmail.com</t>
  </si>
  <si>
    <t>Lazcano Salinas Palmenia De Las Rosas</t>
  </si>
  <si>
    <t>20.630.583-5</t>
  </si>
  <si>
    <t>DIEGOCHILE784@GMAIL.COM</t>
  </si>
  <si>
    <t>Pinilla Basoalto Diego Alonso</t>
  </si>
  <si>
    <t>17.214.403-9</t>
  </si>
  <si>
    <t>tumarce20@gmail.com</t>
  </si>
  <si>
    <t>Molina Ocampos Marcela Alejandra</t>
  </si>
  <si>
    <t>19.907.946-8</t>
  </si>
  <si>
    <t>martaordenes22@gmail.com</t>
  </si>
  <si>
    <t>Ordenes Vega Marta Valentiba</t>
  </si>
  <si>
    <t>11.183.191-2</t>
  </si>
  <si>
    <t>elisetgalindovilla@gmail.com</t>
  </si>
  <si>
    <t>Galindo Villa Eliset Del Carmen</t>
  </si>
  <si>
    <t>12.531.108-3</t>
  </si>
  <si>
    <t>elgamonsalvez1@gmail.com</t>
  </si>
  <si>
    <t>Monsalvez Portiño Elga Elcira</t>
  </si>
  <si>
    <t>15.196.579-2</t>
  </si>
  <si>
    <t>andrehm416@gmail.com</t>
  </si>
  <si>
    <t>Huerta Miranda Mirian Andrea</t>
  </si>
  <si>
    <t>18.490.587-6</t>
  </si>
  <si>
    <t>camiruizmartinez@gmail.com</t>
  </si>
  <si>
    <t>Ruiz Martinez Camila Fernanda</t>
  </si>
  <si>
    <t>18.442.627-7</t>
  </si>
  <si>
    <t>carla.alvarez.pino.24@gmail.com</t>
  </si>
  <si>
    <t>Alvarez Pino Carla Angelina</t>
  </si>
  <si>
    <t>15.589.906-9</t>
  </si>
  <si>
    <t>roxy58431@gmail.com</t>
  </si>
  <si>
    <t>Torres Torres Roxana Ester</t>
  </si>
  <si>
    <t>19.800.216-k</t>
  </si>
  <si>
    <t>saeztorres16@gmail.com</t>
  </si>
  <si>
    <t>Saez Torres Estefania Alejandra</t>
  </si>
  <si>
    <t>20.361.671-6</t>
  </si>
  <si>
    <t>darlingvidal6@gmail.com</t>
  </si>
  <si>
    <t>Vidal Caro Darling Fernanda</t>
  </si>
  <si>
    <t>16.689.806-4</t>
  </si>
  <si>
    <t>carlinaramirezmoraga@gmail.com</t>
  </si>
  <si>
    <t>Ramirez Moraga Carlina Elizabeth</t>
  </si>
  <si>
    <t>18.817.077-3</t>
  </si>
  <si>
    <t>michelinemartinez530@gmail.com</t>
  </si>
  <si>
    <t>Martinez Aviles Micheline Betsabe</t>
  </si>
  <si>
    <t>16.513.924-0</t>
  </si>
  <si>
    <t>ulloadiazangel@gmail.com</t>
  </si>
  <si>
    <t>Ulloa Díaz Angel Javier</t>
  </si>
  <si>
    <t>28.448.903-9</t>
  </si>
  <si>
    <t>randypinto81@gmail.com</t>
  </si>
  <si>
    <t>Pinto Raga Randy Mardux</t>
  </si>
  <si>
    <t>19.270.988-1</t>
  </si>
  <si>
    <t>gaaravenamedel@gmail.com</t>
  </si>
  <si>
    <t>Aravena Medel Gonzalo Andrés</t>
  </si>
  <si>
    <t>20.512.923-5</t>
  </si>
  <si>
    <t>cm0828458@gmail.com</t>
  </si>
  <si>
    <t>Morales Alvarez Carlos Patricio</t>
  </si>
  <si>
    <t>20.868.858-8</t>
  </si>
  <si>
    <t>zenteno17beltran@gmail.com</t>
  </si>
  <si>
    <t>Zenteno Beltrán Armando Isaac</t>
  </si>
  <si>
    <t>10.852.652-1</t>
  </si>
  <si>
    <t>ingridsalasmontanarez1970@gmail.com</t>
  </si>
  <si>
    <t>Paillamil Morales Walter Marcelo</t>
  </si>
  <si>
    <t>11.241.045-7</t>
  </si>
  <si>
    <t>marlenzapatalopez@gmail.com</t>
  </si>
  <si>
    <t>Zapata Lopez Soraya Marlen</t>
  </si>
  <si>
    <t>20.995.723-k</t>
  </si>
  <si>
    <t>diegoorlandoc834@gmail.com</t>
  </si>
  <si>
    <t>Contreras Molina Diego Orlando</t>
  </si>
  <si>
    <t>18.822.075-4</t>
  </si>
  <si>
    <t>4020elena@gmail.com</t>
  </si>
  <si>
    <t>Carrasco Aravena Maria Elena</t>
  </si>
  <si>
    <t>22.269.254-7</t>
  </si>
  <si>
    <t>emilianoplacencia300@gmail.com</t>
  </si>
  <si>
    <t>Placencia Sanchez Emiliano Alejandro</t>
  </si>
  <si>
    <t>17.641.534-7</t>
  </si>
  <si>
    <t>mariaorias443@gmail.com</t>
  </si>
  <si>
    <t>Orias Neira Maria Isabel</t>
  </si>
  <si>
    <t>19.139.402-k</t>
  </si>
  <si>
    <t>yerty.oportusr@gmail.com</t>
  </si>
  <si>
    <t>Oportus Ramirez Yerty Yennara</t>
  </si>
  <si>
    <t>19.659.230-k</t>
  </si>
  <si>
    <t>lg7906213@gmail.com</t>
  </si>
  <si>
    <t>Garcia Arevalo Leandro Ariel</t>
  </si>
  <si>
    <t>15.193.397-1</t>
  </si>
  <si>
    <t>vasquez.molina.joseluis10@gmail.com</t>
  </si>
  <si>
    <t>Vasquez Molina Jose Luis</t>
  </si>
  <si>
    <t>21.246.836-3</t>
  </si>
  <si>
    <t>jrodriguezmaclean@gmail.com</t>
  </si>
  <si>
    <t>Rodriguez Mac-Lean Javiera Anais</t>
  </si>
  <si>
    <t>18.433.681-2</t>
  </si>
  <si>
    <t>JOFRE_FIGUEROA@HOTMAIL.COM</t>
  </si>
  <si>
    <t>Jofre Figueroa Karina Alejandra</t>
  </si>
  <si>
    <t>18.821.604-8</t>
  </si>
  <si>
    <t>pegarridoblizzard@gmail.com</t>
  </si>
  <si>
    <t>Garrido Bustos Pedro Ignacio</t>
  </si>
  <si>
    <t>21.440.092-8</t>
  </si>
  <si>
    <t>belen26alexandra@gmail.com</t>
  </si>
  <si>
    <t>Jimenez Moraga Tabata Belen</t>
  </si>
  <si>
    <t>14.623.407-0</t>
  </si>
  <si>
    <t>rcuevasvarela@gmail.com</t>
  </si>
  <si>
    <t>Cuevas Varela Roxana Beatriz</t>
  </si>
  <si>
    <t>21.437.214-2</t>
  </si>
  <si>
    <t>scar2003amaya@gmail.com</t>
  </si>
  <si>
    <t>Amaya Salgado Scarleth Jacqueline</t>
  </si>
  <si>
    <t>14.150.686-2</t>
  </si>
  <si>
    <t>rosad2478@gmail.com</t>
  </si>
  <si>
    <t>Diaz Hernandez Rosa Viviana</t>
  </si>
  <si>
    <t>9.279.811-9</t>
  </si>
  <si>
    <t>reneguzman009@gmail.com</t>
  </si>
  <si>
    <t>Guzman Gallardo Segundo Rene</t>
  </si>
  <si>
    <t>22.237.700-5</t>
  </si>
  <si>
    <t>cordovaorfelina5@gmail.com</t>
  </si>
  <si>
    <t>Poblete Cordova Angel Alejandro</t>
  </si>
  <si>
    <t>19.521.638-k</t>
  </si>
  <si>
    <t>tonastephanie97@gmail.com</t>
  </si>
  <si>
    <t>Muñoz Sanzana Stephanie Casandra</t>
  </si>
  <si>
    <t>18.745.590-1</t>
  </si>
  <si>
    <t>mandycontrerasf@gmail.com</t>
  </si>
  <si>
    <t>Contreras Flores Mauricio Del Transito</t>
  </si>
  <si>
    <t>9.229.420-k</t>
  </si>
  <si>
    <t>alejandroferrando2211@gmail.com</t>
  </si>
  <si>
    <t>Ferrando Gomez Alejandro Jose</t>
  </si>
  <si>
    <t>20.596.900-4</t>
  </si>
  <si>
    <t>munozjaraandres001@gmail.com</t>
  </si>
  <si>
    <t>Muñoz Jara Manuel Andrés</t>
  </si>
  <si>
    <t>21.456.660-5</t>
  </si>
  <si>
    <t>joaquinpintomarin@gmail.com</t>
  </si>
  <si>
    <t>Pinto Marin Joaquin Gonzalo</t>
  </si>
  <si>
    <t>17.228.845-6</t>
  </si>
  <si>
    <t>espinadebora7@gmail.com</t>
  </si>
  <si>
    <t>Espina Sandoval Debora Alejandra</t>
  </si>
  <si>
    <t>20.149.831-7</t>
  </si>
  <si>
    <t>elpezo@cftla.cl</t>
  </si>
  <si>
    <t>Pezo Cuevas Elliott Aarom</t>
  </si>
  <si>
    <t>21.802.173-5</t>
  </si>
  <si>
    <t>jorgehidalgo10002@gmail.com</t>
  </si>
  <si>
    <t>Hidalgo Muñoz Jorge Francisco</t>
  </si>
  <si>
    <t>20.868.731-k</t>
  </si>
  <si>
    <t>ar5201532@gmail.com</t>
  </si>
  <si>
    <t>Rojas Segura Alexander Matias</t>
  </si>
  <si>
    <t>13.525.525-4</t>
  </si>
  <si>
    <t>rtquintul@hotmail.com</t>
  </si>
  <si>
    <t>Quintul Noriega Ruth Magdalena</t>
  </si>
  <si>
    <t>21.498.447-4</t>
  </si>
  <si>
    <t>alemariochsilva@gmail.com</t>
  </si>
  <si>
    <t>Chávez Silva Mario Alejandro</t>
  </si>
  <si>
    <t>19.139.861-0</t>
  </si>
  <si>
    <t>cjs.susanayala@gmail.com</t>
  </si>
  <si>
    <t>Ayala Ayala Susana Andrea</t>
  </si>
  <si>
    <t>20.761.746-6</t>
  </si>
  <si>
    <t>em.leiva2001@gmail.com</t>
  </si>
  <si>
    <t>Leiva Norambuena Emerson Fabian</t>
  </si>
  <si>
    <t>21.416.270-9</t>
  </si>
  <si>
    <t>sarai.monse2003@gmail.com</t>
  </si>
  <si>
    <t>Soto Soto Sarai Monserrat</t>
  </si>
  <si>
    <t>12.303.375-2</t>
  </si>
  <si>
    <t>lilianfica51@gmail.com</t>
  </si>
  <si>
    <t>Fica Ramirez Lilian Veronica</t>
  </si>
  <si>
    <t>20.697.802-3</t>
  </si>
  <si>
    <t>sebastian101212@gmail.com</t>
  </si>
  <si>
    <t>Alvial Llanca Paul Jean Carlos</t>
  </si>
  <si>
    <t>20.221.157-7</t>
  </si>
  <si>
    <t>marcelo99agustin@gmail.com</t>
  </si>
  <si>
    <t>Ortiz Prado Marcelo Agustin</t>
  </si>
  <si>
    <t>20.513.561-8</t>
  </si>
  <si>
    <t>ronaldomoralespalma@gmail.com</t>
  </si>
  <si>
    <t>Morales Palma Emerson Ronaldo</t>
  </si>
  <si>
    <t>21.308.010-5</t>
  </si>
  <si>
    <t>nancatrio@gmail.com</t>
  </si>
  <si>
    <t>Ancatrio Cea Nicolas Eduardo</t>
  </si>
  <si>
    <t>13.512.464-8</t>
  </si>
  <si>
    <t>saraivondonosomendoza@gmail.com</t>
  </si>
  <si>
    <t>Donoso Mendoza Sara Ivon</t>
  </si>
  <si>
    <t>21.466.716-9</t>
  </si>
  <si>
    <t>yaritzaandreafigueroatoledo2@gmail.com</t>
  </si>
  <si>
    <t>Figueroa Toledo Yaritza Andrea</t>
  </si>
  <si>
    <t>14.353.416-2</t>
  </si>
  <si>
    <t>TATIANA_PAREDESF@YAHOO.ES</t>
  </si>
  <si>
    <t>Paredes Figueroa Tatiana Carolina</t>
  </si>
  <si>
    <t>21.036.776-4</t>
  </si>
  <si>
    <t>MATIAS.ARANEDA422@GMAIL.COM</t>
  </si>
  <si>
    <t>Araneda Solis Matias Esteban</t>
  </si>
  <si>
    <t>20.438.205-0</t>
  </si>
  <si>
    <t>IAHR08052000@GMAIL.COM</t>
  </si>
  <si>
    <t>Hernandez Riffo Isaias Alexis</t>
  </si>
  <si>
    <t>16.348.135-9</t>
  </si>
  <si>
    <t>CINTHIATOLEDOMEDINA@GMAIL.COM</t>
  </si>
  <si>
    <t>Toledo Medina Cinthia Magdalena</t>
  </si>
  <si>
    <t>17.897.891-8</t>
  </si>
  <si>
    <t>AMPAROISABELVALERIAMORA@GMAIL.COM</t>
  </si>
  <si>
    <t>Valeria Mora Amparo Isabel</t>
  </si>
  <si>
    <t>19.578.476-0</t>
  </si>
  <si>
    <t>PARRAS241@GMAIL.COM</t>
  </si>
  <si>
    <t>Salazar Parra Daniela Andrea</t>
  </si>
  <si>
    <t>12.094.118-6</t>
  </si>
  <si>
    <t>SORRAYA.1970.BEBE@GMAIL.COM</t>
  </si>
  <si>
    <t>Silva Sepulveda Soraya Del Pilar</t>
  </si>
  <si>
    <t>17.041.739-9</t>
  </si>
  <si>
    <t>MARIACARDENASPEREZ8@GMAIL.COM</t>
  </si>
  <si>
    <t>Cardenas Perez Maria Jose</t>
  </si>
  <si>
    <t>18.106.541-9</t>
  </si>
  <si>
    <t>EOTAROLA@CFTLA.CL</t>
  </si>
  <si>
    <t>Otarola Molina Evelyn Deyanira</t>
  </si>
  <si>
    <t>19.800.280-1</t>
  </si>
  <si>
    <t>JESAICASANCHEZ@GMAIL.COM</t>
  </si>
  <si>
    <t>Sanchez Villablanca Jessica Lorena</t>
  </si>
  <si>
    <t>16.897.933-9</t>
  </si>
  <si>
    <t>SANDYPEREZMORENO@GMAIL.COM</t>
  </si>
  <si>
    <t>Perez Moreno Sandy Nathaly</t>
  </si>
  <si>
    <t>8.438.821-1</t>
  </si>
  <si>
    <t>MONROYROSA3158@GMAIL.COM</t>
  </si>
  <si>
    <t>Monroy Carrillo Rosa Ester</t>
  </si>
  <si>
    <t>13.255.568-0</t>
  </si>
  <si>
    <t>mlveliz45@outlook.com</t>
  </si>
  <si>
    <t>Lagos Veliz Maritza</t>
  </si>
  <si>
    <t>20.362.414-k</t>
  </si>
  <si>
    <t>orellanapavezs@gmail.com</t>
  </si>
  <si>
    <t>Orellana Pavez Stephanie Daniela</t>
  </si>
  <si>
    <t>14.068.724-3</t>
  </si>
  <si>
    <t>mary.cuevas1981@gmail.com</t>
  </si>
  <si>
    <t>Cuevas Acuña Maria Angelica</t>
  </si>
  <si>
    <t>19.156.246-1</t>
  </si>
  <si>
    <t>zunigabarbara223@gmail.com</t>
  </si>
  <si>
    <t>Zuñiga Concha Barbara Del Carmen</t>
  </si>
  <si>
    <t>18.597.375-1</t>
  </si>
  <si>
    <t>mariomoreirahinojosa57@gmail.com</t>
  </si>
  <si>
    <t>Moreira Hinojosa Mario Antonio</t>
  </si>
  <si>
    <t>15.192.330-5</t>
  </si>
  <si>
    <t>ANDRES1983SALASALVEAL@GMAIL.COM</t>
  </si>
  <si>
    <t>Salas Alveal Juan Andres</t>
  </si>
  <si>
    <t>18.076.095-4</t>
  </si>
  <si>
    <t>IGNACIOALVAREZ0915@GMAIL.COM</t>
  </si>
  <si>
    <t>Alvarez Parra Ignacio Manuel</t>
  </si>
  <si>
    <t>13.754.922-0</t>
  </si>
  <si>
    <t>acuimiguel@gmail.com</t>
  </si>
  <si>
    <t>Fernandez Barrera Miguel Andrés</t>
  </si>
  <si>
    <t>20.512.961-8</t>
  </si>
  <si>
    <t>mpavez.2000@gmail.com</t>
  </si>
  <si>
    <t>Pavez Ancatrio Matias Alejandro</t>
  </si>
  <si>
    <t>14.181.172-k</t>
  </si>
  <si>
    <t>ISABELNOEMICASANOVALAGOS@GMAIL.COM</t>
  </si>
  <si>
    <t>Casanova Lagos Isabel Noemi</t>
  </si>
  <si>
    <t>18.822.049-5</t>
  </si>
  <si>
    <t>DIEGOGARRIDO108@GMAIL.COM</t>
  </si>
  <si>
    <t>Garrido Michael Diego Armando</t>
  </si>
  <si>
    <t>18.745.398-4</t>
  </si>
  <si>
    <t>FUENTEALBACRISTIANFELIPE@GMAIL.COM</t>
  </si>
  <si>
    <t>Fuentealba Delgado Cristian Felipe</t>
  </si>
  <si>
    <t>15.955.278-0</t>
  </si>
  <si>
    <t>ZUNILDASANCHEZ72@GMAIL.COM</t>
  </si>
  <si>
    <t>Sanchez Beltran Zunilda Del Carmen</t>
  </si>
  <si>
    <t>12.305.131-9</t>
  </si>
  <si>
    <t>ROXANALUENGOSILVA@GMAIL.COM</t>
  </si>
  <si>
    <t>Luengo Silva Roxana Elizabeth</t>
  </si>
  <si>
    <t>26.114.809-9</t>
  </si>
  <si>
    <t>ASTRIDMARTINEZ0703@GMAIL.COM</t>
  </si>
  <si>
    <t>Martinez Quidel Astrid Inés</t>
  </si>
  <si>
    <t>9.248.946-9</t>
  </si>
  <si>
    <t>JUANORDENES351@GMAIL.COM</t>
  </si>
  <si>
    <t>Ordenes Muñoz Juan Carlos</t>
  </si>
  <si>
    <t>15.187.808-3</t>
  </si>
  <si>
    <t>PLEALMATAMALA@GMAIL.COM</t>
  </si>
  <si>
    <t>Leal Matamala Pedro Esteban</t>
  </si>
  <si>
    <t>19.799.366-9</t>
  </si>
  <si>
    <t>NICOLASDONOSO127@GMAIL.COM</t>
  </si>
  <si>
    <t>Donoso Sandoval Nicolas Andres</t>
  </si>
  <si>
    <t>19.909.986-8</t>
  </si>
  <si>
    <t>EJELTOL@GMAIL.COM</t>
  </si>
  <si>
    <t>Jelvez Tolosa Erick Antony</t>
  </si>
  <si>
    <t>18.745.191-4</t>
  </si>
  <si>
    <t>cristianalexisvillegas@gmail.com</t>
  </si>
  <si>
    <t>Villegas Henriquez Cristian Alexis</t>
  </si>
  <si>
    <t>12.302.949-6</t>
  </si>
  <si>
    <t>PATYPANINAOTRONCOSO@HOTMAIL.COM</t>
  </si>
  <si>
    <t>Pañinao Troncoso Patricia Carmen</t>
  </si>
  <si>
    <t>8.271.411-1</t>
  </si>
  <si>
    <t>QUINTEROMARCOS810@GMAIL.COM</t>
  </si>
  <si>
    <t>Quintero Astroza Marcos Antonio</t>
  </si>
  <si>
    <t>19.806.677-k</t>
  </si>
  <si>
    <t>TORREZJISSENIA@GMAIL.COM</t>
  </si>
  <si>
    <t>Torres Gonzalez Jisenia Maricel</t>
  </si>
  <si>
    <t>18.068.163-9</t>
  </si>
  <si>
    <t>ONATEMATUSCARLOS@GMAIL.COM</t>
  </si>
  <si>
    <t>Oñate Matus Carlos Alfredo</t>
  </si>
  <si>
    <t>13.726.983-k</t>
  </si>
  <si>
    <t>VALDERRAMAFRANCISCO111@GMAIL.COM</t>
  </si>
  <si>
    <t>Valderrama Valderrama Francisco Gaspar</t>
  </si>
  <si>
    <t>19.296.975-1</t>
  </si>
  <si>
    <t>octavioemi756@gmail.com</t>
  </si>
  <si>
    <t>Sepulveda Negroni Victor Octavio</t>
  </si>
  <si>
    <t>19.297.205-1</t>
  </si>
  <si>
    <t>cristianbarahonaorizon@gmail.com</t>
  </si>
  <si>
    <t>Barahona Antileo Cristian Pablo</t>
  </si>
  <si>
    <t>21.455.852-1</t>
  </si>
  <si>
    <t>cristiancuitino23@gmail.com</t>
  </si>
  <si>
    <t>Cuitiño Reyes Cristian Mauricio</t>
  </si>
  <si>
    <t>13.806.402-6</t>
  </si>
  <si>
    <t>nadihita@live.cl</t>
  </si>
  <si>
    <t>Garrido Inostroza Nadia Alejandra</t>
  </si>
  <si>
    <t>21.285.233-3</t>
  </si>
  <si>
    <t>daniela.c2238@gmail.com</t>
  </si>
  <si>
    <t>Contreras Contreras Francisca Daniela</t>
  </si>
  <si>
    <t>10.540.042-k</t>
  </si>
  <si>
    <t>tamara.matlopez@gmail.com</t>
  </si>
  <si>
    <t>amara.matlopez@gmail.com</t>
  </si>
  <si>
    <t>Matamala Lopez Persia Tamara</t>
  </si>
  <si>
    <t>18.387.165-k</t>
  </si>
  <si>
    <t>elisabet.santacruz@virginiogomez.cl</t>
  </si>
  <si>
    <t>Santa Cruz Aguilera Elisabet Adaia</t>
  </si>
  <si>
    <t>13.133.240-8</t>
  </si>
  <si>
    <t>mavg3232s@hotmail.com</t>
  </si>
  <si>
    <t>Valdes Galvez Manuel Alejandro</t>
  </si>
  <si>
    <t>9.197.757-5</t>
  </si>
  <si>
    <t>tirsogarcia63@gmail.com</t>
  </si>
  <si>
    <t>Garcia Neira Tirso Antonio</t>
  </si>
  <si>
    <t>Piloto</t>
  </si>
  <si>
    <t>9.844.531-5</t>
  </si>
  <si>
    <t>melomiguel2020@gmail.com</t>
  </si>
  <si>
    <t>Melo Lagos Miguel Angel</t>
  </si>
  <si>
    <t>10.511.440-0</t>
  </si>
  <si>
    <t>alejandroo.saez67@gmail.com</t>
  </si>
  <si>
    <t>Saez Bustos Alejandro De La Cruz</t>
  </si>
  <si>
    <t>9.363.743-7</t>
  </si>
  <si>
    <t>hectorrosas@outlook.cl</t>
  </si>
  <si>
    <t>Rosas Sanhueza Hector Manuel</t>
  </si>
  <si>
    <t>10.912.694-2</t>
  </si>
  <si>
    <t>ivanmora01@gmail.com</t>
  </si>
  <si>
    <t>Mora Jimenez Ivan Mauricio</t>
  </si>
  <si>
    <t>10.592.620-0</t>
  </si>
  <si>
    <t>josepastensilva@gmail.com</t>
  </si>
  <si>
    <t>Pasten Silva Jose Antonio</t>
  </si>
  <si>
    <t>11.986.540-9</t>
  </si>
  <si>
    <t>joseluisarriagadavilla@gmail.com</t>
  </si>
  <si>
    <t>Arriagada Morales Jose Luis</t>
  </si>
  <si>
    <t>11.291.465-k</t>
  </si>
  <si>
    <t>pedro.rdaza@gmail.com</t>
  </si>
  <si>
    <t>Daza Pincheira Pedro Ramon</t>
  </si>
  <si>
    <t>11.683.554-1</t>
  </si>
  <si>
    <t>carherch@gmail.com</t>
  </si>
  <si>
    <t>Hernandez Chaparro Carlos Javier</t>
  </si>
  <si>
    <t>13.103.410-5</t>
  </si>
  <si>
    <t>jeyson.gonzalez.n.369@gmail.com</t>
  </si>
  <si>
    <t>Gonzalez Neira Jeyson Andres</t>
  </si>
  <si>
    <t>13.547.338-3</t>
  </si>
  <si>
    <t>jgallegos331@gmail.com</t>
  </si>
  <si>
    <t>Gallegos Son Jaime Humberto</t>
  </si>
  <si>
    <t>14.558.267-9</t>
  </si>
  <si>
    <t>durandaniel254@gmail.com</t>
  </si>
  <si>
    <t>Duran Moya Daniel Humberto</t>
  </si>
  <si>
    <t>16.347.833-1</t>
  </si>
  <si>
    <t>neiraandresescobar@gmail.com</t>
  </si>
  <si>
    <t>Neira Escobar Pedro Andres</t>
  </si>
  <si>
    <t>16.348.161-8</t>
  </si>
  <si>
    <t>maurolg78@gmail.com</t>
  </si>
  <si>
    <t>Lonconao Gonzalez Mauricio Alejandro</t>
  </si>
  <si>
    <t>7.358.010-2</t>
  </si>
  <si>
    <t>patriciosmithz@gmail.com</t>
  </si>
  <si>
    <t>Smith Zapata Patricio Gregorio</t>
  </si>
  <si>
    <t>7.392.021-3</t>
  </si>
  <si>
    <t>alex.carrillo@orizon.cl</t>
  </si>
  <si>
    <t>carrillobaezaa@gmail.com</t>
  </si>
  <si>
    <t>Carrillo Baeza Alex Alejandro</t>
  </si>
  <si>
    <t>7.951.933-2</t>
  </si>
  <si>
    <t>miguelm96@hotmail.com</t>
  </si>
  <si>
    <t>Muñoz Jara Miguel Angel</t>
  </si>
  <si>
    <t>9.180.662-2</t>
  </si>
  <si>
    <t>h.stockle@gmail.com</t>
  </si>
  <si>
    <t>Stockle Chicago Hector Martin</t>
  </si>
  <si>
    <t>9.279.750-3</t>
  </si>
  <si>
    <t>chavenda@gmail.com</t>
  </si>
  <si>
    <t>Avendaño Arriagada Christian Abel</t>
  </si>
  <si>
    <t>9.441.369-9</t>
  </si>
  <si>
    <t>guillermojeria517@gmail.com</t>
  </si>
  <si>
    <t>Jeria Vidal Guillermo Andres</t>
  </si>
  <si>
    <t>9.451.276-k</t>
  </si>
  <si>
    <t>mrcpilot@hotmail.com</t>
  </si>
  <si>
    <t>Ruiz Cardenas Mariano Fabian</t>
  </si>
  <si>
    <t>9.459.807-9</t>
  </si>
  <si>
    <t>gerardovenegassaez@gmail.com</t>
  </si>
  <si>
    <t>Venegas Sáez Gerardo Lisandro</t>
  </si>
  <si>
    <t>9.697.505-8</t>
  </si>
  <si>
    <t>afuentesm16@gmail.com</t>
  </si>
  <si>
    <t>Fuentes Muñoz Augusto Albino</t>
  </si>
  <si>
    <t>7.056.780-6</t>
  </si>
  <si>
    <t>eugeniourquiza3@gmail.com</t>
  </si>
  <si>
    <t>Urquiza Iglesias Eugenio Alejandro</t>
  </si>
  <si>
    <t>9.834.884-0</t>
  </si>
  <si>
    <t>joseluismunozlopes10@gmail.com</t>
  </si>
  <si>
    <t>Muñoz Lopez Jose Luis</t>
  </si>
  <si>
    <t>9.996.071-k</t>
  </si>
  <si>
    <t>pseguel00@gmail.com</t>
  </si>
  <si>
    <t>Seguel Pincheira Pedro Abel</t>
  </si>
  <si>
    <t>11.411.974-1</t>
  </si>
  <si>
    <t>fcerdai68@gmail.com</t>
  </si>
  <si>
    <t>Cerda Infante Francisco Ricardo</t>
  </si>
  <si>
    <t>Piloto De Reemplazo</t>
  </si>
  <si>
    <t>7.137.277-4</t>
  </si>
  <si>
    <t>alex_herrera2025@hotmail.com</t>
  </si>
  <si>
    <t>Herrera Meza Alex Ruben</t>
  </si>
  <si>
    <t>14.214.397-6</t>
  </si>
  <si>
    <t>mario.rodriguez@orizon.cl</t>
  </si>
  <si>
    <t>mario.rodriguezb@hotmail.com</t>
  </si>
  <si>
    <t>Rodriguez Bustos Mario Erwin</t>
  </si>
  <si>
    <t>Planificador De Proyectos</t>
  </si>
  <si>
    <t>19.275.690-1</t>
  </si>
  <si>
    <t>francisco.bustamante@orizon.cl</t>
  </si>
  <si>
    <t>franbtog@gmail.com</t>
  </si>
  <si>
    <t>Bustamante Ortega Francisco</t>
  </si>
  <si>
    <t>Francisca Paz Alvarez Bulnes</t>
  </si>
  <si>
    <t>17.402.573-8</t>
  </si>
  <si>
    <t>anibal.respaldiza@nutrisco.com</t>
  </si>
  <si>
    <t>anibalrespaldiza@gmail.com</t>
  </si>
  <si>
    <t>Respaldiza Fernández José Anibal</t>
  </si>
  <si>
    <t>18.936.649-3</t>
  </si>
  <si>
    <t>cristian.diaz@nutrisco.com</t>
  </si>
  <si>
    <t>Cristian.diaz.13@sansano.usm.cl</t>
  </si>
  <si>
    <t>Diaz Valiente Cristian Ignacio</t>
  </si>
  <si>
    <t>18.298.154-0</t>
  </si>
  <si>
    <t>irohan.gaytan@nutrisco.com</t>
  </si>
  <si>
    <t>irohangaytanz@gmail.com</t>
  </si>
  <si>
    <t>Gaytan Zamorano Irohan Sayamond</t>
  </si>
  <si>
    <t>Project Manager</t>
  </si>
  <si>
    <t>17.461.106-8</t>
  </si>
  <si>
    <t>alfredo.cerda@orizon.cl</t>
  </si>
  <si>
    <t>alf-cerda@live.cl</t>
  </si>
  <si>
    <t>Cerda Benavides Alfredo Omar</t>
  </si>
  <si>
    <t>Proyectista Y Archivo Tecnico</t>
  </si>
  <si>
    <t>18.146.032-6</t>
  </si>
  <si>
    <t>joaquin.monsalve@orizon.cl</t>
  </si>
  <si>
    <t>jmonsalvez@outlook.com</t>
  </si>
  <si>
    <t>Monsalve Zattera Joaquin Ignacio</t>
  </si>
  <si>
    <t>Psicologo Seleccion Temporada</t>
  </si>
  <si>
    <t>Maria De Los Angeles Navarro Miranda</t>
  </si>
  <si>
    <t>17.344.229-7</t>
  </si>
  <si>
    <t>pablo.lobos@orizon.cl</t>
  </si>
  <si>
    <t>pablolobosvalenzuela@gmail.com</t>
  </si>
  <si>
    <t>Lobos Valenzuela Pablo Andres</t>
  </si>
  <si>
    <t>Reclutador Administrativo</t>
  </si>
  <si>
    <t>14.212.020-8</t>
  </si>
  <si>
    <t>claudiapereirasaez@gmail.com</t>
  </si>
  <si>
    <t>Pereira Saez Claudia Macarena</t>
  </si>
  <si>
    <t>18.502.460-1</t>
  </si>
  <si>
    <t>sergio.cardoza@orizon.cl</t>
  </si>
  <si>
    <t>scardozar@gmail.com</t>
  </si>
  <si>
    <t>Cardoza Rivas Sergio Andres</t>
  </si>
  <si>
    <t>Sales Manager De Norteamerica</t>
  </si>
  <si>
    <t>Ignacio Arturo Astete Heimpell</t>
  </si>
  <si>
    <t>2.466.242-k</t>
  </si>
  <si>
    <t>alejandro.garcia@orizoneu.com</t>
  </si>
  <si>
    <t>García Lorenzo Alejandro</t>
  </si>
  <si>
    <t>Sales Manager Ue</t>
  </si>
  <si>
    <t>Jorge De Llano Ozores</t>
  </si>
  <si>
    <t>12.281.916-7</t>
  </si>
  <si>
    <t>karina.gamboa@orizon.cl</t>
  </si>
  <si>
    <t>karina.gamboa2324@gmail.com</t>
  </si>
  <si>
    <t>Gamboa Zamorano Karina Andrea</t>
  </si>
  <si>
    <t>Secretaria</t>
  </si>
  <si>
    <t>8.058.278-1</t>
  </si>
  <si>
    <t>anamaria.vidal@orizon.cl</t>
  </si>
  <si>
    <t>anamara.vidal@gmail.com</t>
  </si>
  <si>
    <t>Vidal Henriquez Ana Maria</t>
  </si>
  <si>
    <t>11.896.344-k</t>
  </si>
  <si>
    <t>marcelo.villa@orizon.cl</t>
  </si>
  <si>
    <t>marcelovilla614@gmail.com</t>
  </si>
  <si>
    <t>Villa Quilodran Marcelo Ariel</t>
  </si>
  <si>
    <t>Secretario Tecnico De Mantenimiento</t>
  </si>
  <si>
    <t>17.214.075-0</t>
  </si>
  <si>
    <t>barbara.aguilera@nutrisco.com</t>
  </si>
  <si>
    <t>barbara.ahormazabal@gmail.com</t>
  </si>
  <si>
    <t>Aguilera Hormazabal Barbara Michelle</t>
  </si>
  <si>
    <t>Subgerente Abastecimiento Bienes</t>
  </si>
  <si>
    <t>13.953.300-3</t>
  </si>
  <si>
    <t>andres.morales@nutrisco.com</t>
  </si>
  <si>
    <t>amoralesrios@gmail.com</t>
  </si>
  <si>
    <t>Morales Ríos Andrés Agustín</t>
  </si>
  <si>
    <t>Subgerente Abastecimiento Servicios</t>
  </si>
  <si>
    <t>15.655.852-4</t>
  </si>
  <si>
    <t>alvaro.perez@nutrisco.com</t>
  </si>
  <si>
    <t>alvaro.perez.campos@gmail.com</t>
  </si>
  <si>
    <t>Perez Campos Alvaro</t>
  </si>
  <si>
    <t>Subgerente Control De Gestion</t>
  </si>
  <si>
    <t>15.677.251-8</t>
  </si>
  <si>
    <t>karina.soto@nutrisco.com</t>
  </si>
  <si>
    <t>karinaucsc@gmail.com</t>
  </si>
  <si>
    <t>Soto Merino Ada Karina</t>
  </si>
  <si>
    <t>Subgerente de Asuntos Públicos</t>
  </si>
  <si>
    <t>17.703.620-k</t>
  </si>
  <si>
    <t>rafael.eyzaguirre@nutrisco.com</t>
  </si>
  <si>
    <t>Rjem1991@gmail.com</t>
  </si>
  <si>
    <t>Eyzaguirre Martinez Rafael Jose</t>
  </si>
  <si>
    <t>Subgerente de Business intelligence y Desarrollo de Productos</t>
  </si>
  <si>
    <t>16.744.490-3</t>
  </si>
  <si>
    <t>sebastian.ochoa@nutrisco.com</t>
  </si>
  <si>
    <t>s.ochoa.pizarro@gmail.com</t>
  </si>
  <si>
    <t>Ochoa Pizarro Sebastian Antonio</t>
  </si>
  <si>
    <t>Subgerente de Cumplimiento y Auditoria Interna</t>
  </si>
  <si>
    <t>16.219.383-k</t>
  </si>
  <si>
    <t>javier.millas@nutrisco.com</t>
  </si>
  <si>
    <t>javier.millasf@gmail.com</t>
  </si>
  <si>
    <t>Millas Fernandez Javier Andres</t>
  </si>
  <si>
    <t>Subgerente De Logistica Y Customer Service</t>
  </si>
  <si>
    <t>16.304.122-7</t>
  </si>
  <si>
    <t>matias.llopis@nutrisco.com</t>
  </si>
  <si>
    <t>matollopis@gmail.com</t>
  </si>
  <si>
    <t>Llopis Godoy Matias Andres</t>
  </si>
  <si>
    <t>Subgerente De Planificacion Y Gestion Comercial</t>
  </si>
  <si>
    <t>13.634.001-8</t>
  </si>
  <si>
    <t>JOSE.COLLAO@nutrisco.com</t>
  </si>
  <si>
    <t>jose.collaob@gmail.com</t>
  </si>
  <si>
    <t>Collao Bolados Jose Jesus</t>
  </si>
  <si>
    <t>Subgerente De Seguridad Y Salud En El Trabajo</t>
  </si>
  <si>
    <t>10.322.572-8</t>
  </si>
  <si>
    <t>pedro.poblete@nutrisco.com</t>
  </si>
  <si>
    <t>pedropoblete@gmail.com</t>
  </si>
  <si>
    <t>Poblete Pacheco Pedro Luis</t>
  </si>
  <si>
    <t>Subgerente De Trading</t>
  </si>
  <si>
    <t>17.402.656-4</t>
  </si>
  <si>
    <t>joseluis.ureta@orizon.cl</t>
  </si>
  <si>
    <t>jluretad@gmail.com</t>
  </si>
  <si>
    <t>Ureta Donoso Jose Luis</t>
  </si>
  <si>
    <t>Subgerente De Ventas Sn</t>
  </si>
  <si>
    <t>Francisco Ovalle Salcedo</t>
  </si>
  <si>
    <t>14.300.744-8</t>
  </si>
  <si>
    <t>tatiana.catalan@orizon.cl</t>
  </si>
  <si>
    <t>taticatalans@gmail.com</t>
  </si>
  <si>
    <t>Catalan Skriptschenko Tatiana</t>
  </si>
  <si>
    <t>Subgerente HRBP Seafood</t>
  </si>
  <si>
    <t>12.350.930-7</t>
  </si>
  <si>
    <t>enzo.escobar@orizon.cl</t>
  </si>
  <si>
    <t>enzo.escobarm@gmail.com</t>
  </si>
  <si>
    <t>Escobar Menai Enzo David</t>
  </si>
  <si>
    <t>Subgerente Mantencion Y Suministros Pesca</t>
  </si>
  <si>
    <t>10.093.798-0</t>
  </si>
  <si>
    <t>juancarlo.hinojosa@orizon.cl</t>
  </si>
  <si>
    <t>cuneotti@gmail.com</t>
  </si>
  <si>
    <t>Hinojosa Cuneo Juan Carlo</t>
  </si>
  <si>
    <t>Subgerente Planta Coquimbo</t>
  </si>
  <si>
    <t>10.227.707-4</t>
  </si>
  <si>
    <t>omar.alvarez@nutrisco.com</t>
  </si>
  <si>
    <t>ogalvarezv@gmail.com</t>
  </si>
  <si>
    <t>Alvarez Vliegenthart Omar</t>
  </si>
  <si>
    <t>Subgerente Soporte Y Servicios Generales</t>
  </si>
  <si>
    <t>15.385.430-0</t>
  </si>
  <si>
    <t>sebastian.warnken@nutrisco.com</t>
  </si>
  <si>
    <t>swarnken@gmail.com</t>
  </si>
  <si>
    <t>Warnken Del Rio Sebastian Jose</t>
  </si>
  <si>
    <t>Subgerente Ventas Seafood</t>
  </si>
  <si>
    <t>13.552.002-0</t>
  </si>
  <si>
    <t>carolina.abalos@nutrisco.com</t>
  </si>
  <si>
    <t>caroabalosr@gmail.com</t>
  </si>
  <si>
    <t>Abalos Riquelme Carolina</t>
  </si>
  <si>
    <t>Subgerente(A) de Desarrollo Organizacional</t>
  </si>
  <si>
    <t>SubGerencia de DO</t>
  </si>
  <si>
    <t>11.219.986-1</t>
  </si>
  <si>
    <t>hugo.cuadra@orizon.cl</t>
  </si>
  <si>
    <t>h.j.cuadra@hotmail.com</t>
  </si>
  <si>
    <t>Cuadra Araya Hugo Javier</t>
  </si>
  <si>
    <t>Supervisor General de Mantención Planta Coquimbo</t>
  </si>
  <si>
    <t>12.132.537-3</t>
  </si>
  <si>
    <t>alfredo.ortega@nutrisco.com</t>
  </si>
  <si>
    <t>aortegam72@gmail.com</t>
  </si>
  <si>
    <t>Ortega Marin Alfredo</t>
  </si>
  <si>
    <t>Supervisor(A) Activo Fijo</t>
  </si>
  <si>
    <t>10.659.901-7</t>
  </si>
  <si>
    <t>cristian.arancibia@nutrisco.com</t>
  </si>
  <si>
    <t>carancibiaz@gmail.com</t>
  </si>
  <si>
    <t>Arancibia Zarate Cristian</t>
  </si>
  <si>
    <t>Supervisor(A) Costos</t>
  </si>
  <si>
    <t>13.799.110-1</t>
  </si>
  <si>
    <t>viviana.manriquez@orizon.cl</t>
  </si>
  <si>
    <t>vivianamanriquezll@gmail.com</t>
  </si>
  <si>
    <t>Manriquez Llanquiman Viviana Andrea</t>
  </si>
  <si>
    <t>Supervisor(A) De Etiquetado</t>
  </si>
  <si>
    <t>19.115.013-9</t>
  </si>
  <si>
    <t>daniel.figueroa@orizon.cl</t>
  </si>
  <si>
    <t>dfigueroaing@gmail.com</t>
  </si>
  <si>
    <t>Figueroa Monrroy Daniel Anibal</t>
  </si>
  <si>
    <t>Supervisor(A) De Pintura Y Habitabilidad</t>
  </si>
  <si>
    <t>16.348.879-5</t>
  </si>
  <si>
    <t>cristian.bustamante@orizon.cl</t>
  </si>
  <si>
    <t>Cristiacabs1@gmail.com</t>
  </si>
  <si>
    <t>Bustamante Salgado Cristian Alfredo</t>
  </si>
  <si>
    <t>Supervisor(A) De Turno Congelado</t>
  </si>
  <si>
    <t>9.235.032-0</t>
  </si>
  <si>
    <t>anselmo.silva@orizon.cl</t>
  </si>
  <si>
    <t>leonardo.silva.caro@gmail.com</t>
  </si>
  <si>
    <t>Silva Caro Anselmo Leonardo</t>
  </si>
  <si>
    <t>10.432.599-8</t>
  </si>
  <si>
    <t>claudio.espinoza@orizon.cl</t>
  </si>
  <si>
    <t>claudioespinoza765@gmail.com</t>
  </si>
  <si>
    <t>Espinoza Villablanca Claudio Alejandro</t>
  </si>
  <si>
    <t>Supervisor(A) De Turno Conserva</t>
  </si>
  <si>
    <t>10.164.902-4</t>
  </si>
  <si>
    <t>walter.pincheira@orizon.cl</t>
  </si>
  <si>
    <t>walter.pincheira90@gmail.com</t>
  </si>
  <si>
    <t>Pincheira Fuentealba Walter Nilo</t>
  </si>
  <si>
    <t>27.032.348-0</t>
  </si>
  <si>
    <t>isalin.acuna@orizon.cl</t>
  </si>
  <si>
    <t>isalin.acuna@gmail.com</t>
  </si>
  <si>
    <t>Acuña De Perez Isalin Ilena</t>
  </si>
  <si>
    <t>7.127.627-9</t>
  </si>
  <si>
    <t>juan.civilo@nutrisco.cl</t>
  </si>
  <si>
    <t>juancivilo1435@gmail.com</t>
  </si>
  <si>
    <t>Civilo Civilo Juan Victorino</t>
  </si>
  <si>
    <t>9.023.946-5</t>
  </si>
  <si>
    <t>marco.leal@orizon.cl</t>
  </si>
  <si>
    <t>aburtolealmarco@gmail.com</t>
  </si>
  <si>
    <t>Leal Aburto Marco Antonio</t>
  </si>
  <si>
    <t>18.962.169-8</t>
  </si>
  <si>
    <t>felipe.gomez@orizon.cl</t>
  </si>
  <si>
    <t>felipegomezfr@gmail.com</t>
  </si>
  <si>
    <t>Gomez Fernandez Felipe Andres</t>
  </si>
  <si>
    <t>18.420.014-7</t>
  </si>
  <si>
    <t>mauricio.pedreros@orizon.cl</t>
  </si>
  <si>
    <t>pedrerosmauricio@gmail.com</t>
  </si>
  <si>
    <t>Pedreros Sanhueza Mauricio Alejandro</t>
  </si>
  <si>
    <t>18.135.799-1</t>
  </si>
  <si>
    <t>camila.guzman@orizon.cl</t>
  </si>
  <si>
    <t>camilaguzman145@gmail.com</t>
  </si>
  <si>
    <t>Guzman Valdebenito Camila Cecilia</t>
  </si>
  <si>
    <t>12.924.312-0</t>
  </si>
  <si>
    <t>carolin.fuentealba@orizon.cl</t>
  </si>
  <si>
    <t>Carolinfuentealba@hotmail.com</t>
  </si>
  <si>
    <t>Fuentealba Muñoz Carolin Beatriz</t>
  </si>
  <si>
    <t>20.613.538-7</t>
  </si>
  <si>
    <t>riverosdiego42@gmail.com</t>
  </si>
  <si>
    <t>Riveros Muñoz Diego Ignacio</t>
  </si>
  <si>
    <t>9.524.131-k</t>
  </si>
  <si>
    <t>roberto.neira@orizon.cl</t>
  </si>
  <si>
    <t>roberto.erwin66@gmail.com</t>
  </si>
  <si>
    <t>Neira Saravia Roberto Erwin</t>
  </si>
  <si>
    <t>Supervisor(A) De Vigilancia</t>
  </si>
  <si>
    <t>13.824.567-5</t>
  </si>
  <si>
    <t>efrain.puchi@orizon.cl</t>
  </si>
  <si>
    <t>efrasud@gmail.com</t>
  </si>
  <si>
    <t>Puchi Palma Efrain Eduardo</t>
  </si>
  <si>
    <t>Supervisor(A) Infraestructura Planta</t>
  </si>
  <si>
    <t>9.223.901-2</t>
  </si>
  <si>
    <t>victor.fuentes@orizon.cl</t>
  </si>
  <si>
    <t>victorhugo.fuentes.navarrete@gmail.com</t>
  </si>
  <si>
    <t>Fuentes Navarrete Victor Hugo</t>
  </si>
  <si>
    <t>Supervisor(A) Mantencion Flota</t>
  </si>
  <si>
    <t>13.899.807-k</t>
  </si>
  <si>
    <t>cesar.godoy@orizon.cl</t>
  </si>
  <si>
    <t>cesargodoybononato@gmail.com</t>
  </si>
  <si>
    <t>Godoy Bononato Cesar Mauricio</t>
  </si>
  <si>
    <t>9.081.691-8</t>
  </si>
  <si>
    <t>jose.hernandez@orizon.cl</t>
  </si>
  <si>
    <t>Hernandez Mansilla Jose Eduardo</t>
  </si>
  <si>
    <t>14.212.240-5</t>
  </si>
  <si>
    <t>jose.pineda@orizon.cl</t>
  </si>
  <si>
    <t>jpinedaenator@gmail.com</t>
  </si>
  <si>
    <t>Pineda Venegas Jose Ernesto</t>
  </si>
  <si>
    <t>17.225.677-5</t>
  </si>
  <si>
    <t>daissy.martinez@orizon.cl</t>
  </si>
  <si>
    <t>daissy.martinez.r@gmail.com</t>
  </si>
  <si>
    <t>Martinez Rojas Daissy Del Carmen</t>
  </si>
  <si>
    <t>Supervisor(A) Tributario</t>
  </si>
  <si>
    <t>26.697.795-6</t>
  </si>
  <si>
    <t>tomas.ruano@orizon.cl</t>
  </si>
  <si>
    <t>truano2@gmail.com</t>
  </si>
  <si>
    <t>Ruano Goitia Tomás</t>
  </si>
  <si>
    <t>Tecnico Ti</t>
  </si>
  <si>
    <t>Pedro Burgos Lara</t>
  </si>
  <si>
    <t>9.797.341-5</t>
  </si>
  <si>
    <t>juanantonio.meza@orizon.cl</t>
  </si>
  <si>
    <t>JAMEZAS1@GMAIL.COM</t>
  </si>
  <si>
    <t>Meza Sagredo Juan Antonio</t>
  </si>
  <si>
    <t>Tesorero</t>
  </si>
  <si>
    <t>Carlos Javier Belmar Durán</t>
  </si>
  <si>
    <t>9.774.216-2</t>
  </si>
  <si>
    <t>pabloandresa.1963@gmail.com</t>
  </si>
  <si>
    <t>Aburto Clasing Pablo Andres</t>
  </si>
  <si>
    <t>Tripulante</t>
  </si>
  <si>
    <t>10.591.641-8</t>
  </si>
  <si>
    <t>haroldocacerese@gmail.com</t>
  </si>
  <si>
    <t>Caceres Estrada Haroldo Manuel</t>
  </si>
  <si>
    <t>16.999.609-1</t>
  </si>
  <si>
    <t>leocabreraco@gmail.com</t>
  </si>
  <si>
    <t>Cabrera Cortes Audito Leopoldo</t>
  </si>
  <si>
    <t>7.346.296-7</t>
  </si>
  <si>
    <t>Espinoza Daza Raul Angel</t>
  </si>
  <si>
    <t>8.209.270-6</t>
  </si>
  <si>
    <t>robertopalma1961@gmail.com</t>
  </si>
  <si>
    <t>Palma Cardenas Roberto</t>
  </si>
  <si>
    <t>11.904.476-6</t>
  </si>
  <si>
    <t>cesarpinoa.ap@gmail.com</t>
  </si>
  <si>
    <t>Pino Alarcon Cesar Alejandro</t>
  </si>
  <si>
    <t>7.769.901-5</t>
  </si>
  <si>
    <t>joseangelreyescartes@gmail.com</t>
  </si>
  <si>
    <t>Reyes Cartes Jose Angel</t>
  </si>
  <si>
    <t>10.376.049-6</t>
  </si>
  <si>
    <t>nelson.acero.cp@gmail.com</t>
  </si>
  <si>
    <t>Cifuentes Peña Nelson Del Carmen</t>
  </si>
  <si>
    <t>8.285.453-3</t>
  </si>
  <si>
    <t>estradamoragajose@gmail.com</t>
  </si>
  <si>
    <t>Estrada Moraga Jose Gabino</t>
  </si>
  <si>
    <t>11.685.172-5</t>
  </si>
  <si>
    <t>valenzuelaperez70@gmail.com</t>
  </si>
  <si>
    <t>Valenzuela Perez Marco Antonio</t>
  </si>
  <si>
    <t>15.211.865-1</t>
  </si>
  <si>
    <t>miguelgarcias3777@gmail.com</t>
  </si>
  <si>
    <t>Garcias Riffo Miguel Angel</t>
  </si>
  <si>
    <t>10.072.688-2</t>
  </si>
  <si>
    <t>billylosrios2@gmail.com</t>
  </si>
  <si>
    <t>Bustos Delgado Elbert Billy</t>
  </si>
  <si>
    <t>15.175.822-3</t>
  </si>
  <si>
    <t>pedroroa124@gmail.com</t>
  </si>
  <si>
    <t>Hernandez Roa Pedro Antonio</t>
  </si>
  <si>
    <t>20.362.196-5</t>
  </si>
  <si>
    <t>bryan.faundez.roa@gmail.com</t>
  </si>
  <si>
    <t>Faundez Roa Bryan Alejandro</t>
  </si>
  <si>
    <t>Coronel Rol flota</t>
  </si>
  <si>
    <t>14.390.883-6</t>
  </si>
  <si>
    <t>osvaldojose123@gmail.com</t>
  </si>
  <si>
    <t>Medina Escobar Osvaldo Jose</t>
  </si>
  <si>
    <t>13.795.759-0</t>
  </si>
  <si>
    <t>javianmarcelo@gmail.com</t>
  </si>
  <si>
    <t>Mella Villarroel Javian Marcelo</t>
  </si>
  <si>
    <t>18.746.296-7</t>
  </si>
  <si>
    <t>fg4574159@gmail.com</t>
  </si>
  <si>
    <t>Godoy Hidalgo Felipe Alejandro</t>
  </si>
  <si>
    <t>19.108.374-1</t>
  </si>
  <si>
    <t>sanhuezamendoza@gmail.com</t>
  </si>
  <si>
    <t>Sanhueza Mendoza Cesar Manuel</t>
  </si>
  <si>
    <t>13.132.449-9</t>
  </si>
  <si>
    <t>alexalarcon2129@gmail.com</t>
  </si>
  <si>
    <t>Alarcón Reyes Cesar Alexis</t>
  </si>
  <si>
    <t>9.233.711-1</t>
  </si>
  <si>
    <t>edison5v563@gmail.com</t>
  </si>
  <si>
    <t>Silva Valdes Edison Valentin</t>
  </si>
  <si>
    <t>10.957.792-8</t>
  </si>
  <si>
    <t>cvillarroelamelia@gmail.com</t>
  </si>
  <si>
    <t>Hidalgo Saez Jose Luis</t>
  </si>
  <si>
    <t>16.842.894-4</t>
  </si>
  <si>
    <t>SH.PACHECOHERNANDEZ@GMAIL.COM</t>
  </si>
  <si>
    <t>Pacheco Hernandez Sergio Hernan</t>
  </si>
  <si>
    <t>16.895.201-5</t>
  </si>
  <si>
    <t>sanhuezaluis241@gmail.com</t>
  </si>
  <si>
    <t>Peña Sanhueza Luis Antonio</t>
  </si>
  <si>
    <t>15.189.064-4</t>
  </si>
  <si>
    <t>PEDRO.PILCOBUENO@GMAIL.COM</t>
  </si>
  <si>
    <t>Pilco Bueno Pedro Juan</t>
  </si>
  <si>
    <t>10.638.434-7</t>
  </si>
  <si>
    <t>sanmartincampos1@gmail.com</t>
  </si>
  <si>
    <t>San Martín Campos Fernando Segundo</t>
  </si>
  <si>
    <t>13.110.112-0</t>
  </si>
  <si>
    <t>andresvargas1931@gmail.com</t>
  </si>
  <si>
    <t>Vargas Soto Andres David</t>
  </si>
  <si>
    <t>8.568.885-5</t>
  </si>
  <si>
    <t>marcelo.vargas.olivares@gmail.com</t>
  </si>
  <si>
    <t>Vargas Olivares Marcelo Alejandro</t>
  </si>
  <si>
    <t>17.573.952-1</t>
  </si>
  <si>
    <t>franciscovergaraa1988@gmail.com</t>
  </si>
  <si>
    <t>Vergara Saavedra Francisco Javier</t>
  </si>
  <si>
    <t>10.018.148-7</t>
  </si>
  <si>
    <t>rssxx@hotmail.com</t>
  </si>
  <si>
    <t>Solis Brevis Robinson Santos</t>
  </si>
  <si>
    <t>10.078.266-9</t>
  </si>
  <si>
    <t>jsvicente89@gmail.com</t>
  </si>
  <si>
    <t>Sepulveda Rosales Jose Vicente</t>
  </si>
  <si>
    <t>10.155.047-8</t>
  </si>
  <si>
    <t>leo21contreras@gmail.com</t>
  </si>
  <si>
    <t>Contreras Morales Leonel Angel</t>
  </si>
  <si>
    <t>10.278.967-9</t>
  </si>
  <si>
    <t>guillermo-wallace@hotmail.com</t>
  </si>
  <si>
    <t>Wallace Poblete Guillermo Antonio</t>
  </si>
  <si>
    <t>10.285.671-6</t>
  </si>
  <si>
    <t>sergioantoniour@gmail.com</t>
  </si>
  <si>
    <t>Ulloa Rojas Sergio Antonio</t>
  </si>
  <si>
    <t>10.595.431-k</t>
  </si>
  <si>
    <t>daniela.riquelme.ru@gmail.com</t>
  </si>
  <si>
    <t>Riquelme Zurita Juan Carlos</t>
  </si>
  <si>
    <t>11.149.911-k</t>
  </si>
  <si>
    <t>pmora260267@gmail.com</t>
  </si>
  <si>
    <t>Mora Arriagada Pedro Andres</t>
  </si>
  <si>
    <t>11.493.997-8</t>
  </si>
  <si>
    <t>felixantoniotc25@gmail.com</t>
  </si>
  <si>
    <t>Toledo Cerda Felix Antonio</t>
  </si>
  <si>
    <t>11.537.273-4</t>
  </si>
  <si>
    <t>leitox38@gmail.com</t>
  </si>
  <si>
    <t>Henriquez Navarrete Leandro Alberto</t>
  </si>
  <si>
    <t>11.537.897-k</t>
  </si>
  <si>
    <t>valdojara29@gmail.com</t>
  </si>
  <si>
    <t>Jara Duran Valdovino David</t>
  </si>
  <si>
    <t>11.985.799-6</t>
  </si>
  <si>
    <t>antoniofdominguezv.72@gmail.com</t>
  </si>
  <si>
    <t>Dominguez Villegas Antonio Federico</t>
  </si>
  <si>
    <t>12.043.468-3</t>
  </si>
  <si>
    <t>calele_71@hotmail.com</t>
  </si>
  <si>
    <t>Macaya Fernandez Leonel Eduardo</t>
  </si>
  <si>
    <t>12.300.140-0</t>
  </si>
  <si>
    <t>danyconcha703@gmail.com</t>
  </si>
  <si>
    <t>Concha Concha Guillermo Washington</t>
  </si>
  <si>
    <t>12.303.341-8</t>
  </si>
  <si>
    <t>victor.lopez.avila2020@gmail.com</t>
  </si>
  <si>
    <t>Lopez Avila Victor Marcos</t>
  </si>
  <si>
    <t>12.303.349-3</t>
  </si>
  <si>
    <t>marcela.ts.jimenez@gmail.com</t>
  </si>
  <si>
    <t>Jimenez Hernandez Omar Vicente</t>
  </si>
  <si>
    <t>12.305.986-7</t>
  </si>
  <si>
    <t>fredysotoalarcon@gmail.com</t>
  </si>
  <si>
    <t>Soto Alarcon Luis Fredy</t>
  </si>
  <si>
    <t>12.379.401-k</t>
  </si>
  <si>
    <t>navegantesur72@gmail.com</t>
  </si>
  <si>
    <t>Troncoso Guzman Sandro David</t>
  </si>
  <si>
    <t>12.382.450-4</t>
  </si>
  <si>
    <t>manoloyberta@hotmail.com</t>
  </si>
  <si>
    <t>Morales Mellado Manolo Segundo</t>
  </si>
  <si>
    <t>12.972.457-9</t>
  </si>
  <si>
    <t>aguirredumenes@gmail.com</t>
  </si>
  <si>
    <t>Aguirre Reyes Nelson Boris</t>
  </si>
  <si>
    <t>13.108.346-7</t>
  </si>
  <si>
    <t>chanay.76@hotmail.com</t>
  </si>
  <si>
    <t>Faundez Vergara Jorge Alejandro</t>
  </si>
  <si>
    <t>13.132.889-3</t>
  </si>
  <si>
    <t>csutter2010@hotmail.com</t>
  </si>
  <si>
    <t>Sutter Castro Carlos Alberto</t>
  </si>
  <si>
    <t>13.133.266-1</t>
  </si>
  <si>
    <t>alexis.exequiel.g@gmail.com</t>
  </si>
  <si>
    <t>Gomez Valdebenito Alexis Exequiel</t>
  </si>
  <si>
    <t>14.414.395-7</t>
  </si>
  <si>
    <t>luiscorral.2409@gmail.com</t>
  </si>
  <si>
    <t>Corral Quilodran Luis Alfredo</t>
  </si>
  <si>
    <t>13.150.924-3</t>
  </si>
  <si>
    <t>gaticabernardo3@gmail.com</t>
  </si>
  <si>
    <t>Gatica Vega Bernardo Enrique</t>
  </si>
  <si>
    <t>13.620.071-2</t>
  </si>
  <si>
    <t>chinomuller79@gmail.com</t>
  </si>
  <si>
    <t>Rodriguez Muller Edgardo Enrique</t>
  </si>
  <si>
    <t>13.957.760-4</t>
  </si>
  <si>
    <t>raraneda69@gmail.com</t>
  </si>
  <si>
    <t>Araneda Espinoza Robert Javier</t>
  </si>
  <si>
    <t>14.390.640-k</t>
  </si>
  <si>
    <t>rogeliorene.rojas36@gmail.com</t>
  </si>
  <si>
    <t>Rojas Araneda Rogelio Rene</t>
  </si>
  <si>
    <t>14.435.836-8</t>
  </si>
  <si>
    <t>luisfuentealba266@gmail.com</t>
  </si>
  <si>
    <t>Fuentealba Avendaño Luis Hernan</t>
  </si>
  <si>
    <t>15.647.324-3</t>
  </si>
  <si>
    <t>espinozahermosilla1983@gmail.com</t>
  </si>
  <si>
    <t>Hermosilla Espinoza Victor Daniel</t>
  </si>
  <si>
    <t>15.809.050-3</t>
  </si>
  <si>
    <t>eduardo.paredeshigueras@gmail.com</t>
  </si>
  <si>
    <t>Paredes Higueras Eduardo Wladimir</t>
  </si>
  <si>
    <t>15.929.158-8</t>
  </si>
  <si>
    <t>heriberto.parra.reyes@gmail.com</t>
  </si>
  <si>
    <t>Parra Reyes Heriberto Del Carmen</t>
  </si>
  <si>
    <t>16.818.004-7</t>
  </si>
  <si>
    <t>jonathanenriqueriveraancatrio@gmail.com</t>
  </si>
  <si>
    <t>Rivera Ancatrio Jonathan Enrique</t>
  </si>
  <si>
    <t>17.348.912-9</t>
  </si>
  <si>
    <t>famanriquez.-@live.cl</t>
  </si>
  <si>
    <t>Manriquez Mora Fabian Eduardo</t>
  </si>
  <si>
    <t>17.843.068-8</t>
  </si>
  <si>
    <t>adrianlopezpe32@gmail.com</t>
  </si>
  <si>
    <t>Lopez Peña Adrian Patricio</t>
  </si>
  <si>
    <t>18.500.420-1</t>
  </si>
  <si>
    <t>cabrerajfrancisco93@gmail.com</t>
  </si>
  <si>
    <t>Cabrera Cortes Juan Francisco</t>
  </si>
  <si>
    <t>19.577.640-7</t>
  </si>
  <si>
    <t>nicolasfaundezr@hotmail.com</t>
  </si>
  <si>
    <t>Faundez Roa Jorge Nicolás</t>
  </si>
  <si>
    <t>7.392.217-8</t>
  </si>
  <si>
    <t>danielcastrohidalgo03@gmail.com</t>
  </si>
  <si>
    <t>Castro Hidalgo Daniel Del Transito</t>
  </si>
  <si>
    <t>7.885.881-8</t>
  </si>
  <si>
    <t>pedroespinoza2103@gmail.com</t>
  </si>
  <si>
    <t>Espinoza Araya Pedro Agustin</t>
  </si>
  <si>
    <t>7.954.690-9</t>
  </si>
  <si>
    <t>manuelosseszarate@gmail.com</t>
  </si>
  <si>
    <t>Osses Zarate Manuel De La Cruz</t>
  </si>
  <si>
    <t>8.701.346-4</t>
  </si>
  <si>
    <t>juanmiguelgonzalezrojas@gmail.com</t>
  </si>
  <si>
    <t>Gonzalez Rojas Juan Miguel</t>
  </si>
  <si>
    <t>8.788.041-9</t>
  </si>
  <si>
    <t>miguel.moracerna.2@gmail.com</t>
  </si>
  <si>
    <t>Mora Cerna Miguel Angel</t>
  </si>
  <si>
    <t>8.838.521-7</t>
  </si>
  <si>
    <t>calivv3@gmail.com</t>
  </si>
  <si>
    <t>Villegas Vega Calixto Abundio</t>
  </si>
  <si>
    <t>9.131.791-5</t>
  </si>
  <si>
    <t>leandrin.martinez@gmail.com</t>
  </si>
  <si>
    <t>Henriquez Martinez Ivan Leandro</t>
  </si>
  <si>
    <t>9.229.616-4</t>
  </si>
  <si>
    <t>ivanarye62@gmail.com</t>
  </si>
  <si>
    <t>Arteaga Yelorm Ivan</t>
  </si>
  <si>
    <t>9.312.597-5</t>
  </si>
  <si>
    <t>julioandreu57@gmail.com</t>
  </si>
  <si>
    <t>Andreu Riveros Julio Cesar</t>
  </si>
  <si>
    <t>9.391.260-8</t>
  </si>
  <si>
    <t>oscar24puentes@gmail.com</t>
  </si>
  <si>
    <t>Puentes Burgos Oscar Manuel</t>
  </si>
  <si>
    <t>9.415.553-3</t>
  </si>
  <si>
    <t>leosufray@gmail.com</t>
  </si>
  <si>
    <t>Sufray Chandia Leonel De La Cruz</t>
  </si>
  <si>
    <t>9.433.607-4</t>
  </si>
  <si>
    <t>nelsonalarconh@gmail.com</t>
  </si>
  <si>
    <t>Alarcon Hernandez Nelson Leonardo</t>
  </si>
  <si>
    <t>9.433.749-6</t>
  </si>
  <si>
    <t>richi.araneda.sanchez@gmail.com</t>
  </si>
  <si>
    <t>Araneda Sanchez Ricardo Alejandro</t>
  </si>
  <si>
    <t>9.513.767-9</t>
  </si>
  <si>
    <t>alejandrorodriguezcea10@gmail.com</t>
  </si>
  <si>
    <t>Rodriguez Cea Alejandro Emilio</t>
  </si>
  <si>
    <t>9.077.491-3</t>
  </si>
  <si>
    <t>francisco.salazar.henriquez@gmail.com</t>
  </si>
  <si>
    <t>Salazar Henriquez Francisco Eduardo</t>
  </si>
  <si>
    <t>9.221.485-0</t>
  </si>
  <si>
    <t>mario.canalesjara16@gmail.com</t>
  </si>
  <si>
    <t>Canales Jara Mario Orlando</t>
  </si>
  <si>
    <t>9.723.085-4</t>
  </si>
  <si>
    <t>juanalfonsoneiraopazo@gmail.com</t>
  </si>
  <si>
    <t>Neira Opazo Juan Alfonso</t>
  </si>
  <si>
    <t>9.803.423-4</t>
  </si>
  <si>
    <t>francisco.canales.jara1963@gmail.com</t>
  </si>
  <si>
    <t>Canales Jara Francisco Javier</t>
  </si>
  <si>
    <t>18.317.498-3</t>
  </si>
  <si>
    <t>aa.escandell1903@gmail.com</t>
  </si>
  <si>
    <t>Alfaro Escandell Andres Alejandro</t>
  </si>
  <si>
    <t>Tripulante De Maniobras Y Descarga</t>
  </si>
  <si>
    <t>15.595.187-7</t>
  </si>
  <si>
    <t>bernardoisaacperaltaleyton@gmail.com</t>
  </si>
  <si>
    <t>Peralta Leyton Bernardo Isaac</t>
  </si>
  <si>
    <t>8.024.610-2</t>
  </si>
  <si>
    <t>luisarayabarraza1@gmail.com</t>
  </si>
  <si>
    <t>Araya Barraza Luis Roberto</t>
  </si>
  <si>
    <t>15.595.772-7</t>
  </si>
  <si>
    <t>henrypatriciobustamante314@gmail.com</t>
  </si>
  <si>
    <t>Cortes Bustamante Henry Patricio</t>
  </si>
  <si>
    <t>11.220.662-0</t>
  </si>
  <si>
    <t>Cortescortesjuancarlos291@gmail.com</t>
  </si>
  <si>
    <t>Cortes Cortes Juan Carlos</t>
  </si>
  <si>
    <t>12.942.296-3</t>
  </si>
  <si>
    <t>patozamora0076@gmail.com</t>
  </si>
  <si>
    <t>Zamora Rivera Patricio Eugenio</t>
  </si>
  <si>
    <t>14.213.580-9</t>
  </si>
  <si>
    <t>aleximedina783@gmail.com</t>
  </si>
  <si>
    <t>Medina Dominguez Alexi Vladimir</t>
  </si>
  <si>
    <t>16.348.663-6</t>
  </si>
  <si>
    <t>jonathan.bello8397@gmail.com</t>
  </si>
  <si>
    <t>jonathanbello.8397@gmail.com</t>
  </si>
  <si>
    <t>Bello Hernandez Jonathan Alejandro</t>
  </si>
  <si>
    <t>10.040.648-9</t>
  </si>
  <si>
    <t>juanmguerrerov@gmail.com</t>
  </si>
  <si>
    <t>Guerrero Vergara Juan Miguel</t>
  </si>
  <si>
    <t>11.182.489-4</t>
  </si>
  <si>
    <t>hernandezyohn1107@gmail.com</t>
  </si>
  <si>
    <t>Hernandez Duran Yohn Eduardo</t>
  </si>
  <si>
    <t>16.354.824-0</t>
  </si>
  <si>
    <t>anibales420@gmail.com</t>
  </si>
  <si>
    <t>Moncada Alarcón Anibal Eduardo</t>
  </si>
  <si>
    <t>11.294.095-2</t>
  </si>
  <si>
    <t>reyco2@gmail.com</t>
  </si>
  <si>
    <t>Candia Opazo Reinaldo Antonio</t>
  </si>
  <si>
    <t>Vigilante Privado</t>
  </si>
  <si>
    <t>Roberto Erwin Neira Saravia</t>
  </si>
  <si>
    <t>8.190.712-9</t>
  </si>
  <si>
    <t>samuelchavezsilva1958@gmail.com</t>
  </si>
  <si>
    <t>Chavez Silva Samuel Alberto</t>
  </si>
  <si>
    <t>10.792.976-2</t>
  </si>
  <si>
    <t>henrris.pastranaurra@gmail.com</t>
  </si>
  <si>
    <t>Pastrana Urra Henrris Hernan</t>
  </si>
  <si>
    <t>9.647.007-k</t>
  </si>
  <si>
    <t>Saldiasmardonesjuanrene@gmail.com</t>
  </si>
  <si>
    <t>Saldias Mardones Juan Rene</t>
  </si>
  <si>
    <t>16.872.446-2</t>
  </si>
  <si>
    <t>MOISE.CASTY@GMAIL.COM</t>
  </si>
  <si>
    <t>Castillo Gutierrez Moisés Aaron</t>
  </si>
  <si>
    <t>18.821.706-0</t>
  </si>
  <si>
    <t>y.neira.esc@gmail.com</t>
  </si>
  <si>
    <t>Neira Escobar Yordan Abraham</t>
  </si>
  <si>
    <t>9.517.256-3</t>
  </si>
  <si>
    <t>luis.monsalvevojs@gmail.com</t>
  </si>
  <si>
    <t>Monsalve Vojs Luis Alberto</t>
  </si>
  <si>
    <t>9.790.969-5</t>
  </si>
  <si>
    <t>joseluis.canales.jimenez@gmail.com</t>
  </si>
  <si>
    <t>Canales Jimenez Jose Luis</t>
  </si>
  <si>
    <t>7.124.442-3</t>
  </si>
  <si>
    <t>roberto_bizama@hotmail.com</t>
  </si>
  <si>
    <t>Bizama Monje Roberto Edmundo</t>
  </si>
  <si>
    <t>Yomero Descargador</t>
  </si>
  <si>
    <t>Victor Miguel Cifuentes Aravena</t>
  </si>
  <si>
    <t>10.028.039-6</t>
  </si>
  <si>
    <t>luisguardiola1966@gmail.com</t>
  </si>
  <si>
    <t>Guardiola Gonzalez Luis Ramon</t>
  </si>
  <si>
    <t>14.271.559-7</t>
  </si>
  <si>
    <t>juanyde@hotmail.es</t>
  </si>
  <si>
    <t>Eyde Suazo Juan Ernesto</t>
  </si>
  <si>
    <t>9.504.113-2</t>
  </si>
  <si>
    <t>pablocalera09@gmail.com</t>
  </si>
  <si>
    <t>Ramirez Vasquez Pablo Edgardo</t>
  </si>
  <si>
    <t>11.896.510-8</t>
  </si>
  <si>
    <t>serantonio1967@gmail.com</t>
  </si>
  <si>
    <t>Muñoz Fernandez Sergio Antonio</t>
  </si>
  <si>
    <t>16.328.931-8</t>
  </si>
  <si>
    <t>joel.ramos@orizon.cl</t>
  </si>
  <si>
    <t>joelo_r@live.cl</t>
  </si>
  <si>
    <t>Ramos Ibañez Joel Hernan</t>
  </si>
  <si>
    <t>10.346.348-3</t>
  </si>
  <si>
    <t>guillermoorizon@gmail.com</t>
  </si>
  <si>
    <t>Parra Calbul Jose Guillermo</t>
  </si>
  <si>
    <t>9.644.023-5</t>
  </si>
  <si>
    <t>misaelangel288@gmail.com</t>
  </si>
  <si>
    <t>Sanchez Bastias Misael Angel</t>
  </si>
  <si>
    <t>9.363.125-0</t>
  </si>
  <si>
    <t>bernardopilcante@gmail.com</t>
  </si>
  <si>
    <t>Pilcante Castillo Bernardo Tomas</t>
  </si>
  <si>
    <t>12.381.818-0</t>
  </si>
  <si>
    <t>alejandrosuarezb9@gmail.com</t>
  </si>
  <si>
    <t>Suarez Becerra Alejandro Patricio</t>
  </si>
  <si>
    <t>7.799.509-9</t>
  </si>
  <si>
    <t>edisonyevenes@gmail.com</t>
  </si>
  <si>
    <t>Yevenes Rodriguez Edison Hernan</t>
  </si>
  <si>
    <t>19.297.194-2</t>
  </si>
  <si>
    <t>dantesierra.96@gmail.com</t>
  </si>
  <si>
    <t>Sierra Ortiz Dante Alexander</t>
  </si>
  <si>
    <t>7.757.307-0</t>
  </si>
  <si>
    <t>jacaceresrozas@gmail.com</t>
  </si>
  <si>
    <t>Caceres Rozas Julio Alberto</t>
  </si>
  <si>
    <t>9.234.240-9</t>
  </si>
  <si>
    <t>hugoorlandoleivaaguayo@gmail.com</t>
  </si>
  <si>
    <t>Leiva Aguayo Hugo Orlando</t>
  </si>
  <si>
    <t>Usuario Externo</t>
  </si>
  <si>
    <t>13723430-0</t>
  </si>
  <si>
    <t>EST</t>
  </si>
  <si>
    <t>Alarcón Zapata Jorge Alejandro</t>
  </si>
  <si>
    <t>MANTENEDOR ELECTROCONTROL</t>
  </si>
  <si>
    <t>Juan Pablo Sánchez - Enzo Escobar</t>
  </si>
  <si>
    <t>Mantención Eléctrica</t>
  </si>
  <si>
    <t>Gerencia Corp. Seafood</t>
  </si>
  <si>
    <t>13311551-k</t>
  </si>
  <si>
    <t>Aravena Rain  Cristian Marcos</t>
  </si>
  <si>
    <t>MECANICO DE TURNO</t>
  </si>
  <si>
    <t>Luis Ramirez - Enzo Escobar</t>
  </si>
  <si>
    <t>Mantención Plantas</t>
  </si>
  <si>
    <t>19108549-3</t>
  </si>
  <si>
    <t>Bello Zapata Juan Ignacio</t>
  </si>
  <si>
    <t>DESPACHADOR LOGÍSTICO</t>
  </si>
  <si>
    <t>Jorge Miranda - Ivette Vergara</t>
  </si>
  <si>
    <t>Productos Terminados Conserva</t>
  </si>
  <si>
    <t>13956371-9</t>
  </si>
  <si>
    <t>Benavente Navarro César</t>
  </si>
  <si>
    <t>15756187-1</t>
  </si>
  <si>
    <t>Benavides Luna Rómulo</t>
  </si>
  <si>
    <t>MANTENEDOR MECÁNICO</t>
  </si>
  <si>
    <t>12923955-7</t>
  </si>
  <si>
    <t>Benítez Lara Jaime</t>
  </si>
  <si>
    <t>13974341-5</t>
  </si>
  <si>
    <t>Carvajal Acuña Sebastian Eduardo</t>
  </si>
  <si>
    <t>INSPECTOR TECNICO DE PROYECTOS- COQUIMBO</t>
  </si>
  <si>
    <t>Alvaro Iglesias- Eli Romo</t>
  </si>
  <si>
    <t>Ingenieria</t>
  </si>
  <si>
    <t>15943984-4</t>
  </si>
  <si>
    <t>Cid Otarola Maria Elena</t>
  </si>
  <si>
    <t>ASISTENTE SENIOR</t>
  </si>
  <si>
    <t>Mabel Poza - Pamela Elias</t>
  </si>
  <si>
    <t>Logística - Soporte y Control Operativo</t>
  </si>
  <si>
    <t>17288706-6</t>
  </si>
  <si>
    <t>Colivoro Uribe Jose</t>
  </si>
  <si>
    <t>ANALISTA PROGRAMADOR</t>
  </si>
  <si>
    <t>Fabian Bustos</t>
  </si>
  <si>
    <t>Gestión y Control de la Producción</t>
  </si>
  <si>
    <t>coronel</t>
  </si>
  <si>
    <t>19180153-9</t>
  </si>
  <si>
    <t>Cortes Sebastian</t>
  </si>
  <si>
    <t>ANALISTA MANTENIMIENTO</t>
  </si>
  <si>
    <t>Sebastian Olate - Enzo Escobar</t>
  </si>
  <si>
    <t>Planificación Mantención</t>
  </si>
  <si>
    <t>27555933-4</t>
  </si>
  <si>
    <t>Cueto Rojas Maria Jose</t>
  </si>
  <si>
    <t>ANALISTA DE MARKETING</t>
  </si>
  <si>
    <t>Rosario Bruno- Pamela Elias</t>
  </si>
  <si>
    <t>Marketing (Seafood)</t>
  </si>
  <si>
    <t>15529012-9</t>
  </si>
  <si>
    <t>Diaz Campos Cristian</t>
  </si>
  <si>
    <t>11683573-8</t>
  </si>
  <si>
    <t>Diaz Vinet Ricardo Alberto</t>
  </si>
  <si>
    <t>OPERADOR GRUA HORQUILLA</t>
  </si>
  <si>
    <t>Planta Harina y Blending</t>
  </si>
  <si>
    <t>20510099-7</t>
  </si>
  <si>
    <t>Espina  Espina Rodrigo Ignacio</t>
  </si>
  <si>
    <t>INGENIERO PLANIFICADOR JR</t>
  </si>
  <si>
    <t>Elba Fredes</t>
  </si>
  <si>
    <t>Planificación Frutas y Verduras</t>
  </si>
  <si>
    <t>19812833-3</t>
  </si>
  <si>
    <t>Fica Valdebenito Francisca</t>
  </si>
  <si>
    <t>APOYO DESARROLLO ORGANIZACIONAL</t>
  </si>
  <si>
    <t>Tatiana Catalán</t>
  </si>
  <si>
    <t>Desarrollo Organizacional</t>
  </si>
  <si>
    <t>25607065-0</t>
  </si>
  <si>
    <t>Finol Mengual Angela</t>
  </si>
  <si>
    <t>COMRPRADOR DE SERVICIOS</t>
  </si>
  <si>
    <t>Andres Morales</t>
  </si>
  <si>
    <t>Abastecimiento Servicios</t>
  </si>
  <si>
    <t>16347769-6</t>
  </si>
  <si>
    <t>Flores Segura Felipe Israel</t>
  </si>
  <si>
    <t>MECÁNICO DE TURNO</t>
  </si>
  <si>
    <t>19121011-5</t>
  </si>
  <si>
    <t>Fuentealba Aguayo Arlyn Judith</t>
  </si>
  <si>
    <t>MONITOR DE PROCESOS</t>
  </si>
  <si>
    <t>Larisa Burgos</t>
  </si>
  <si>
    <t>Gestión Integrada y Calidad (Consumo Humano)</t>
  </si>
  <si>
    <t>19799192-5</t>
  </si>
  <si>
    <t>Guevara Parra Diego Alonso</t>
  </si>
  <si>
    <t>ELECTRICO DE TURNO</t>
  </si>
  <si>
    <t>12529467-7</t>
  </si>
  <si>
    <t>Henriquez Lagos Nicolas Eliseo</t>
  </si>
  <si>
    <t>OPERADOR ELABORACION PHP</t>
  </si>
  <si>
    <t>12926052-1</t>
  </si>
  <si>
    <t>Hernández Hernández Fabián</t>
  </si>
  <si>
    <t>18137625-2</t>
  </si>
  <si>
    <t>Herrera Carrasco Jean</t>
  </si>
  <si>
    <t>16599294-6</t>
  </si>
  <si>
    <t>Jimenez Grez  Paulina Andrea</t>
  </si>
  <si>
    <t>COORDINADOR(A) LABORATORIO PRODUCTO FINAL</t>
  </si>
  <si>
    <t>Gestión Integrada y Calidad (Comercial)</t>
  </si>
  <si>
    <t>11572728-1</t>
  </si>
  <si>
    <t>Lara Contreras Eliana Jacqueline</t>
  </si>
  <si>
    <t>AUXILIAR ASEO</t>
  </si>
  <si>
    <t>13727178-8</t>
  </si>
  <si>
    <t>Mardones Nova Gabriel</t>
  </si>
  <si>
    <t>19297636-7</t>
  </si>
  <si>
    <t>Medina Ancamán Yerko</t>
  </si>
  <si>
    <t>20019547-7</t>
  </si>
  <si>
    <t>Mendoza Hidalgo Sebastian Andres</t>
  </si>
  <si>
    <t>MOTORISTA</t>
  </si>
  <si>
    <t>Jorge Buzeta</t>
  </si>
  <si>
    <t>Flota</t>
  </si>
  <si>
    <t>18821635-8</t>
  </si>
  <si>
    <t>Mora Salinas Fernando Miguel</t>
  </si>
  <si>
    <t>20830689-8</t>
  </si>
  <si>
    <t>Muñoz Quintana Magdalena Ignacia</t>
  </si>
  <si>
    <t>INGENIERO PROYECTO TRAZABILIDAD</t>
  </si>
  <si>
    <t>Pamela Borquez</t>
  </si>
  <si>
    <t>Gestión Integrada, Calidad y Certificaciones Seafood</t>
  </si>
  <si>
    <t>20868591-0</t>
  </si>
  <si>
    <t>Navarrete Pinto Kevin</t>
  </si>
  <si>
    <t>19799962-4</t>
  </si>
  <si>
    <t>Ortega Torres Sebastián Ignacio</t>
  </si>
  <si>
    <t>ASISTENTE PRODUCCION</t>
  </si>
  <si>
    <t>Planta Consumo Humano</t>
  </si>
  <si>
    <t>16012172-6</t>
  </si>
  <si>
    <t>Peralta Sandoval  Danilo</t>
  </si>
  <si>
    <t>19508172-7</t>
  </si>
  <si>
    <t>Pérez  Bello Sebastian Andres</t>
  </si>
  <si>
    <t>18833082-7</t>
  </si>
  <si>
    <t>Pernas Morgado Daniel Sebastian Andres</t>
  </si>
  <si>
    <t>ASISTENTE CREDITO Y COBRANZA</t>
  </si>
  <si>
    <t>Pamela Elias -  Brian Olea</t>
  </si>
  <si>
    <t>Credito y Cobranza</t>
  </si>
  <si>
    <t>13108553-2</t>
  </si>
  <si>
    <t>Puentes Victoriano Juan Carlos</t>
  </si>
  <si>
    <t>14211835-1</t>
  </si>
  <si>
    <t>Reinoso Reinoso Raúl</t>
  </si>
  <si>
    <t>19139174-8</t>
  </si>
  <si>
    <t>Rivas Henriquez Francisco Gabriel</t>
  </si>
  <si>
    <t>17116768-k</t>
  </si>
  <si>
    <t>Rodriguez  Urrea Jorge Antonio</t>
  </si>
  <si>
    <t>17845204-5</t>
  </si>
  <si>
    <t>Salamanca Oñate Eduardo Alexis</t>
  </si>
  <si>
    <t>16328477-4</t>
  </si>
  <si>
    <t>Sánchez Guajardo  Williams Harold</t>
  </si>
  <si>
    <t>12303616-6</t>
  </si>
  <si>
    <t>Sanhueza Peña Victor Enrique</t>
  </si>
  <si>
    <t>16348085-9</t>
  </si>
  <si>
    <t>Solar Quian Alejandro</t>
  </si>
  <si>
    <t>17444680-6</t>
  </si>
  <si>
    <t>Trigo Meza Leandro</t>
  </si>
  <si>
    <t>19531159-5</t>
  </si>
  <si>
    <t>Troncoso Fuentes Victor</t>
  </si>
  <si>
    <t>17572986-0</t>
  </si>
  <si>
    <t>Urzúa Riveros Adriana Katherine</t>
  </si>
  <si>
    <t>ASISTENTE LOGISTICO</t>
  </si>
  <si>
    <t>14502748-9</t>
  </si>
  <si>
    <t>Vargas  Time Pamela</t>
  </si>
  <si>
    <t>BRAND MANAGER</t>
  </si>
  <si>
    <t>Diana Reinoso</t>
  </si>
  <si>
    <t>Marketing (Foods y Representaciones)</t>
  </si>
  <si>
    <t>19800022-1</t>
  </si>
  <si>
    <t>Venturelli Quiroz Jorge</t>
  </si>
  <si>
    <t>16504102-K</t>
  </si>
  <si>
    <t>Vergara Monsalves Norma Caterine</t>
  </si>
  <si>
    <t>ANALISTA DE CALIDAD</t>
  </si>
  <si>
    <t>Loreto San Martin</t>
  </si>
  <si>
    <t>Desarrollo y Business Intelligence (Calidad Comercial)</t>
  </si>
  <si>
    <t>19087375-7</t>
  </si>
  <si>
    <t>Yañez  Nicolas</t>
  </si>
  <si>
    <t>Número</t>
  </si>
  <si>
    <t xml:space="preserve">Nombre </t>
  </si>
  <si>
    <t>Área</t>
  </si>
  <si>
    <t>Contrato</t>
  </si>
  <si>
    <t>Nómina</t>
  </si>
  <si>
    <t>Gerencia Corporativa</t>
  </si>
  <si>
    <t xml:space="preserve">Lugar </t>
  </si>
  <si>
    <t>Tipo Contratación</t>
  </si>
  <si>
    <t>Ingreso</t>
  </si>
  <si>
    <t>Razón</t>
  </si>
  <si>
    <t>Ficha</t>
  </si>
  <si>
    <t>E-mail</t>
  </si>
  <si>
    <t xml:space="preserve">Fecha </t>
  </si>
  <si>
    <t xml:space="preserve">Canal </t>
  </si>
  <si>
    <t>Consulta</t>
  </si>
  <si>
    <t>Observación</t>
  </si>
  <si>
    <t>Respuesta</t>
  </si>
  <si>
    <t>Estado</t>
  </si>
  <si>
    <t>Oficina</t>
  </si>
  <si>
    <t>Beneficios</t>
  </si>
  <si>
    <t>Inscripción Navidad</t>
  </si>
  <si>
    <t>Cerrado</t>
  </si>
  <si>
    <t>Asistencia</t>
  </si>
  <si>
    <t>Accidente leve</t>
  </si>
  <si>
    <t>Derivado a SST</t>
  </si>
  <si>
    <t>Vestimenta y EPP</t>
  </si>
  <si>
    <t>Reserva por LM</t>
  </si>
  <si>
    <t>Asignación Familiar</t>
  </si>
  <si>
    <t>Correo enviado</t>
  </si>
  <si>
    <t>Cambio Talla</t>
  </si>
  <si>
    <t>Teléfono</t>
  </si>
  <si>
    <t>Incorporar carga</t>
  </si>
  <si>
    <t>Solicita mochila</t>
  </si>
  <si>
    <t>Buk</t>
  </si>
  <si>
    <t>Reclutamiento y Selección</t>
  </si>
  <si>
    <t>Seguro de Salud</t>
  </si>
  <si>
    <t>Consulta por tripulante Felix Toledo</t>
  </si>
  <si>
    <t>Documentos</t>
  </si>
  <si>
    <t>Solicitud agenda Nutrisco Chile</t>
  </si>
  <si>
    <t>Finiquito</t>
  </si>
  <si>
    <t>Transferencia realizada</t>
  </si>
  <si>
    <t>No puede ingresar link regalo</t>
  </si>
  <si>
    <t>Remuneraciones</t>
  </si>
  <si>
    <t>Cambio cuenta bancaria</t>
  </si>
  <si>
    <t>Cargar en Buk</t>
  </si>
  <si>
    <t>Contrato cargado Milton y Dieter ok</t>
  </si>
  <si>
    <t>17228845-6</t>
  </si>
  <si>
    <t>Cambio realizado</t>
  </si>
  <si>
    <t>No puede marcar</t>
  </si>
  <si>
    <t>Derivado a control tiempo</t>
  </si>
  <si>
    <t>Incorporación de carga</t>
  </si>
  <si>
    <t xml:space="preserve">Pendiente documentación trbajador </t>
  </si>
  <si>
    <t>Abierto</t>
  </si>
  <si>
    <t>No puede marcar reloj de la consera</t>
  </si>
  <si>
    <t>Seguira marcando en reloj del hall</t>
  </si>
  <si>
    <t>Trabajador informa de ausencia por asalto mientras iba a tomar  transporte</t>
  </si>
  <si>
    <t xml:space="preserve">PSG ,dja constacia en carabineros </t>
  </si>
  <si>
    <t>Trabajador informa que aplicación de buk le señala Adriana Katherine</t>
  </si>
  <si>
    <t>Entrega documeto  por inasistencia</t>
  </si>
  <si>
    <t>Pendiente Jonathan Mella</t>
  </si>
  <si>
    <t>Credencial</t>
  </si>
  <si>
    <t>Solicita Credencial para su equipo, no hay impresora</t>
  </si>
  <si>
    <t>Esperar a que lleguen insumos y actualizar sus fotos de equipo</t>
  </si>
  <si>
    <t>Solicita informacion de beneficios y incorporacion del seguro</t>
  </si>
  <si>
    <t>se envio informacion para incorporacion a euroamerica</t>
  </si>
  <si>
    <t>cambio de talla</t>
  </si>
  <si>
    <t>Consulta por personal de reclutamiento</t>
  </si>
  <si>
    <t>Se indica correo de reclutamiento</t>
  </si>
  <si>
    <t>consulta por practica laboral</t>
  </si>
  <si>
    <t>Derivado a Karina Cruces</t>
  </si>
  <si>
    <t>Acceso portal Mirax, elección de regalo</t>
  </si>
  <si>
    <t>Enviar correo a personas.biobio@nutrisco.com</t>
  </si>
  <si>
    <t>Horas extras y cambio de empresa</t>
  </si>
  <si>
    <t>enviada la informacion de las horas y cambio de empresa EST</t>
  </si>
  <si>
    <t>Despacharon antes y requiere saber si puede esperar el movil</t>
  </si>
  <si>
    <t>Derivada al encargado de transporte Ruben Montaña</t>
  </si>
  <si>
    <t>19521124-8</t>
  </si>
  <si>
    <t xml:space="preserve">sepulveda flores franco </t>
  </si>
  <si>
    <t xml:space="preserve">Aspirante a tripulante </t>
  </si>
  <si>
    <t>francoe.sflores@gmail.com</t>
  </si>
  <si>
    <t>Activacion de cuenta y firna de documentos</t>
  </si>
  <si>
    <t xml:space="preserve">activacion y firma de documentos </t>
  </si>
  <si>
    <t>recuperacion de codigo ropa</t>
  </si>
  <si>
    <t>Desbloquear reserva caducada</t>
  </si>
  <si>
    <t>Declaración de opción de exención de cotizar</t>
  </si>
  <si>
    <t xml:space="preserve">Entrega de documento medico por falta de día 23 de octubre </t>
  </si>
  <si>
    <t>Consulta por descanso cuando trabaja el domingo</t>
  </si>
  <si>
    <t>Se le indica que como no debe hacer 7 dias seguidos trabajando debe descansar antes.</t>
  </si>
  <si>
    <t>Consulta por numero de reserva</t>
  </si>
  <si>
    <t>Derivado a Rachel</t>
  </si>
  <si>
    <t>Consulta como ver regalos de navidad</t>
  </si>
  <si>
    <t xml:space="preserve">Se entrega información y se guia para acceder a pagina </t>
  </si>
  <si>
    <t>Consulta horario de ejecutiva euroamerica</t>
  </si>
  <si>
    <t>Vacaciones</t>
  </si>
  <si>
    <t>Consulta cobertura FALP</t>
  </si>
  <si>
    <t>Se deriva a ejecutiva FALP</t>
  </si>
  <si>
    <t>Enviado</t>
  </si>
  <si>
    <t>Consulta por Buk y documentos pendientes</t>
  </si>
  <si>
    <t>Documentos firmados y activacion de Buk</t>
  </si>
  <si>
    <t>Enviando a CCAF</t>
  </si>
  <si>
    <t>Consulta por stock y fecha de entrega pendiente para motoristas</t>
  </si>
  <si>
    <t>Solicita cambiar datos de contacto</t>
  </si>
  <si>
    <t xml:space="preserve">Deriado a Reclutamiento y selección </t>
  </si>
  <si>
    <t>Informa que durante los dias 22,23,24 de octubre no marco por que estaba trabajando en coquimbo</t>
  </si>
  <si>
    <t>Consulta si llego documento de caja 18</t>
  </si>
  <si>
    <t>Confirma que ya esta ok</t>
  </si>
  <si>
    <t>Documento permiso</t>
  </si>
  <si>
    <t xml:space="preserve">Informa que no pdo presentarse a trabajar el dia sábado </t>
  </si>
  <si>
    <t>Se deriva a reclutamiento@nutrisco.com</t>
  </si>
  <si>
    <t>Se deriva al area de reclutamiento</t>
  </si>
  <si>
    <t xml:space="preserve">Solicita cambio de talla </t>
  </si>
  <si>
    <t>Solicita cambio de talla</t>
  </si>
  <si>
    <t>Se entrega Lanyard</t>
  </si>
  <si>
    <t>solicitud de firma PAD fonasa</t>
  </si>
  <si>
    <t>Consulta por desgloce de permisos en buk</t>
  </si>
  <si>
    <t>Derivada Reclutamiento</t>
  </si>
  <si>
    <t>Trabajador indica que no tiene marcas de ingreso y salida dia 2 de octubre, pero si asistio a trabajar</t>
  </si>
  <si>
    <t>Derivado a encargado empresa transitoria</t>
  </si>
  <si>
    <t>Trabajador no puede ingresar aplicación</t>
  </si>
  <si>
    <t xml:space="preserve">Se le guia para cambiar contraseña </t>
  </si>
  <si>
    <t>Se firma documentos PAD Fonasa Linda</t>
  </si>
  <si>
    <t>Vacaciones progresivas</t>
  </si>
  <si>
    <t>Enviado a remu</t>
  </si>
  <si>
    <t>Seguro de Salud, documento incorporación</t>
  </si>
  <si>
    <t>Se entrega documento</t>
  </si>
  <si>
    <t>Consulta por finiquito de su padre que trabajo en el 2021(flota) Luis Peña (RUT: 6.908.624-1)</t>
  </si>
  <si>
    <t>Se le indica que se revisara la información y le informaremos pasos a seguir</t>
  </si>
  <si>
    <t>Firma  Bono PAD</t>
  </si>
  <si>
    <t>Licencia Médica</t>
  </si>
  <si>
    <t>Consulta para acceder a Permiso Postnatal Parental Completo</t>
  </si>
  <si>
    <t>Se le indica como obtener documentación para que presente en la empresa</t>
  </si>
  <si>
    <t>Solicita copia de finiquito</t>
  </si>
  <si>
    <t>Samuel Fuentealba</t>
  </si>
  <si>
    <t>solicita informacion respecto a prestamos para construccion de vivienda</t>
  </si>
  <si>
    <t>se deriva con Marlene Cartes</t>
  </si>
  <si>
    <t>Solicita firma de apelacion mutual a experto SST</t>
  </si>
  <si>
    <t>Se deriva a SST</t>
  </si>
  <si>
    <t>Solicita n° reserva</t>
  </si>
  <si>
    <t>Entregado</t>
  </si>
  <si>
    <t>Solicita revisar asistencia</t>
  </si>
  <si>
    <t>Se informa que no tiene compensado</t>
  </si>
  <si>
    <t>Informa que no marco entrada, pero si la salida</t>
  </si>
  <si>
    <t>Estefi valida asistencia con supervisor</t>
  </si>
  <si>
    <t>Consulta por telefono de ejecutiva de seguro</t>
  </si>
  <si>
    <t>Se deriva a correo de Karen Anacona</t>
  </si>
  <si>
    <t>Consulta por finiquito Jonathan Delgado</t>
  </si>
  <si>
    <t>Se entrega copia</t>
  </si>
  <si>
    <t>Firma pendiente</t>
  </si>
  <si>
    <t>Consulta por asistencia</t>
  </si>
  <si>
    <t>Estefi indica que se encuentra ok</t>
  </si>
  <si>
    <t>Bonos de Fisherman</t>
  </si>
  <si>
    <t>Cargar Anexo bonos</t>
  </si>
  <si>
    <t>Indica que no marco la entrada pero si salida</t>
  </si>
  <si>
    <t>Se entrega formularios para actualizar carga familiar y se presenta a su coordinador</t>
  </si>
  <si>
    <t>Acceso y Ingresos de personal EST- Sin creacion en pronexo</t>
  </si>
  <si>
    <t>Se esta gestionando y creando personal en pronexo por parte de la EST</t>
  </si>
  <si>
    <t xml:space="preserve">Ingreso de trabajador EST- </t>
  </si>
  <si>
    <t>se gestiono la autorizacion de ingreso, mientras se regulariza la activacion de pronexo</t>
  </si>
  <si>
    <t>informa y deja LM</t>
  </si>
  <si>
    <t xml:space="preserve">se recibe </t>
  </si>
  <si>
    <t>firma de documentos y activacion de buk- incorporacion al seguro de salud</t>
  </si>
  <si>
    <t>se activa y entrega informacion</t>
  </si>
  <si>
    <t>consultan por su renovacion en EST</t>
  </si>
  <si>
    <t>se le informo que supervisor debe entregar esa informacion</t>
  </si>
  <si>
    <t>Trabajador solicita que se envie documentacion a caja 18 para tramites de asignación familiar</t>
  </si>
  <si>
    <t>Documentación enviada a caja</t>
  </si>
  <si>
    <t>Trabajador indica que no marco ingreso de hoy</t>
  </si>
  <si>
    <t xml:space="preserve">Trabajador solicita que se le explique como se pagaran los bonos </t>
  </si>
  <si>
    <t xml:space="preserve">Se explica y se le indica que debe hablar co su superisor en caso de dudas posteriores </t>
  </si>
  <si>
    <t xml:space="preserve">Envia documentación para postular </t>
  </si>
  <si>
    <t>Derivado a reclutamiento y selección</t>
  </si>
  <si>
    <t>Informacion sobre fallecimiento de trabajadora</t>
  </si>
  <si>
    <t>Entrega de documentación para asignación familiar</t>
  </si>
  <si>
    <t>Pendiente de envio a caja</t>
  </si>
  <si>
    <t>Iforma de fallecimiento de madre de trabajadora Aurelia Cabezas</t>
  </si>
  <si>
    <t xml:space="preserve">Pediente de certificado de defunción para informar de pcg a remuneraciones </t>
  </si>
  <si>
    <t xml:space="preserve">Solicita información y talonarios para poder amonestar por escrito a trabajador </t>
  </si>
  <si>
    <t>Se entrega formulario y reglamento intero para que pueda curzar cata de amonestación</t>
  </si>
  <si>
    <t>o puede ingresar a buk, no recuerda clave</t>
  </si>
  <si>
    <t xml:space="preserve">Se trata de recuperar clave pero no es posible por el internet no funciona bien, regresara  en caso de que o pueda seguir los pasos informados </t>
  </si>
  <si>
    <t>Trabajador consulta por finiquito</t>
  </si>
  <si>
    <t>Se informa que ya esta en notaria su finiquito y que se puede acercar a regularizar</t>
  </si>
  <si>
    <t xml:space="preserve">Trabajador con fuero maternal consulta si debe trabajar feriados </t>
  </si>
  <si>
    <t xml:space="preserve">Se informa a trabajador que feriado no trabaja </t>
  </si>
  <si>
    <t>Cambiar foto</t>
  </si>
  <si>
    <t>No conforme con bono</t>
  </si>
  <si>
    <t>Anticipo descontado y no pagado</t>
  </si>
  <si>
    <t>Dia descontado</t>
  </si>
  <si>
    <t>stefy enviara correo por la falla</t>
  </si>
  <si>
    <t>Gratificacion legal</t>
  </si>
  <si>
    <t>Horas extras pendientes del 21 al 31 octubre - andres fernandez</t>
  </si>
  <si>
    <t>revisa la informacion y confirma horas pendientes</t>
  </si>
  <si>
    <t>No conforme con baja de desvinculación</t>
  </si>
  <si>
    <t>Certificado AFP Exención</t>
  </si>
  <si>
    <t xml:space="preserve">Actualizacion de foto de perfil en buk </t>
  </si>
  <si>
    <t>se saco foto y actualizo</t>
  </si>
  <si>
    <t>justificativo medico por usencias del 31,10,2025</t>
  </si>
  <si>
    <t>entrego justificado por enfermedad del hijo</t>
  </si>
  <si>
    <t>solicitud de anticipo</t>
  </si>
  <si>
    <t>se envio un correo con solictud y se aprobo por remuneraciones</t>
  </si>
  <si>
    <t>Consulta por su cambio de cargo y remuneracion y actualizacion de informacion personal en buk</t>
  </si>
  <si>
    <t>se entrego infromacion pertienente sobre lo solicitante</t>
  </si>
  <si>
    <t>Consulta por "reembolso de licencia clase D"</t>
  </si>
  <si>
    <t>Consulta por fiesta de navidad y nietos</t>
  </si>
  <si>
    <t xml:space="preserve">Consulta por perfil de cargo que no correspode con sus labores </t>
  </si>
  <si>
    <t xml:space="preserve">Se le india que se levantara tema con jefatura </t>
  </si>
  <si>
    <t xml:space="preserve">Atrasos reiterados </t>
  </si>
  <si>
    <t xml:space="preserve">Se reafirma horarios de ingresos </t>
  </si>
  <si>
    <t>Consulta por pago de dias de inducción</t>
  </si>
  <si>
    <t>Se le indica queen esta temporada no habra pago por inducción</t>
  </si>
  <si>
    <t>tramitacion seguro salud</t>
  </si>
  <si>
    <t>tramite realizado por whatsapp</t>
  </si>
  <si>
    <t>Consulta  por firma de documentación en buk</t>
  </si>
  <si>
    <t xml:space="preserve">Se apoya a trabajador para firmar documento pendiente </t>
  </si>
  <si>
    <t xml:space="preserve">Indica que codigo qr de reclutamiento no funcina </t>
  </si>
  <si>
    <t>Se envia datos a relutamiento para que lo puedan getionar</t>
  </si>
  <si>
    <t>Consulta bono nacimiento</t>
  </si>
  <si>
    <t>Trabajador indica que no esta su licencia tramitada</t>
  </si>
  <si>
    <t>Se direcciona a responsable para que realice tramitación</t>
  </si>
  <si>
    <t>Trabajador indica que presentara justificativo medico por las faltas</t>
  </si>
  <si>
    <t xml:space="preserve">A la espera de documento </t>
  </si>
  <si>
    <t>Trabajador indica que no se ha presetado por temas familiares, indica que renunciara</t>
  </si>
  <si>
    <t xml:space="preserve">A la espera de carta de renuncia de trabajador </t>
  </si>
  <si>
    <t>Consulta como hacer para actualizar datos de cotacto</t>
  </si>
  <si>
    <t>Se direcciona a área de reclutamiento</t>
  </si>
  <si>
    <t>Se contacta a trabajador para informar que documentación es devuuelta por caja ya que aun aparecen como carga de su esposa</t>
  </si>
  <si>
    <t>Trabajador pasara por documentos para gestionar directamente en caja 18</t>
  </si>
  <si>
    <t>Ex trabajador indica que quiere actiualizar datos  de contacto</t>
  </si>
  <si>
    <t>Trabajador indiaca que cambio celular y quiere confirmar su asistencia ya que no podra ver sus correos</t>
  </si>
  <si>
    <t xml:space="preserve">Se le indica que, aun que haya cambiado su telefono los correos de entrada y salida le llegaran igual a su correo </t>
  </si>
  <si>
    <t xml:space="preserve">Nos entrega documento d atención de urgencias para justificar asencia </t>
  </si>
  <si>
    <t>Se le indica que seran fallas pero, justificadas</t>
  </si>
  <si>
    <t>Consulta por ingreso y postulacion Sergio Medina</t>
  </si>
  <si>
    <t>Se envía correo informando a R&amp;S</t>
  </si>
  <si>
    <t>Licencia le falta el timbre del dr.</t>
  </si>
  <si>
    <t>Finiquito por fallecimiento Estefania Saez (Familia)</t>
  </si>
  <si>
    <t>Indica que no registro marca de entrada</t>
  </si>
  <si>
    <t>Se solicita realizar marca de entrada</t>
  </si>
  <si>
    <t>Entrega LM esposa Fabiola Leal</t>
  </si>
  <si>
    <t>Consulta por unas horas extras pendientes- Eduard aguilar- 13108733-0</t>
  </si>
  <si>
    <t>se envio correo informando horax extras pendientes</t>
  </si>
  <si>
    <t>Consulta por unas horas extras pendientes- Andres fernandez - 13108733-1</t>
  </si>
  <si>
    <t xml:space="preserve">consulta por solictud de finiquito de temporada anterior </t>
  </si>
  <si>
    <t>enviara un correo solicitando la informacion de finiquito</t>
  </si>
  <si>
    <t xml:space="preserve">Dudas con el contrato y funciones especificas </t>
  </si>
  <si>
    <t xml:space="preserve">Informacion aclarada e informada </t>
  </si>
  <si>
    <t xml:space="preserve">Entregar documento de permiso </t>
  </si>
  <si>
    <t>recepcionado</t>
  </si>
  <si>
    <t>consulta por anticipo permanente</t>
  </si>
  <si>
    <t>Enviar correo a remuneraciones y atencion personas</t>
  </si>
  <si>
    <t>consulta por movilizacion no cancelada</t>
  </si>
  <si>
    <t>se gestiona informacion por EST</t>
  </si>
  <si>
    <t>Se informa codigo</t>
  </si>
  <si>
    <t>cambio cuenta bancaria</t>
  </si>
  <si>
    <t>Valentina Diaz</t>
  </si>
  <si>
    <t>Informa que esta marcando entrada y salida en reloj de edificio oriente</t>
  </si>
  <si>
    <t>Consulta por unas horas extras pendientes- Larry Bravo - 13108733-1</t>
  </si>
  <si>
    <t>Firma de documentos</t>
  </si>
  <si>
    <t>Se enseña a firmar</t>
  </si>
  <si>
    <t>Consulta si se pagaran los dias de inducción</t>
  </si>
  <si>
    <t xml:space="preserve">Se le indica que esta temporada no se pagaran los dias de inducción </t>
  </si>
  <si>
    <t>Trabajador os indica que sera vocal de mesa</t>
  </si>
  <si>
    <t xml:space="preserve">Se le indica que se le otorga permiso pagado </t>
  </si>
  <si>
    <t>Solicita apoyo para eleccion de regalo</t>
  </si>
  <si>
    <t>Solicita cambio de cuenta bancaria</t>
  </si>
  <si>
    <t>Se realiza cambio</t>
  </si>
  <si>
    <t xml:space="preserve">Consulta por credencial, ya que se la solicitan en turno de noche para guardar autos  en estacinamiento plata </t>
  </si>
  <si>
    <t xml:space="preserve">Se le indica que estamos a la espera de impresora para poder entregar credenciales y que el tema del estacionamiento debe caalizarlo mediante su jefatura </t>
  </si>
  <si>
    <t>consulta por pago de charla de induccion</t>
  </si>
  <si>
    <t xml:space="preserve">se le informo que no se paga la charla de induccion </t>
  </si>
  <si>
    <t>Consulta por ingreso y postulacion</t>
  </si>
  <si>
    <t>Se deriva a R&amp;S</t>
  </si>
  <si>
    <t>Se devuelve carga familiar para que tramite directo el trabajador</t>
  </si>
  <si>
    <t>Kevin Sanhueza sin contrato desde 31-10</t>
  </si>
  <si>
    <t>Fotografía</t>
  </si>
  <si>
    <t>Actualiza foto</t>
  </si>
  <si>
    <t>Solicita información para enviar certificado de vacaciones progresivas</t>
  </si>
  <si>
    <t>Enviar a correo de atencion personas</t>
  </si>
  <si>
    <t>Solicita información de estado de solicitud realizada en septiembre y derivada a Felipe Guerra</t>
  </si>
  <si>
    <t>Se consulta por estado de solicitud</t>
  </si>
  <si>
    <t>No llega correo de marca</t>
  </si>
  <si>
    <t>Se informa a Alberto Romero</t>
  </si>
  <si>
    <t>17.343.575-4</t>
  </si>
  <si>
    <t>Cuevas Azua Luis Andres</t>
  </si>
  <si>
    <t>solicita envio de su finiquito</t>
  </si>
  <si>
    <t>se envia por correo lo solicitado</t>
  </si>
  <si>
    <t>firmar documentos</t>
  </si>
  <si>
    <t>solicita anexo de continuidad</t>
  </si>
  <si>
    <t>consulta sobre su cambio de Orizon</t>
  </si>
  <si>
    <t>Indica que le falta la reserva de buzo, jockey y pantalones</t>
  </si>
  <si>
    <t>Consulta por finiquito que no lo han informado</t>
  </si>
  <si>
    <t>Se deriva a Jony</t>
  </si>
  <si>
    <t>Actualiza domicilio y anexo de embarazo</t>
  </si>
  <si>
    <t>Firma de contrato</t>
  </si>
  <si>
    <t>Consulta si llego licenica medica</t>
  </si>
  <si>
    <t xml:space="preserve">Solicita opia de su fiiquito </t>
  </si>
  <si>
    <t>Consulta por bonos de fisherman</t>
  </si>
  <si>
    <t xml:space="preserve">Fotografia </t>
  </si>
  <si>
    <t xml:space="preserve">Consulta como se puede postular para trabajar en wr </t>
  </si>
  <si>
    <t xml:space="preserve">Se le indica area correspondiente , para que envie datos </t>
  </si>
  <si>
    <t xml:space="preserve">Trabajador informa de su embarazo </t>
  </si>
  <si>
    <t xml:space="preserve">Se le infoma que se generara un anexo de embarazo y se le indican sus horarios </t>
  </si>
  <si>
    <t>Trabajador indica que para diciembre estaria disponible para poder trabajar</t>
  </si>
  <si>
    <t>Trabajador envia licencia medica</t>
  </si>
  <si>
    <t>Trabajador consulta como cambiar clave de buk</t>
  </si>
  <si>
    <t>Trabajador consulta por sistencia en buk</t>
  </si>
  <si>
    <t>Trabajador consulta por su finiquito</t>
  </si>
  <si>
    <t xml:space="preserve">SE LE INDICA QUE ENTRE LUNES O MARTES ETSRA SU FINIQUITO EN NOTARIA </t>
  </si>
  <si>
    <t xml:space="preserve">Trabajador consulta uando la eniaran hacer examenes preocupacionales de mutual </t>
  </si>
  <si>
    <t>Se le deriba al .área de reclutamiento</t>
  </si>
  <si>
    <t>presenta certificado de embarazo</t>
  </si>
  <si>
    <t>actualiza foto</t>
  </si>
  <si>
    <t>informa que es vocal de mesa</t>
  </si>
  <si>
    <t>Consulta por pago de afc</t>
  </si>
  <si>
    <t>Viene a retirar su regalo de cumpleaños</t>
  </si>
  <si>
    <t>Informa que en la mañana no marco entrada</t>
  </si>
  <si>
    <t>cerrado</t>
  </si>
  <si>
    <t>Indica que esta con permiso para llegar mas tarde por tramites</t>
  </si>
  <si>
    <t>Solicita formularios para carga familiar</t>
  </si>
  <si>
    <t xml:space="preserve">Informa que mañana estara con permiso </t>
  </si>
  <si>
    <t>Migración</t>
  </si>
  <si>
    <t xml:space="preserve">Informa de cambios de turno de personal de descarga </t>
  </si>
  <si>
    <t>Indica que marco un poco mas tarde por tramites, esta postulando a calidad</t>
  </si>
  <si>
    <t>Consulta por dia de descaso al trabajar un domingo</t>
  </si>
  <si>
    <t>Consulta por grueros Clase D</t>
  </si>
  <si>
    <t>Maria Teresa Vasquez</t>
  </si>
  <si>
    <t>Contrato Extranjero</t>
  </si>
  <si>
    <t>Se deriva a remuneraciones</t>
  </si>
  <si>
    <t>Informa quefue vocal de mesa</t>
  </si>
  <si>
    <t>Indica que el turno de noche no le marco el reloj</t>
  </si>
  <si>
    <t>Solicita Liquidacion de sueldo octubre</t>
  </si>
  <si>
    <t>Ropa pendiente de enviar a coronel y ser devuelta a bodega.</t>
  </si>
  <si>
    <t>Se indica que debe enviar con Valija de Ramón Andrade</t>
  </si>
  <si>
    <t>Solicita apoyo para cargar documento de seguro</t>
  </si>
  <si>
    <t>Refiere que le llego correo de atraso de jornada</t>
  </si>
  <si>
    <t>Se informa a control tiempo</t>
  </si>
  <si>
    <t>cambio de cuenta bancaria</t>
  </si>
  <si>
    <t xml:space="preserve">Nos entrega documenos medico por inasistencia del dia de ayer </t>
  </si>
  <si>
    <t>consulta como postular</t>
  </si>
  <si>
    <t>Consulta por citación a inducción cuando ya esta trabajando</t>
  </si>
  <si>
    <t>solicita actualizar numero de contacto</t>
  </si>
  <si>
    <t>Consulta por visita de agente euroamerica</t>
  </si>
  <si>
    <t>Indica que llego a planta para informar a Estefi</t>
  </si>
  <si>
    <t>consulta por marcacion de dia 14,11</t>
  </si>
  <si>
    <t>recuperar contraseña buk</t>
  </si>
  <si>
    <t xml:space="preserve">Actualiza Foto </t>
  </si>
  <si>
    <t>Solicitud de vacaciones</t>
  </si>
  <si>
    <t>Consulta por monto de valor de bonos de cajas de produccion</t>
  </si>
  <si>
    <t>se aclara y entrega informacion</t>
  </si>
  <si>
    <t>solicita copia de su finiquito</t>
  </si>
  <si>
    <t>Se le preguntara a su supervisor su asistencia</t>
  </si>
  <si>
    <t>Se le recomienda enviar un correo para mejor respuesta</t>
  </si>
  <si>
    <t>Paulette Cerda</t>
  </si>
  <si>
    <t xml:space="preserve">consulta si se soluciono el tema de su asitencia por perdida del bus </t>
  </si>
  <si>
    <t>Presenta Certificado Embarazo</t>
  </si>
  <si>
    <t>Solicita "nuevo" certificado</t>
  </si>
  <si>
    <t>Modificar horario del contrato</t>
  </si>
  <si>
    <t>Fabian Gonzalez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</si>
</sst>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\-mm\-dd"/>
    <numFmt numFmtId="165" formatCode="D/M/YYYY"/>
    <numFmt numFmtId="166" formatCode="d-m"/>
  </numFmts>
  <fonts count="14">
    <font>
      <sz val="11.0"/>
      <color theme="1"/>
      <name val="Aptos Narrow"/>
      <scheme val="minor"/>
    </font>
    <font>
      <sz val="11.0"/>
      <color theme="1"/>
      <name val="Aptos Narrow"/>
    </font>
    <font>
      <color theme="1"/>
      <name val="Aptos Narrow"/>
    </font>
    <font>
      <sz val="12.0"/>
      <color theme="1"/>
      <name val="Calibri"/>
    </font>
    <font>
      <sz val="11.0"/>
      <color theme="1"/>
      <name val="Arial"/>
    </font>
    <font>
      <color theme="1"/>
      <name val="Arial"/>
    </font>
    <font>
      <sz val="11.0"/>
      <color rgb="FF000000"/>
      <name val="Arial"/>
    </font>
    <font>
      <color theme="1"/>
      <name val="Aptos Narrow"/>
      <scheme val="minor"/>
    </font>
    <font>
      <sz val="11.0"/>
      <color rgb="FF000000"/>
      <name val="&quot;Aptos Narrow&quot;"/>
    </font>
    <font>
      <sz val="11.0"/>
      <color rgb="FFFFFFFF"/>
      <name val="Arial"/>
    </font>
    <font>
      <sz val="11.0"/>
      <color rgb="FFFFFFFF"/>
      <name val="Aptos Narrow"/>
    </font>
    <font>
      <sz val="10.0"/>
      <color theme="1"/>
      <name val="Arial"/>
    </font>
    <font>
      <sz val="10.0"/>
      <color theme="1"/>
      <name val="Aptos Narrow"/>
    </font>
    <font>
      <sz val="11.0"/>
      <color rgb="FF242527"/>
      <name val="Arial"/>
    </font>
  </fonts>
  <fills count="6">
    <fill>
      <patternFill patternType="none"/>
    </fill>
    <fill>
      <patternFill patternType="lightGray"/>
    </fill>
    <fill>
      <patternFill patternType="solid">
        <fgColor rgb="FFD9F2D0"/>
        <bgColor rgb="FFD9F2D0"/>
      </patternFill>
    </fill>
    <fill>
      <patternFill patternType="solid">
        <fgColor rgb="FFE69138"/>
        <bgColor rgb="FFE69138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</fills>
  <borders count="3">
    <border/>
    <border>
      <left/>
      <right/>
      <top/>
      <bottom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0" fontId="1" numFmtId="1" xfId="0" applyAlignment="1" applyFont="1" applyNumberFormat="1">
      <alignment horizontal="center"/>
    </xf>
    <xf borderId="0" fillId="0" fontId="2" numFmtId="0" xfId="0" applyFont="1"/>
    <xf borderId="0" fillId="0" fontId="3" numFmtId="1" xfId="0" applyAlignment="1" applyFont="1" applyNumberForma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164" xfId="0" applyAlignment="1" applyFont="1" applyNumberFormat="1">
      <alignment horizontal="right" readingOrder="0" shrinkToFit="0" vertical="bottom" wrapText="0"/>
    </xf>
    <xf borderId="0" fillId="0" fontId="1" numFmtId="1" xfId="0" applyFont="1" applyNumberFormat="1"/>
    <xf borderId="0" fillId="0" fontId="1" numFmtId="164" xfId="0" applyFont="1" applyNumberFormat="1"/>
    <xf borderId="1" fillId="2" fontId="1" numFmtId="1" xfId="0" applyBorder="1" applyFill="1" applyFont="1" applyNumberFormat="1"/>
    <xf borderId="1" fillId="2" fontId="1" numFmtId="0" xfId="0" applyBorder="1" applyFont="1"/>
    <xf borderId="1" fillId="2" fontId="1" numFmtId="164" xfId="0" applyBorder="1" applyFont="1" applyNumberFormat="1"/>
    <xf borderId="0" fillId="0" fontId="4" numFmtId="1" xfId="0" applyFont="1" applyNumberFormat="1"/>
    <xf borderId="0" fillId="0" fontId="5" numFmtId="0" xfId="0" applyFont="1"/>
    <xf borderId="0" fillId="0" fontId="6" numFmtId="1" xfId="0" applyAlignment="1" applyFont="1" applyNumberFormat="1">
      <alignment horizontal="right" readingOrder="0" vertical="bottom"/>
    </xf>
    <xf borderId="0" fillId="0" fontId="7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8" numFmtId="1" xfId="0" applyAlignment="1" applyFont="1" applyNumberFormat="1">
      <alignment horizontal="right" readingOrder="0" vertical="bottom"/>
    </xf>
    <xf borderId="0" fillId="0" fontId="6" numFmtId="1" xfId="0" applyAlignment="1" applyFont="1" applyNumberFormat="1">
      <alignment horizontal="right" readingOrder="0" vertical="bottom"/>
    </xf>
    <xf borderId="0" fillId="3" fontId="9" numFmtId="0" xfId="0" applyAlignment="1" applyFill="1" applyFont="1">
      <alignment vertical="center"/>
    </xf>
    <xf borderId="0" fillId="3" fontId="10" numFmtId="0" xfId="0" applyAlignment="1" applyFont="1">
      <alignment vertical="center"/>
    </xf>
    <xf borderId="0" fillId="3" fontId="10" numFmtId="165" xfId="0" applyAlignment="1" applyFont="1" applyNumberFormat="1">
      <alignment vertical="center"/>
    </xf>
    <xf borderId="0" fillId="0" fontId="1" numFmtId="0" xfId="0" applyAlignment="1" applyFont="1">
      <alignment vertical="center"/>
    </xf>
    <xf borderId="2" fillId="4" fontId="11" numFmtId="0" xfId="0" applyAlignment="1" applyBorder="1" applyFill="1" applyFont="1">
      <alignment vertical="center"/>
    </xf>
    <xf borderId="2" fillId="4" fontId="12" numFmtId="0" xfId="0" applyAlignment="1" applyBorder="1" applyFont="1">
      <alignment vertical="center"/>
    </xf>
    <xf borderId="2" fillId="4" fontId="12" numFmtId="0" xfId="0" applyAlignment="1" applyBorder="1" applyFont="1">
      <alignment horizontal="left" vertical="center"/>
    </xf>
    <xf borderId="2" fillId="4" fontId="12" numFmtId="165" xfId="0" applyAlignment="1" applyBorder="1" applyFont="1" applyNumberFormat="1">
      <alignment vertical="center"/>
    </xf>
    <xf borderId="2" fillId="4" fontId="11" numFmtId="166" xfId="0" applyAlignment="1" applyBorder="1" applyFont="1" applyNumberFormat="1">
      <alignment vertical="center"/>
    </xf>
    <xf borderId="2" fillId="4" fontId="11" numFmtId="0" xfId="0" applyAlignment="1" applyBorder="1" applyFont="1">
      <alignment readingOrder="0" vertical="center"/>
    </xf>
    <xf borderId="2" fillId="4" fontId="11" numFmtId="166" xfId="0" applyAlignment="1" applyBorder="1" applyFont="1" applyNumberFormat="1">
      <alignment readingOrder="0" vertical="center"/>
    </xf>
    <xf borderId="2" fillId="5" fontId="11" numFmtId="0" xfId="0" applyAlignment="1" applyBorder="1" applyFill="1" applyFont="1">
      <alignment readingOrder="0" vertical="center"/>
    </xf>
    <xf borderId="2" fillId="4" fontId="11" numFmtId="0" xfId="0" applyAlignment="1" applyBorder="1" applyFont="1">
      <alignment horizontal="left" readingOrder="0" vertical="center"/>
    </xf>
    <xf borderId="2" fillId="4" fontId="4" numFmtId="0" xfId="0" applyAlignment="1" applyBorder="1" applyFont="1">
      <alignment readingOrder="0"/>
    </xf>
    <xf borderId="2" fillId="4" fontId="2" numFmtId="0" xfId="0" applyAlignment="1" applyBorder="1" applyFont="1">
      <alignment horizontal="center"/>
    </xf>
    <xf borderId="2" fillId="4" fontId="2" numFmtId="0" xfId="0" applyAlignment="1" applyBorder="1" applyFont="1">
      <alignment horizontal="left"/>
    </xf>
    <xf borderId="2" fillId="4" fontId="2" numFmtId="165" xfId="0" applyAlignment="1" applyBorder="1" applyFont="1" applyNumberFormat="1">
      <alignment horizontal="center"/>
    </xf>
    <xf borderId="2" fillId="4" fontId="4" numFmtId="166" xfId="0" applyAlignment="1" applyBorder="1" applyFont="1" applyNumberFormat="1">
      <alignment readingOrder="0"/>
    </xf>
    <xf borderId="2" fillId="4" fontId="1" numFmtId="0" xfId="0" applyBorder="1" applyFont="1"/>
    <xf borderId="2" fillId="4" fontId="5" numFmtId="0" xfId="0" applyAlignment="1" applyBorder="1" applyFont="1">
      <alignment horizontal="center" readingOrder="0"/>
    </xf>
    <xf borderId="2" fillId="4" fontId="1" numFmtId="0" xfId="0" applyAlignment="1" applyBorder="1" applyFont="1">
      <alignment readingOrder="0"/>
    </xf>
    <xf borderId="2" fillId="4" fontId="4" numFmtId="3" xfId="0" applyAlignment="1" applyBorder="1" applyFont="1" applyNumberFormat="1">
      <alignment readingOrder="0"/>
    </xf>
    <xf borderId="2" fillId="4" fontId="1" numFmtId="3" xfId="0" applyAlignment="1" applyBorder="1" applyFont="1" applyNumberFormat="1">
      <alignment readingOrder="0"/>
    </xf>
    <xf borderId="0" fillId="4" fontId="13" numFmtId="0" xfId="0" applyAlignment="1" applyFont="1">
      <alignment horizontal="right" readingOrder="0"/>
    </xf>
    <xf borderId="0" fillId="4" fontId="13" numFmtId="0" xfId="0" applyAlignment="1" applyFont="1">
      <alignment horizontal="center" readingOrder="0"/>
    </xf>
    <xf borderId="2" fillId="4" fontId="5" numFmtId="0" xfId="0" applyAlignment="1" applyBorder="1" applyFont="1">
      <alignment horizontal="left" readingOrder="0"/>
    </xf>
    <xf borderId="2" fillId="4" fontId="5" numFmtId="0" xfId="0" applyAlignment="1" applyBorder="1" applyFont="1">
      <alignment horizontal="center" readingOrder="0"/>
    </xf>
    <xf borderId="2" fillId="4" fontId="2" numFmtId="0" xfId="0" applyAlignment="1" applyBorder="1" applyFont="1">
      <alignment horizontal="center"/>
    </xf>
    <xf borderId="2" fillId="4" fontId="2" numFmtId="165" xfId="0" applyAlignment="1" applyBorder="1" applyFont="1" applyNumberFormat="1">
      <alignment horizontal="center"/>
    </xf>
    <xf borderId="2" fillId="4" fontId="4" numFmtId="166" xfId="0" applyAlignment="1" applyBorder="1" applyFont="1" applyNumberFormat="1">
      <alignment readingOrder="0"/>
    </xf>
    <xf borderId="2" fillId="4" fontId="4" numFmtId="0" xfId="0" applyAlignment="1" applyBorder="1" applyFont="1">
      <alignment readingOrder="0"/>
    </xf>
    <xf borderId="2" fillId="4" fontId="4" numFmtId="0" xfId="0" applyAlignment="1" applyBorder="1" applyFont="1">
      <alignment readingOrder="0" vertical="bottom"/>
    </xf>
    <xf borderId="2" fillId="4" fontId="1" numFmtId="0" xfId="0" applyAlignment="1" applyBorder="1" applyFont="1">
      <alignment horizontal="center" vertical="bottom"/>
    </xf>
    <xf borderId="2" fillId="4" fontId="2" numFmtId="0" xfId="0" applyAlignment="1" applyBorder="1" applyFont="1">
      <alignment horizontal="center" readingOrder="0"/>
    </xf>
    <xf borderId="2" fillId="4" fontId="2" numFmtId="0" xfId="0" applyAlignment="1" applyBorder="1" applyFont="1">
      <alignment horizontal="left" readingOrder="0"/>
    </xf>
    <xf borderId="2" fillId="4" fontId="1" numFmtId="166" xfId="0" applyBorder="1" applyFont="1" applyNumberFormat="1"/>
    <xf borderId="0" fillId="0" fontId="1" numFmtId="165" xfId="0" applyAlignment="1" applyFont="1" applyNumberFormat="1">
      <alignment vertic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rgb="FF83CAEB"/>
          <bgColor rgb="FF83CAEB"/>
        </patternFill>
      </fill>
      <border/>
    </dxf>
  </dxfs>
  <tableStyles count="3">
    <tableStyle count="2" pivot="0" name="Atención 2025-style">
      <tableStyleElement dxfId="1" type="firstRowStripe"/>
      <tableStyleElement dxfId="2" type="secondRowStripe"/>
    </tableStyle>
    <tableStyle count="2" pivot="0" name="Atención 2025-style 2">
      <tableStyleElement dxfId="1" type="firstRowStripe"/>
      <tableStyleElement dxfId="2" type="secondRowStripe"/>
    </tableStyle>
    <tableStyle count="2" pivot="0" name="Atención 2025-style 3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10:T110" displayName="Table_1" name="Table_1" id="1">
  <tableColumns count="2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</tableColumns>
  <tableStyleInfo name="Atención 2025-style" showColumnStripes="0" showFirstColumn="1" showLastColumn="1" showRowStripes="1"/>
</table>
</file>

<file path=xl/tables/table2.xml><?xml version="1.0" encoding="utf-8"?>
<table xmlns="http://schemas.openxmlformats.org/spreadsheetml/2006/main" headerRowCount="0" ref="A111:T111" displayName="Table_2" name="Table_2" id="2">
  <tableColumns count="2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</tableColumns>
  <tableStyleInfo name="Atención 2025-style 2" showColumnStripes="0" showFirstColumn="1" showLastColumn="1" showRowStripes="1"/>
</table>
</file>

<file path=xl/tables/table3.xml><?xml version="1.0" encoding="utf-8"?>
<table xmlns="http://schemas.openxmlformats.org/spreadsheetml/2006/main" headerRowCount="0" ref="A112:T112" displayName="Table_3" name="Table_3" id="3">
  <tableColumns count="2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</tableColumns>
  <tableStyleInfo name="Atención 2025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/>
  </sheetViews>
  <sheetFormatPr customHeight="1" defaultColWidth="12.63" defaultRowHeight="15.0"/>
  <cols>
    <col customWidth="1" min="1" max="1" width="20.5"/>
    <col customWidth="1" min="2" max="4" width="10.63"/>
    <col customWidth="1" min="5" max="6" width="42.5"/>
    <col customWidth="1" min="7" max="7" width="37.13"/>
    <col customWidth="1" min="8" max="8" width="44.5"/>
    <col customWidth="1" min="9" max="9" width="32.5"/>
    <col customWidth="1" min="10" max="10" width="34.5"/>
    <col customWidth="1" min="11" max="11" width="14.75"/>
    <col customWidth="1" min="12" max="12" width="10.63"/>
    <col customWidth="1" min="13" max="13" width="18.25"/>
    <col customWidth="1" min="14" max="14" width="35.13"/>
    <col customWidth="1" min="15" max="15" width="18.13"/>
    <col customWidth="1" min="16" max="16" width="53.25"/>
    <col customWidth="1" min="17" max="25" width="10.63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ht="14.25" customHeight="1">
      <c r="A2" s="3">
        <v>1.7382227E7</v>
      </c>
      <c r="B2" s="4" t="s">
        <v>16</v>
      </c>
      <c r="C2" s="4" t="s">
        <v>17</v>
      </c>
      <c r="D2" s="4" t="s">
        <v>18</v>
      </c>
      <c r="E2" s="4" t="s">
        <v>19</v>
      </c>
      <c r="F2" s="4" t="s">
        <v>19</v>
      </c>
      <c r="G2" s="4" t="s">
        <v>20</v>
      </c>
      <c r="H2" s="4" t="s">
        <v>21</v>
      </c>
      <c r="I2" s="4" t="s">
        <v>22</v>
      </c>
      <c r="J2" s="4" t="s">
        <v>23</v>
      </c>
      <c r="K2" s="4" t="s">
        <v>24</v>
      </c>
      <c r="L2" s="5">
        <v>45964.0</v>
      </c>
      <c r="M2" s="4" t="s">
        <v>25</v>
      </c>
      <c r="N2" s="4" t="s">
        <v>26</v>
      </c>
      <c r="O2" s="4" t="s">
        <v>27</v>
      </c>
      <c r="P2" s="4" t="s">
        <v>28</v>
      </c>
    </row>
    <row r="3" ht="14.25" customHeight="1">
      <c r="A3" s="3">
        <v>1.8501236E7</v>
      </c>
      <c r="B3" s="4" t="s">
        <v>29</v>
      </c>
      <c r="C3" s="4" t="s">
        <v>17</v>
      </c>
      <c r="D3" s="4" t="s">
        <v>18</v>
      </c>
      <c r="E3" s="4" t="s">
        <v>30</v>
      </c>
      <c r="F3" s="4" t="s">
        <v>30</v>
      </c>
      <c r="G3" s="4" t="s">
        <v>31</v>
      </c>
      <c r="H3" s="4" t="s">
        <v>32</v>
      </c>
      <c r="I3" s="4" t="s">
        <v>33</v>
      </c>
      <c r="J3" s="4" t="s">
        <v>34</v>
      </c>
      <c r="K3" s="4" t="s">
        <v>24</v>
      </c>
      <c r="L3" s="5">
        <v>45962.0</v>
      </c>
      <c r="M3" s="4" t="s">
        <v>25</v>
      </c>
      <c r="N3" s="4" t="s">
        <v>35</v>
      </c>
      <c r="O3" s="4" t="s">
        <v>27</v>
      </c>
      <c r="P3" s="4" t="s">
        <v>36</v>
      </c>
    </row>
    <row r="4" ht="14.25" customHeight="1">
      <c r="A4" s="3">
        <v>1.7861981E7</v>
      </c>
      <c r="B4" s="4" t="s">
        <v>37</v>
      </c>
      <c r="C4" s="4" t="s">
        <v>17</v>
      </c>
      <c r="D4" s="4" t="s">
        <v>38</v>
      </c>
      <c r="E4" s="4" t="s">
        <v>39</v>
      </c>
      <c r="F4" s="4" t="s">
        <v>39</v>
      </c>
      <c r="G4" s="4" t="s">
        <v>40</v>
      </c>
      <c r="H4" s="4" t="s">
        <v>21</v>
      </c>
      <c r="I4" s="4" t="s">
        <v>41</v>
      </c>
      <c r="J4" s="4" t="s">
        <v>23</v>
      </c>
      <c r="K4" s="4" t="s">
        <v>24</v>
      </c>
      <c r="L4" s="5">
        <v>45962.0</v>
      </c>
      <c r="M4" s="4" t="s">
        <v>25</v>
      </c>
      <c r="N4" s="4" t="s">
        <v>26</v>
      </c>
      <c r="O4" s="4" t="s">
        <v>27</v>
      </c>
      <c r="P4" s="4" t="s">
        <v>28</v>
      </c>
    </row>
    <row r="5" ht="14.25" customHeight="1">
      <c r="A5" s="3">
        <v>2.0438291E7</v>
      </c>
      <c r="B5" s="4" t="s">
        <v>42</v>
      </c>
      <c r="C5" s="4" t="s">
        <v>17</v>
      </c>
      <c r="D5" s="4" t="s">
        <v>38</v>
      </c>
      <c r="E5" s="4" t="s">
        <v>43</v>
      </c>
      <c r="F5" s="4" t="s">
        <v>43</v>
      </c>
      <c r="G5" s="4" t="s">
        <v>44</v>
      </c>
      <c r="H5" s="4" t="s">
        <v>45</v>
      </c>
      <c r="I5" s="4" t="s">
        <v>46</v>
      </c>
      <c r="J5" s="4" t="s">
        <v>47</v>
      </c>
      <c r="K5" s="4" t="s">
        <v>24</v>
      </c>
      <c r="L5" s="5">
        <v>45966.0</v>
      </c>
      <c r="M5" s="4" t="s">
        <v>48</v>
      </c>
      <c r="N5" s="4" t="s">
        <v>35</v>
      </c>
      <c r="O5" s="4" t="s">
        <v>27</v>
      </c>
      <c r="P5" s="4" t="s">
        <v>28</v>
      </c>
    </row>
    <row r="6" ht="14.25" customHeight="1">
      <c r="A6" s="3">
        <v>1.8821915E7</v>
      </c>
      <c r="B6" s="4" t="s">
        <v>49</v>
      </c>
      <c r="C6" s="4" t="s">
        <v>17</v>
      </c>
      <c r="D6" s="4" t="s">
        <v>38</v>
      </c>
      <c r="E6" s="4" t="s">
        <v>50</v>
      </c>
      <c r="F6" s="4" t="s">
        <v>50</v>
      </c>
      <c r="G6" s="4" t="s">
        <v>51</v>
      </c>
      <c r="H6" s="4" t="s">
        <v>52</v>
      </c>
      <c r="I6" s="4" t="s">
        <v>46</v>
      </c>
      <c r="J6" s="4" t="s">
        <v>47</v>
      </c>
      <c r="K6" s="4" t="s">
        <v>24</v>
      </c>
      <c r="L6" s="5">
        <v>45966.0</v>
      </c>
      <c r="M6" s="4" t="s">
        <v>48</v>
      </c>
      <c r="N6" s="4" t="s">
        <v>35</v>
      </c>
      <c r="O6" s="4" t="s">
        <v>27</v>
      </c>
      <c r="P6" s="4" t="s">
        <v>28</v>
      </c>
    </row>
    <row r="7" ht="14.25" customHeight="1">
      <c r="A7" s="3">
        <v>1.9139667E7</v>
      </c>
      <c r="B7" s="4" t="s">
        <v>53</v>
      </c>
      <c r="C7" s="4" t="s">
        <v>17</v>
      </c>
      <c r="D7" s="4" t="s">
        <v>38</v>
      </c>
      <c r="E7" s="4" t="s">
        <v>54</v>
      </c>
      <c r="F7" s="4" t="s">
        <v>54</v>
      </c>
      <c r="G7" s="4" t="s">
        <v>55</v>
      </c>
      <c r="H7" s="4" t="s">
        <v>52</v>
      </c>
      <c r="I7" s="4" t="s">
        <v>46</v>
      </c>
      <c r="J7" s="4" t="s">
        <v>47</v>
      </c>
      <c r="K7" s="4" t="s">
        <v>24</v>
      </c>
      <c r="L7" s="5">
        <v>45966.0</v>
      </c>
      <c r="M7" s="4" t="s">
        <v>48</v>
      </c>
      <c r="N7" s="4" t="s">
        <v>35</v>
      </c>
      <c r="O7" s="4" t="s">
        <v>27</v>
      </c>
      <c r="P7" s="4" t="s">
        <v>28</v>
      </c>
    </row>
    <row r="8" ht="14.25" customHeight="1">
      <c r="A8" s="3">
        <v>2.0362461E7</v>
      </c>
      <c r="B8" s="4" t="s">
        <v>56</v>
      </c>
      <c r="C8" s="4" t="s">
        <v>17</v>
      </c>
      <c r="D8" s="4" t="s">
        <v>57</v>
      </c>
      <c r="E8" s="4" t="s">
        <v>58</v>
      </c>
      <c r="F8" s="4" t="s">
        <v>58</v>
      </c>
      <c r="G8" s="4" t="s">
        <v>59</v>
      </c>
      <c r="H8" s="4" t="s">
        <v>60</v>
      </c>
      <c r="I8" s="4" t="s">
        <v>61</v>
      </c>
      <c r="J8" s="4" t="s">
        <v>62</v>
      </c>
      <c r="K8" s="4" t="s">
        <v>24</v>
      </c>
      <c r="L8" s="5">
        <v>45962.0</v>
      </c>
      <c r="M8" s="4" t="s">
        <v>25</v>
      </c>
      <c r="N8" s="4" t="s">
        <v>35</v>
      </c>
      <c r="O8" s="4" t="s">
        <v>27</v>
      </c>
      <c r="P8" s="4" t="s">
        <v>28</v>
      </c>
    </row>
    <row r="9" ht="14.25" customHeight="1">
      <c r="A9" s="3">
        <v>1.8816284E7</v>
      </c>
      <c r="B9" s="4" t="s">
        <v>63</v>
      </c>
      <c r="C9" s="4" t="s">
        <v>17</v>
      </c>
      <c r="D9" s="4" t="s">
        <v>38</v>
      </c>
      <c r="E9" s="4" t="s">
        <v>64</v>
      </c>
      <c r="F9" s="4" t="s">
        <v>64</v>
      </c>
      <c r="G9" s="4" t="s">
        <v>65</v>
      </c>
      <c r="H9" s="4" t="s">
        <v>52</v>
      </c>
      <c r="I9" s="4" t="s">
        <v>46</v>
      </c>
      <c r="J9" s="4" t="s">
        <v>47</v>
      </c>
      <c r="K9" s="4" t="s">
        <v>24</v>
      </c>
      <c r="L9" s="5">
        <v>45967.0</v>
      </c>
      <c r="M9" s="4" t="s">
        <v>48</v>
      </c>
      <c r="N9" s="4" t="s">
        <v>35</v>
      </c>
      <c r="O9" s="4" t="s">
        <v>27</v>
      </c>
      <c r="P9" s="4" t="s">
        <v>28</v>
      </c>
    </row>
    <row r="10" ht="14.25" customHeight="1">
      <c r="A10" s="3">
        <v>2.0362434E7</v>
      </c>
      <c r="B10" s="4" t="s">
        <v>66</v>
      </c>
      <c r="C10" s="4" t="s">
        <v>17</v>
      </c>
      <c r="D10" s="4" t="s">
        <v>18</v>
      </c>
      <c r="E10" s="4" t="s">
        <v>67</v>
      </c>
      <c r="F10" s="4" t="s">
        <v>67</v>
      </c>
      <c r="G10" s="4" t="s">
        <v>68</v>
      </c>
      <c r="H10" s="4" t="s">
        <v>69</v>
      </c>
      <c r="I10" s="4" t="s">
        <v>22</v>
      </c>
      <c r="J10" s="4" t="s">
        <v>23</v>
      </c>
      <c r="K10" s="4" t="s">
        <v>24</v>
      </c>
      <c r="L10" s="5">
        <v>45964.0</v>
      </c>
      <c r="M10" s="4" t="s">
        <v>25</v>
      </c>
      <c r="N10" s="4" t="s">
        <v>26</v>
      </c>
      <c r="O10" s="4" t="s">
        <v>27</v>
      </c>
      <c r="P10" s="4" t="s">
        <v>28</v>
      </c>
    </row>
    <row r="11" ht="14.25" customHeight="1">
      <c r="A11" s="3">
        <v>1.5529956E7</v>
      </c>
      <c r="B11" s="4" t="s">
        <v>70</v>
      </c>
      <c r="C11" s="4" t="s">
        <v>17</v>
      </c>
      <c r="D11" s="4" t="s">
        <v>57</v>
      </c>
      <c r="E11" s="4" t="s">
        <v>71</v>
      </c>
      <c r="F11" s="4" t="s">
        <v>71</v>
      </c>
      <c r="G11" s="4" t="s">
        <v>72</v>
      </c>
      <c r="H11" s="4" t="s">
        <v>52</v>
      </c>
      <c r="I11" s="4" t="s">
        <v>46</v>
      </c>
      <c r="J11" s="4" t="s">
        <v>47</v>
      </c>
      <c r="K11" s="4" t="s">
        <v>24</v>
      </c>
      <c r="L11" s="5">
        <v>45968.0</v>
      </c>
      <c r="M11" s="4" t="s">
        <v>48</v>
      </c>
      <c r="N11" s="4" t="s">
        <v>35</v>
      </c>
      <c r="O11" s="4" t="s">
        <v>27</v>
      </c>
      <c r="P11" s="4" t="s">
        <v>28</v>
      </c>
    </row>
    <row r="12" ht="14.25" customHeight="1">
      <c r="A12" s="3">
        <v>2.0196888E7</v>
      </c>
      <c r="B12" s="4" t="s">
        <v>73</v>
      </c>
      <c r="C12" s="4" t="s">
        <v>17</v>
      </c>
      <c r="D12" s="4" t="s">
        <v>18</v>
      </c>
      <c r="E12" s="4" t="s">
        <v>74</v>
      </c>
      <c r="F12" s="4" t="s">
        <v>74</v>
      </c>
      <c r="G12" s="4" t="s">
        <v>75</v>
      </c>
      <c r="H12" s="4" t="s">
        <v>69</v>
      </c>
      <c r="I12" s="4" t="s">
        <v>41</v>
      </c>
      <c r="J12" s="4" t="s">
        <v>23</v>
      </c>
      <c r="K12" s="4" t="s">
        <v>24</v>
      </c>
      <c r="L12" s="5">
        <v>45964.0</v>
      </c>
      <c r="M12" s="4" t="s">
        <v>25</v>
      </c>
      <c r="N12" s="4" t="s">
        <v>26</v>
      </c>
      <c r="O12" s="4" t="s">
        <v>76</v>
      </c>
      <c r="P12" s="4" t="s">
        <v>28</v>
      </c>
    </row>
    <row r="13" ht="14.25" customHeight="1">
      <c r="A13" s="3">
        <v>1.4213629E7</v>
      </c>
      <c r="B13" s="4" t="s">
        <v>77</v>
      </c>
      <c r="C13" s="4" t="s">
        <v>17</v>
      </c>
      <c r="D13" s="4" t="s">
        <v>18</v>
      </c>
      <c r="E13" s="4" t="s">
        <v>78</v>
      </c>
      <c r="F13" s="4" t="s">
        <v>78</v>
      </c>
      <c r="G13" s="4" t="s">
        <v>79</v>
      </c>
      <c r="H13" s="4" t="s">
        <v>80</v>
      </c>
      <c r="I13" s="4" t="s">
        <v>81</v>
      </c>
      <c r="J13" s="4" t="s">
        <v>34</v>
      </c>
      <c r="K13" s="4" t="s">
        <v>24</v>
      </c>
      <c r="L13" s="5">
        <v>45962.0</v>
      </c>
      <c r="M13" s="4" t="s">
        <v>25</v>
      </c>
      <c r="N13" s="4" t="s">
        <v>35</v>
      </c>
      <c r="O13" s="4" t="s">
        <v>76</v>
      </c>
      <c r="P13" s="4" t="s">
        <v>36</v>
      </c>
    </row>
    <row r="14" ht="14.25" customHeight="1">
      <c r="A14" s="3">
        <v>1.3108733E7</v>
      </c>
      <c r="B14" s="4" t="s">
        <v>82</v>
      </c>
      <c r="C14" s="4" t="s">
        <v>17</v>
      </c>
      <c r="D14" s="4" t="s">
        <v>57</v>
      </c>
      <c r="E14" s="4" t="s">
        <v>83</v>
      </c>
      <c r="F14" s="4" t="s">
        <v>83</v>
      </c>
      <c r="G14" s="4" t="s">
        <v>84</v>
      </c>
      <c r="H14" s="4" t="s">
        <v>85</v>
      </c>
      <c r="I14" s="4" t="s">
        <v>86</v>
      </c>
      <c r="J14" s="4" t="s">
        <v>62</v>
      </c>
      <c r="K14" s="4" t="s">
        <v>24</v>
      </c>
      <c r="L14" s="5">
        <v>45962.0</v>
      </c>
      <c r="M14" s="4" t="s">
        <v>25</v>
      </c>
      <c r="N14" s="4" t="s">
        <v>35</v>
      </c>
      <c r="O14" s="4" t="s">
        <v>27</v>
      </c>
      <c r="P14" s="4" t="s">
        <v>28</v>
      </c>
    </row>
    <row r="15" ht="14.25" customHeight="1">
      <c r="A15" s="3">
        <v>1.8685027E7</v>
      </c>
      <c r="B15" s="4" t="s">
        <v>87</v>
      </c>
      <c r="C15" s="4" t="s">
        <v>17</v>
      </c>
      <c r="D15" s="4" t="s">
        <v>88</v>
      </c>
      <c r="E15" s="4" t="s">
        <v>89</v>
      </c>
      <c r="F15" s="4" t="s">
        <v>89</v>
      </c>
      <c r="G15" s="4" t="s">
        <v>90</v>
      </c>
      <c r="H15" s="4" t="s">
        <v>91</v>
      </c>
      <c r="I15" s="4" t="s">
        <v>92</v>
      </c>
      <c r="J15" s="4" t="s">
        <v>93</v>
      </c>
      <c r="K15" s="4" t="s">
        <v>24</v>
      </c>
      <c r="L15" s="5">
        <v>45964.0</v>
      </c>
      <c r="M15" s="4" t="s">
        <v>94</v>
      </c>
      <c r="N15" s="4" t="s">
        <v>35</v>
      </c>
      <c r="O15" s="4" t="s">
        <v>27</v>
      </c>
      <c r="P15" s="4" t="s">
        <v>28</v>
      </c>
    </row>
    <row r="16" ht="14.25" customHeight="1">
      <c r="A16" s="3">
        <v>1.5670638E7</v>
      </c>
      <c r="B16" s="4" t="s">
        <v>95</v>
      </c>
      <c r="C16" s="4" t="s">
        <v>17</v>
      </c>
      <c r="D16" s="4" t="s">
        <v>38</v>
      </c>
      <c r="E16" s="4" t="s">
        <v>96</v>
      </c>
      <c r="F16" s="4" t="s">
        <v>96</v>
      </c>
      <c r="G16" s="4" t="s">
        <v>97</v>
      </c>
      <c r="H16" s="4" t="s">
        <v>91</v>
      </c>
      <c r="I16" s="4" t="s">
        <v>92</v>
      </c>
      <c r="J16" s="4" t="s">
        <v>93</v>
      </c>
      <c r="K16" s="4" t="s">
        <v>24</v>
      </c>
      <c r="L16" s="5">
        <v>45964.0</v>
      </c>
      <c r="M16" s="4" t="s">
        <v>94</v>
      </c>
      <c r="N16" s="4" t="s">
        <v>35</v>
      </c>
      <c r="O16" s="4" t="s">
        <v>27</v>
      </c>
      <c r="P16" s="4" t="s">
        <v>28</v>
      </c>
    </row>
    <row r="17" ht="14.25" customHeight="1">
      <c r="A17" s="3">
        <v>1.3311759E7</v>
      </c>
      <c r="B17" s="4" t="s">
        <v>98</v>
      </c>
      <c r="C17" s="4" t="s">
        <v>17</v>
      </c>
      <c r="D17" s="4" t="s">
        <v>57</v>
      </c>
      <c r="E17" s="4" t="s">
        <v>99</v>
      </c>
      <c r="F17" s="4" t="s">
        <v>99</v>
      </c>
      <c r="G17" s="4" t="s">
        <v>100</v>
      </c>
      <c r="H17" s="4" t="s">
        <v>85</v>
      </c>
      <c r="I17" s="4" t="s">
        <v>101</v>
      </c>
      <c r="J17" s="4" t="s">
        <v>62</v>
      </c>
      <c r="K17" s="4" t="s">
        <v>24</v>
      </c>
      <c r="L17" s="5">
        <v>45962.0</v>
      </c>
      <c r="M17" s="4" t="s">
        <v>25</v>
      </c>
      <c r="N17" s="4" t="s">
        <v>35</v>
      </c>
      <c r="O17" s="4" t="s">
        <v>27</v>
      </c>
      <c r="P17" s="4" t="s">
        <v>28</v>
      </c>
    </row>
    <row r="18" ht="14.25" customHeight="1">
      <c r="A18" s="3">
        <v>1.0921078E7</v>
      </c>
      <c r="B18" s="4" t="s">
        <v>102</v>
      </c>
      <c r="C18" s="4" t="s">
        <v>17</v>
      </c>
      <c r="D18" s="4" t="s">
        <v>57</v>
      </c>
      <c r="E18" s="4" t="s">
        <v>103</v>
      </c>
      <c r="F18" s="4" t="s">
        <v>103</v>
      </c>
      <c r="G18" s="4" t="s">
        <v>104</v>
      </c>
      <c r="H18" s="4" t="s">
        <v>85</v>
      </c>
      <c r="I18" s="4" t="s">
        <v>105</v>
      </c>
      <c r="J18" s="4" t="s">
        <v>62</v>
      </c>
      <c r="K18" s="4" t="s">
        <v>24</v>
      </c>
      <c r="L18" s="5">
        <v>45962.0</v>
      </c>
      <c r="M18" s="4" t="s">
        <v>25</v>
      </c>
      <c r="N18" s="4" t="s">
        <v>35</v>
      </c>
      <c r="O18" s="4" t="s">
        <v>27</v>
      </c>
      <c r="P18" s="4" t="s">
        <v>28</v>
      </c>
    </row>
    <row r="19" ht="14.25" customHeight="1">
      <c r="A19" s="3">
        <v>1.6484892E7</v>
      </c>
      <c r="B19" s="4" t="s">
        <v>106</v>
      </c>
      <c r="C19" s="4" t="s">
        <v>107</v>
      </c>
      <c r="D19" s="4" t="s">
        <v>18</v>
      </c>
      <c r="E19" s="4" t="s">
        <v>108</v>
      </c>
      <c r="F19" s="4" t="s">
        <v>108</v>
      </c>
      <c r="G19" s="4" t="s">
        <v>109</v>
      </c>
      <c r="H19" s="4" t="s">
        <v>110</v>
      </c>
      <c r="I19" s="4" t="s">
        <v>111</v>
      </c>
      <c r="J19" s="4" t="s">
        <v>112</v>
      </c>
      <c r="K19" s="4" t="s">
        <v>113</v>
      </c>
      <c r="L19" s="5">
        <v>45971.0</v>
      </c>
      <c r="M19" s="4" t="s">
        <v>114</v>
      </c>
      <c r="N19" s="4" t="s">
        <v>115</v>
      </c>
      <c r="O19" s="4" t="s">
        <v>116</v>
      </c>
      <c r="P19" s="4" t="s">
        <v>36</v>
      </c>
    </row>
    <row r="20" ht="14.25" customHeight="1">
      <c r="A20" s="3">
        <v>1.722389E7</v>
      </c>
      <c r="B20" s="4" t="s">
        <v>117</v>
      </c>
      <c r="C20" s="4" t="s">
        <v>17</v>
      </c>
      <c r="D20" s="4" t="s">
        <v>38</v>
      </c>
      <c r="E20" s="4" t="s">
        <v>118</v>
      </c>
      <c r="F20" s="4" t="s">
        <v>118</v>
      </c>
      <c r="G20" s="4" t="s">
        <v>119</v>
      </c>
      <c r="H20" s="4" t="s">
        <v>91</v>
      </c>
      <c r="I20" s="4" t="s">
        <v>120</v>
      </c>
      <c r="J20" s="4" t="s">
        <v>93</v>
      </c>
      <c r="K20" s="4" t="s">
        <v>24</v>
      </c>
      <c r="L20" s="5">
        <v>45966.0</v>
      </c>
      <c r="M20" s="4" t="s">
        <v>94</v>
      </c>
      <c r="N20" s="4" t="s">
        <v>35</v>
      </c>
      <c r="O20" s="4" t="s">
        <v>27</v>
      </c>
      <c r="P20" s="4" t="s">
        <v>28</v>
      </c>
    </row>
    <row r="21" ht="14.25" customHeight="1">
      <c r="A21" s="3">
        <v>1.7862432E7</v>
      </c>
      <c r="B21" s="4" t="s">
        <v>121</v>
      </c>
      <c r="C21" s="4" t="s">
        <v>17</v>
      </c>
      <c r="D21" s="4" t="s">
        <v>18</v>
      </c>
      <c r="E21" s="4" t="s">
        <v>122</v>
      </c>
      <c r="F21" s="4" t="s">
        <v>122</v>
      </c>
      <c r="G21" s="4" t="s">
        <v>123</v>
      </c>
      <c r="H21" s="4" t="s">
        <v>91</v>
      </c>
      <c r="I21" s="4" t="s">
        <v>92</v>
      </c>
      <c r="J21" s="4" t="s">
        <v>93</v>
      </c>
      <c r="K21" s="4" t="s">
        <v>24</v>
      </c>
      <c r="L21" s="5">
        <v>45965.0</v>
      </c>
      <c r="M21" s="4" t="s">
        <v>94</v>
      </c>
      <c r="N21" s="4" t="s">
        <v>35</v>
      </c>
      <c r="O21" s="4" t="s">
        <v>27</v>
      </c>
      <c r="P21" s="4" t="s">
        <v>28</v>
      </c>
    </row>
    <row r="22" ht="14.25" customHeight="1">
      <c r="A22" s="3">
        <v>1.3957986E7</v>
      </c>
      <c r="B22" s="4" t="s">
        <v>124</v>
      </c>
      <c r="C22" s="4" t="s">
        <v>17</v>
      </c>
      <c r="D22" s="4" t="s">
        <v>38</v>
      </c>
      <c r="E22" s="4" t="s">
        <v>125</v>
      </c>
      <c r="F22" s="4" t="s">
        <v>125</v>
      </c>
      <c r="G22" s="4" t="s">
        <v>126</v>
      </c>
      <c r="H22" s="4" t="s">
        <v>127</v>
      </c>
      <c r="I22" s="4" t="s">
        <v>128</v>
      </c>
      <c r="J22" s="4" t="s">
        <v>62</v>
      </c>
      <c r="K22" s="4" t="s">
        <v>24</v>
      </c>
      <c r="L22" s="5">
        <v>45971.0</v>
      </c>
      <c r="M22" s="4" t="s">
        <v>48</v>
      </c>
      <c r="N22" s="4" t="s">
        <v>35</v>
      </c>
      <c r="O22" s="4" t="s">
        <v>27</v>
      </c>
      <c r="P22" s="4" t="s">
        <v>28</v>
      </c>
    </row>
    <row r="23" ht="14.25" customHeight="1">
      <c r="A23" s="3">
        <v>1.7044306E7</v>
      </c>
      <c r="B23" s="4" t="s">
        <v>129</v>
      </c>
      <c r="C23" s="4" t="s">
        <v>17</v>
      </c>
      <c r="D23" s="4" t="s">
        <v>57</v>
      </c>
      <c r="E23" s="4" t="s">
        <v>130</v>
      </c>
      <c r="F23" s="4" t="s">
        <v>130</v>
      </c>
      <c r="G23" s="4" t="s">
        <v>131</v>
      </c>
      <c r="H23" s="4" t="s">
        <v>127</v>
      </c>
      <c r="I23" s="4" t="s">
        <v>128</v>
      </c>
      <c r="J23" s="4" t="s">
        <v>62</v>
      </c>
      <c r="K23" s="4" t="s">
        <v>24</v>
      </c>
      <c r="L23" s="5">
        <v>45973.0</v>
      </c>
      <c r="M23" s="4" t="s">
        <v>48</v>
      </c>
      <c r="N23" s="4" t="s">
        <v>35</v>
      </c>
      <c r="O23" s="4" t="s">
        <v>27</v>
      </c>
      <c r="P23" s="4" t="s">
        <v>28</v>
      </c>
    </row>
    <row r="24" ht="14.25" customHeight="1">
      <c r="A24" s="3">
        <v>1.6600363E7</v>
      </c>
      <c r="B24" s="4" t="s">
        <v>132</v>
      </c>
      <c r="C24" s="4" t="s">
        <v>17</v>
      </c>
      <c r="D24" s="4" t="s">
        <v>57</v>
      </c>
      <c r="E24" s="4" t="s">
        <v>133</v>
      </c>
      <c r="F24" s="4" t="s">
        <v>133</v>
      </c>
      <c r="G24" s="4" t="s">
        <v>134</v>
      </c>
      <c r="H24" s="4" t="s">
        <v>127</v>
      </c>
      <c r="I24" s="4" t="s">
        <v>135</v>
      </c>
      <c r="J24" s="4" t="s">
        <v>62</v>
      </c>
      <c r="K24" s="4" t="s">
        <v>24</v>
      </c>
      <c r="L24" s="5">
        <v>45973.0</v>
      </c>
      <c r="M24" s="4" t="s">
        <v>48</v>
      </c>
      <c r="N24" s="4" t="s">
        <v>35</v>
      </c>
      <c r="O24" s="4" t="s">
        <v>27</v>
      </c>
      <c r="P24" s="4" t="s">
        <v>28</v>
      </c>
    </row>
    <row r="25" ht="14.25" customHeight="1">
      <c r="A25" s="3">
        <v>2.0960482E7</v>
      </c>
      <c r="B25" s="4" t="s">
        <v>136</v>
      </c>
      <c r="C25" s="4" t="s">
        <v>17</v>
      </c>
      <c r="D25" s="4" t="s">
        <v>88</v>
      </c>
      <c r="E25" s="4" t="s">
        <v>137</v>
      </c>
      <c r="F25" s="4" t="s">
        <v>137</v>
      </c>
      <c r="G25" s="4" t="s">
        <v>138</v>
      </c>
      <c r="H25" s="4" t="s">
        <v>127</v>
      </c>
      <c r="I25" s="4" t="s">
        <v>135</v>
      </c>
      <c r="J25" s="4" t="s">
        <v>62</v>
      </c>
      <c r="K25" s="4" t="s">
        <v>24</v>
      </c>
      <c r="L25" s="5">
        <v>45971.0</v>
      </c>
      <c r="M25" s="4" t="s">
        <v>48</v>
      </c>
      <c r="N25" s="4" t="s">
        <v>35</v>
      </c>
      <c r="O25" s="4" t="s">
        <v>27</v>
      </c>
      <c r="P25" s="4" t="s">
        <v>28</v>
      </c>
    </row>
    <row r="26" ht="14.25" customHeight="1">
      <c r="A26" s="3">
        <v>2.1065903E7</v>
      </c>
      <c r="B26" s="4" t="s">
        <v>139</v>
      </c>
      <c r="C26" s="4" t="s">
        <v>17</v>
      </c>
      <c r="D26" s="4" t="s">
        <v>88</v>
      </c>
      <c r="E26" s="4" t="s">
        <v>140</v>
      </c>
      <c r="F26" s="4" t="s">
        <v>140</v>
      </c>
      <c r="G26" s="4" t="s">
        <v>141</v>
      </c>
      <c r="H26" s="4" t="s">
        <v>127</v>
      </c>
      <c r="I26" s="4" t="s">
        <v>135</v>
      </c>
      <c r="J26" s="4" t="s">
        <v>62</v>
      </c>
      <c r="K26" s="4" t="s">
        <v>24</v>
      </c>
      <c r="L26" s="5">
        <v>45971.0</v>
      </c>
      <c r="M26" s="4" t="s">
        <v>48</v>
      </c>
      <c r="N26" s="4" t="s">
        <v>35</v>
      </c>
      <c r="O26" s="4" t="s">
        <v>27</v>
      </c>
      <c r="P26" s="4" t="s">
        <v>28</v>
      </c>
    </row>
    <row r="27" ht="14.25" customHeight="1">
      <c r="A27" s="3">
        <v>1.3511937E7</v>
      </c>
      <c r="B27" s="4" t="s">
        <v>142</v>
      </c>
      <c r="C27" s="4" t="s">
        <v>17</v>
      </c>
      <c r="D27" s="4" t="s">
        <v>38</v>
      </c>
      <c r="E27" s="4" t="s">
        <v>143</v>
      </c>
      <c r="F27" s="4" t="s">
        <v>143</v>
      </c>
      <c r="G27" s="4" t="s">
        <v>144</v>
      </c>
      <c r="H27" s="4" t="s">
        <v>127</v>
      </c>
      <c r="I27" s="4" t="s">
        <v>135</v>
      </c>
      <c r="J27" s="4" t="s">
        <v>62</v>
      </c>
      <c r="K27" s="4" t="s">
        <v>24</v>
      </c>
      <c r="L27" s="5">
        <v>45971.0</v>
      </c>
      <c r="M27" s="4" t="s">
        <v>48</v>
      </c>
      <c r="N27" s="4" t="s">
        <v>35</v>
      </c>
      <c r="O27" s="4" t="s">
        <v>27</v>
      </c>
      <c r="P27" s="4" t="s">
        <v>28</v>
      </c>
    </row>
    <row r="28" ht="14.25" customHeight="1">
      <c r="A28" s="3">
        <v>1.759332E7</v>
      </c>
      <c r="B28" s="4" t="s">
        <v>145</v>
      </c>
      <c r="C28" s="4" t="s">
        <v>17</v>
      </c>
      <c r="D28" s="4" t="s">
        <v>18</v>
      </c>
      <c r="E28" s="4" t="s">
        <v>146</v>
      </c>
      <c r="F28" s="4" t="s">
        <v>146</v>
      </c>
      <c r="G28" s="4" t="s">
        <v>147</v>
      </c>
      <c r="H28" s="4" t="s">
        <v>148</v>
      </c>
      <c r="I28" s="4" t="s">
        <v>149</v>
      </c>
      <c r="J28" s="4" t="s">
        <v>62</v>
      </c>
      <c r="K28" s="4" t="s">
        <v>24</v>
      </c>
      <c r="L28" s="5">
        <v>45971.0</v>
      </c>
      <c r="M28" s="4" t="s">
        <v>48</v>
      </c>
      <c r="N28" s="4" t="s">
        <v>35</v>
      </c>
      <c r="O28" s="4" t="s">
        <v>27</v>
      </c>
      <c r="P28" s="4" t="s">
        <v>28</v>
      </c>
    </row>
    <row r="29" ht="14.25" customHeight="1">
      <c r="A29" s="3">
        <v>1.1721191E7</v>
      </c>
      <c r="B29" s="4" t="s">
        <v>150</v>
      </c>
      <c r="C29" s="4" t="s">
        <v>107</v>
      </c>
      <c r="D29" s="4" t="s">
        <v>18</v>
      </c>
      <c r="E29" s="4" t="s">
        <v>151</v>
      </c>
      <c r="F29" s="4" t="s">
        <v>151</v>
      </c>
      <c r="G29" s="4" t="s">
        <v>152</v>
      </c>
      <c r="H29" s="4" t="s">
        <v>153</v>
      </c>
      <c r="I29" s="4" t="s">
        <v>111</v>
      </c>
      <c r="J29" s="4" t="s">
        <v>112</v>
      </c>
      <c r="K29" s="4" t="s">
        <v>113</v>
      </c>
      <c r="L29" s="5">
        <v>45971.0</v>
      </c>
      <c r="M29" s="4" t="s">
        <v>154</v>
      </c>
      <c r="N29" s="4" t="s">
        <v>115</v>
      </c>
      <c r="O29" s="4" t="s">
        <v>116</v>
      </c>
      <c r="P29" s="4" t="s">
        <v>36</v>
      </c>
    </row>
    <row r="30" ht="14.25" customHeight="1">
      <c r="A30" s="3">
        <v>1.7023892E7</v>
      </c>
      <c r="B30" s="4" t="s">
        <v>155</v>
      </c>
      <c r="C30" s="4" t="s">
        <v>107</v>
      </c>
      <c r="D30" s="4" t="s">
        <v>18</v>
      </c>
      <c r="E30" s="4" t="s">
        <v>156</v>
      </c>
      <c r="F30" s="4" t="s">
        <v>156</v>
      </c>
      <c r="G30" s="4" t="s">
        <v>157</v>
      </c>
      <c r="H30" s="4" t="s">
        <v>158</v>
      </c>
      <c r="I30" s="4" t="s">
        <v>159</v>
      </c>
      <c r="J30" s="4" t="s">
        <v>160</v>
      </c>
      <c r="K30" s="4" t="s">
        <v>113</v>
      </c>
      <c r="L30" s="5">
        <v>45971.0</v>
      </c>
      <c r="M30" s="4" t="s">
        <v>154</v>
      </c>
      <c r="N30" s="4" t="s">
        <v>161</v>
      </c>
      <c r="O30" s="4" t="s">
        <v>162</v>
      </c>
      <c r="P30" s="4" t="s">
        <v>36</v>
      </c>
    </row>
    <row r="31" ht="14.25" customHeight="1">
      <c r="A31" s="3">
        <v>1.9799595E7</v>
      </c>
      <c r="B31" s="4" t="s">
        <v>163</v>
      </c>
      <c r="C31" s="4" t="s">
        <v>17</v>
      </c>
      <c r="D31" s="4" t="s">
        <v>38</v>
      </c>
      <c r="E31" s="4" t="s">
        <v>164</v>
      </c>
      <c r="F31" s="4" t="s">
        <v>164</v>
      </c>
      <c r="G31" s="4" t="s">
        <v>165</v>
      </c>
      <c r="H31" s="4" t="s">
        <v>60</v>
      </c>
      <c r="I31" s="4" t="s">
        <v>61</v>
      </c>
      <c r="J31" s="4" t="s">
        <v>62</v>
      </c>
      <c r="K31" s="4" t="s">
        <v>24</v>
      </c>
      <c r="L31" s="5">
        <v>45962.0</v>
      </c>
      <c r="M31" s="4" t="s">
        <v>25</v>
      </c>
      <c r="N31" s="4" t="s">
        <v>35</v>
      </c>
      <c r="O31" s="4" t="s">
        <v>27</v>
      </c>
      <c r="P31" s="4" t="s">
        <v>28</v>
      </c>
    </row>
    <row r="32" ht="14.25" customHeight="1">
      <c r="A32" s="3">
        <v>1.5187851E7</v>
      </c>
      <c r="B32" s="4" t="s">
        <v>166</v>
      </c>
      <c r="C32" s="4" t="s">
        <v>17</v>
      </c>
      <c r="D32" s="4" t="s">
        <v>167</v>
      </c>
      <c r="E32" s="4" t="s">
        <v>168</v>
      </c>
      <c r="F32" s="4" t="s">
        <v>168</v>
      </c>
      <c r="G32" s="4" t="s">
        <v>169</v>
      </c>
      <c r="H32" s="4" t="s">
        <v>170</v>
      </c>
      <c r="I32" s="4" t="s">
        <v>41</v>
      </c>
      <c r="J32" s="4" t="s">
        <v>23</v>
      </c>
      <c r="K32" s="4" t="s">
        <v>24</v>
      </c>
      <c r="L32" s="5">
        <v>45964.0</v>
      </c>
      <c r="M32" s="4" t="s">
        <v>25</v>
      </c>
      <c r="N32" s="4" t="s">
        <v>26</v>
      </c>
      <c r="O32" s="4" t="s">
        <v>76</v>
      </c>
      <c r="P32" s="4" t="s">
        <v>28</v>
      </c>
    </row>
    <row r="33" ht="14.25" customHeight="1">
      <c r="A33" s="3">
        <v>1.6504391E7</v>
      </c>
      <c r="B33" s="4" t="s">
        <v>171</v>
      </c>
      <c r="C33" s="4" t="s">
        <v>17</v>
      </c>
      <c r="D33" s="4" t="s">
        <v>18</v>
      </c>
      <c r="E33" s="4" t="s">
        <v>172</v>
      </c>
      <c r="F33" s="4" t="s">
        <v>172</v>
      </c>
      <c r="G33" s="4" t="s">
        <v>173</v>
      </c>
      <c r="H33" s="4" t="s">
        <v>174</v>
      </c>
      <c r="I33" s="4" t="s">
        <v>120</v>
      </c>
      <c r="J33" s="4" t="s">
        <v>93</v>
      </c>
      <c r="K33" s="4" t="s">
        <v>24</v>
      </c>
      <c r="L33" s="5">
        <v>45971.0</v>
      </c>
      <c r="M33" s="4" t="s">
        <v>94</v>
      </c>
      <c r="N33" s="4" t="s">
        <v>35</v>
      </c>
      <c r="O33" s="4" t="s">
        <v>27</v>
      </c>
      <c r="P33" s="4" t="s">
        <v>28</v>
      </c>
    </row>
    <row r="34" ht="14.25" customHeight="1">
      <c r="A34" s="3">
        <v>1.8417675E7</v>
      </c>
      <c r="B34" s="4" t="s">
        <v>175</v>
      </c>
      <c r="C34" s="4" t="s">
        <v>17</v>
      </c>
      <c r="D34" s="4" t="s">
        <v>88</v>
      </c>
      <c r="E34" s="4" t="s">
        <v>176</v>
      </c>
      <c r="F34" s="4" t="s">
        <v>176</v>
      </c>
      <c r="G34" s="4" t="s">
        <v>177</v>
      </c>
      <c r="H34" s="4" t="s">
        <v>91</v>
      </c>
      <c r="I34" s="4" t="s">
        <v>178</v>
      </c>
      <c r="J34" s="4" t="s">
        <v>93</v>
      </c>
      <c r="K34" s="4" t="s">
        <v>24</v>
      </c>
      <c r="L34" s="5">
        <v>45971.0</v>
      </c>
      <c r="M34" s="4" t="s">
        <v>94</v>
      </c>
      <c r="N34" s="4" t="s">
        <v>35</v>
      </c>
      <c r="O34" s="4" t="s">
        <v>27</v>
      </c>
      <c r="P34" s="4" t="s">
        <v>28</v>
      </c>
    </row>
    <row r="35" ht="14.25" customHeight="1">
      <c r="A35" s="6">
        <v>1.7445346E7</v>
      </c>
      <c r="B35" s="2" t="s">
        <v>179</v>
      </c>
      <c r="C35" s="2" t="s">
        <v>17</v>
      </c>
      <c r="D35" s="2" t="s">
        <v>18</v>
      </c>
      <c r="E35" s="2" t="s">
        <v>180</v>
      </c>
      <c r="F35" s="2" t="s">
        <v>181</v>
      </c>
      <c r="G35" s="2" t="s">
        <v>182</v>
      </c>
      <c r="H35" s="2" t="s">
        <v>183</v>
      </c>
      <c r="I35" s="2" t="s">
        <v>184</v>
      </c>
      <c r="J35" s="2" t="s">
        <v>185</v>
      </c>
      <c r="K35" s="2" t="s">
        <v>113</v>
      </c>
      <c r="L35" s="7">
        <v>45505.0</v>
      </c>
      <c r="M35" s="2" t="s">
        <v>25</v>
      </c>
      <c r="N35" s="2" t="s">
        <v>186</v>
      </c>
      <c r="O35" s="2" t="s">
        <v>27</v>
      </c>
      <c r="P35" s="2" t="s">
        <v>36</v>
      </c>
    </row>
    <row r="36" ht="14.25" customHeight="1">
      <c r="A36" s="6">
        <v>1.5327579E7</v>
      </c>
      <c r="B36" s="2" t="s">
        <v>187</v>
      </c>
      <c r="C36" s="2" t="s">
        <v>17</v>
      </c>
      <c r="D36" s="2" t="s">
        <v>38</v>
      </c>
      <c r="E36" s="2" t="s">
        <v>188</v>
      </c>
      <c r="F36" s="2" t="s">
        <v>189</v>
      </c>
      <c r="G36" s="2" t="s">
        <v>190</v>
      </c>
      <c r="H36" s="2" t="s">
        <v>191</v>
      </c>
      <c r="I36" s="2" t="s">
        <v>192</v>
      </c>
      <c r="J36" s="2" t="s">
        <v>193</v>
      </c>
      <c r="K36" s="2" t="s">
        <v>24</v>
      </c>
      <c r="L36" s="7">
        <v>45909.0</v>
      </c>
      <c r="M36" s="2" t="s">
        <v>25</v>
      </c>
      <c r="N36" s="2" t="s">
        <v>186</v>
      </c>
      <c r="O36" s="2" t="s">
        <v>27</v>
      </c>
      <c r="P36" s="2" t="s">
        <v>194</v>
      </c>
    </row>
    <row r="37" ht="14.25" customHeight="1">
      <c r="A37" s="6">
        <v>2.0975599E7</v>
      </c>
      <c r="B37" s="2" t="s">
        <v>195</v>
      </c>
      <c r="C37" s="2" t="s">
        <v>17</v>
      </c>
      <c r="D37" s="2" t="s">
        <v>57</v>
      </c>
      <c r="E37" s="2" t="s">
        <v>196</v>
      </c>
      <c r="F37" s="2" t="s">
        <v>196</v>
      </c>
      <c r="G37" s="2" t="s">
        <v>197</v>
      </c>
      <c r="H37" s="2" t="s">
        <v>198</v>
      </c>
      <c r="I37" s="2" t="s">
        <v>199</v>
      </c>
      <c r="J37" s="2" t="s">
        <v>62</v>
      </c>
      <c r="K37" s="2" t="s">
        <v>24</v>
      </c>
      <c r="L37" s="7">
        <v>45936.0</v>
      </c>
      <c r="M37" s="2" t="s">
        <v>25</v>
      </c>
      <c r="N37" s="2" t="s">
        <v>35</v>
      </c>
      <c r="O37" s="2" t="s">
        <v>200</v>
      </c>
      <c r="P37" s="2" t="s">
        <v>28</v>
      </c>
    </row>
    <row r="38" ht="14.25" customHeight="1">
      <c r="A38" s="6">
        <v>2.7098076E7</v>
      </c>
      <c r="B38" s="2" t="s">
        <v>201</v>
      </c>
      <c r="C38" s="2" t="s">
        <v>107</v>
      </c>
      <c r="D38" s="2" t="s">
        <v>18</v>
      </c>
      <c r="E38" s="2" t="s">
        <v>202</v>
      </c>
      <c r="F38" s="2" t="s">
        <v>203</v>
      </c>
      <c r="G38" s="2" t="s">
        <v>204</v>
      </c>
      <c r="H38" s="2" t="s">
        <v>205</v>
      </c>
      <c r="I38" s="2" t="s">
        <v>206</v>
      </c>
      <c r="J38" s="2" t="s">
        <v>207</v>
      </c>
      <c r="K38" s="2" t="s">
        <v>24</v>
      </c>
      <c r="L38" s="7">
        <v>45902.0</v>
      </c>
      <c r="M38" s="2" t="s">
        <v>154</v>
      </c>
      <c r="N38" s="2" t="s">
        <v>208</v>
      </c>
      <c r="O38" s="2" t="s">
        <v>116</v>
      </c>
      <c r="P38" s="2" t="s">
        <v>36</v>
      </c>
    </row>
    <row r="39" ht="14.25" customHeight="1">
      <c r="A39" s="6">
        <v>1.0859958E7</v>
      </c>
      <c r="B39" s="2" t="s">
        <v>209</v>
      </c>
      <c r="C39" s="2" t="s">
        <v>17</v>
      </c>
      <c r="D39" s="2" t="s">
        <v>18</v>
      </c>
      <c r="E39" s="2" t="s">
        <v>210</v>
      </c>
      <c r="F39" s="2" t="s">
        <v>211</v>
      </c>
      <c r="G39" s="2" t="s">
        <v>212</v>
      </c>
      <c r="H39" s="2" t="s">
        <v>213</v>
      </c>
      <c r="I39" s="2" t="s">
        <v>214</v>
      </c>
      <c r="J39" s="2" t="s">
        <v>215</v>
      </c>
      <c r="K39" s="2" t="s">
        <v>113</v>
      </c>
      <c r="L39" s="7">
        <v>40513.0</v>
      </c>
      <c r="M39" s="2" t="s">
        <v>25</v>
      </c>
      <c r="N39" s="2" t="s">
        <v>216</v>
      </c>
      <c r="O39" s="2" t="s">
        <v>27</v>
      </c>
      <c r="P39" s="2" t="s">
        <v>36</v>
      </c>
    </row>
    <row r="40" ht="14.25" customHeight="1">
      <c r="A40" s="6">
        <v>1.5295986E7</v>
      </c>
      <c r="B40" s="2" t="s">
        <v>217</v>
      </c>
      <c r="C40" s="2" t="s">
        <v>17</v>
      </c>
      <c r="D40" s="2" t="s">
        <v>18</v>
      </c>
      <c r="E40" s="2" t="s">
        <v>218</v>
      </c>
      <c r="F40" s="2" t="s">
        <v>219</v>
      </c>
      <c r="G40" s="2" t="s">
        <v>220</v>
      </c>
      <c r="H40" s="2" t="s">
        <v>213</v>
      </c>
      <c r="I40" s="2" t="s">
        <v>214</v>
      </c>
      <c r="J40" s="2" t="s">
        <v>215</v>
      </c>
      <c r="K40" s="2" t="s">
        <v>113</v>
      </c>
      <c r="L40" s="7">
        <v>42359.0</v>
      </c>
      <c r="M40" s="2" t="s">
        <v>25</v>
      </c>
      <c r="N40" s="2" t="s">
        <v>216</v>
      </c>
      <c r="O40" s="2" t="s">
        <v>27</v>
      </c>
      <c r="P40" s="2" t="s">
        <v>36</v>
      </c>
    </row>
    <row r="41" ht="14.25" customHeight="1">
      <c r="A41" s="6">
        <v>1.5928043E7</v>
      </c>
      <c r="B41" s="2" t="s">
        <v>221</v>
      </c>
      <c r="C41" s="2" t="s">
        <v>17</v>
      </c>
      <c r="D41" s="2" t="s">
        <v>18</v>
      </c>
      <c r="E41" s="2" t="s">
        <v>222</v>
      </c>
      <c r="F41" s="2" t="s">
        <v>223</v>
      </c>
      <c r="G41" s="2" t="s">
        <v>224</v>
      </c>
      <c r="H41" s="2" t="s">
        <v>213</v>
      </c>
      <c r="I41" s="2" t="s">
        <v>214</v>
      </c>
      <c r="J41" s="2" t="s">
        <v>215</v>
      </c>
      <c r="K41" s="2" t="s">
        <v>113</v>
      </c>
      <c r="L41" s="7">
        <v>40513.0</v>
      </c>
      <c r="M41" s="2" t="s">
        <v>25</v>
      </c>
      <c r="N41" s="2" t="s">
        <v>216</v>
      </c>
      <c r="O41" s="2" t="s">
        <v>27</v>
      </c>
      <c r="P41" s="2" t="s">
        <v>36</v>
      </c>
    </row>
    <row r="42" ht="14.25" customHeight="1">
      <c r="A42" s="6">
        <v>8170670.0</v>
      </c>
      <c r="B42" s="2" t="s">
        <v>225</v>
      </c>
      <c r="C42" s="2" t="s">
        <v>17</v>
      </c>
      <c r="D42" s="2" t="s">
        <v>18</v>
      </c>
      <c r="E42" s="2" t="s">
        <v>226</v>
      </c>
      <c r="F42" s="2" t="s">
        <v>227</v>
      </c>
      <c r="G42" s="2" t="s">
        <v>228</v>
      </c>
      <c r="H42" s="2" t="s">
        <v>229</v>
      </c>
      <c r="I42" s="2" t="s">
        <v>230</v>
      </c>
      <c r="J42" s="2" t="s">
        <v>185</v>
      </c>
      <c r="K42" s="2" t="s">
        <v>113</v>
      </c>
      <c r="L42" s="7">
        <v>40513.0</v>
      </c>
      <c r="M42" s="2" t="s">
        <v>25</v>
      </c>
      <c r="N42" s="2" t="s">
        <v>186</v>
      </c>
      <c r="O42" s="2" t="s">
        <v>27</v>
      </c>
      <c r="P42" s="2" t="s">
        <v>36</v>
      </c>
    </row>
    <row r="43" ht="14.25" customHeight="1">
      <c r="A43" s="6">
        <v>1.6768326E7</v>
      </c>
      <c r="B43" s="2" t="s">
        <v>231</v>
      </c>
      <c r="C43" s="2" t="s">
        <v>17</v>
      </c>
      <c r="D43" s="2" t="s">
        <v>38</v>
      </c>
      <c r="E43" s="2" t="s">
        <v>232</v>
      </c>
      <c r="F43" s="2" t="s">
        <v>233</v>
      </c>
      <c r="G43" s="2" t="s">
        <v>234</v>
      </c>
      <c r="H43" s="2" t="s">
        <v>229</v>
      </c>
      <c r="I43" s="2" t="s">
        <v>230</v>
      </c>
      <c r="J43" s="2" t="s">
        <v>185</v>
      </c>
      <c r="K43" s="2" t="s">
        <v>24</v>
      </c>
      <c r="L43" s="7">
        <v>45915.0</v>
      </c>
      <c r="M43" s="2" t="s">
        <v>25</v>
      </c>
      <c r="N43" s="2" t="s">
        <v>186</v>
      </c>
      <c r="O43" s="2" t="s">
        <v>27</v>
      </c>
      <c r="P43" s="2" t="s">
        <v>28</v>
      </c>
    </row>
    <row r="44" ht="14.25" customHeight="1">
      <c r="A44" s="6">
        <v>1.3548092E7</v>
      </c>
      <c r="B44" s="2" t="s">
        <v>235</v>
      </c>
      <c r="C44" s="2" t="s">
        <v>107</v>
      </c>
      <c r="D44" s="2" t="s">
        <v>88</v>
      </c>
      <c r="E44" s="2" t="s">
        <v>236</v>
      </c>
      <c r="F44" s="2" t="s">
        <v>237</v>
      </c>
      <c r="G44" s="2" t="s">
        <v>238</v>
      </c>
      <c r="H44" s="2" t="s">
        <v>239</v>
      </c>
      <c r="I44" s="2" t="s">
        <v>240</v>
      </c>
      <c r="J44" s="2" t="s">
        <v>241</v>
      </c>
      <c r="K44" s="2" t="s">
        <v>113</v>
      </c>
      <c r="L44" s="7">
        <v>45505.0</v>
      </c>
      <c r="M44" s="2" t="s">
        <v>154</v>
      </c>
      <c r="N44" s="2" t="s">
        <v>216</v>
      </c>
      <c r="O44" s="2" t="s">
        <v>242</v>
      </c>
      <c r="P44" s="2" t="s">
        <v>36</v>
      </c>
    </row>
    <row r="45" ht="14.25" customHeight="1">
      <c r="A45" s="6">
        <v>1.6229269E7</v>
      </c>
      <c r="B45" s="2" t="s">
        <v>243</v>
      </c>
      <c r="C45" s="2" t="s">
        <v>17</v>
      </c>
      <c r="D45" s="2" t="s">
        <v>18</v>
      </c>
      <c r="E45" s="2" t="s">
        <v>244</v>
      </c>
      <c r="F45" s="2" t="s">
        <v>245</v>
      </c>
      <c r="G45" s="2" t="s">
        <v>246</v>
      </c>
      <c r="H45" s="2" t="s">
        <v>247</v>
      </c>
      <c r="I45" s="2" t="s">
        <v>230</v>
      </c>
      <c r="J45" s="2" t="s">
        <v>185</v>
      </c>
      <c r="K45" s="2" t="s">
        <v>113</v>
      </c>
      <c r="L45" s="7">
        <v>44713.0</v>
      </c>
      <c r="M45" s="2" t="s">
        <v>25</v>
      </c>
      <c r="N45" s="2" t="s">
        <v>186</v>
      </c>
      <c r="O45" s="2" t="s">
        <v>27</v>
      </c>
      <c r="P45" s="2" t="s">
        <v>36</v>
      </c>
    </row>
    <row r="46" ht="14.25" customHeight="1">
      <c r="A46" s="6">
        <v>1.615557E7</v>
      </c>
      <c r="B46" s="2" t="s">
        <v>248</v>
      </c>
      <c r="C46" s="2" t="s">
        <v>17</v>
      </c>
      <c r="D46" s="2" t="s">
        <v>18</v>
      </c>
      <c r="E46" s="2" t="s">
        <v>249</v>
      </c>
      <c r="F46" s="2" t="s">
        <v>250</v>
      </c>
      <c r="G46" s="2" t="s">
        <v>251</v>
      </c>
      <c r="H46" s="2" t="s">
        <v>247</v>
      </c>
      <c r="I46" s="2" t="s">
        <v>230</v>
      </c>
      <c r="J46" s="2" t="s">
        <v>185</v>
      </c>
      <c r="K46" s="2" t="s">
        <v>113</v>
      </c>
      <c r="L46" s="7">
        <v>43282.0</v>
      </c>
      <c r="M46" s="2" t="s">
        <v>25</v>
      </c>
      <c r="N46" s="2" t="s">
        <v>186</v>
      </c>
      <c r="O46" s="2" t="s">
        <v>27</v>
      </c>
      <c r="P46" s="2" t="s">
        <v>36</v>
      </c>
    </row>
    <row r="47" ht="14.25" customHeight="1">
      <c r="A47" s="6">
        <v>1.3959934E7</v>
      </c>
      <c r="B47" s="2" t="s">
        <v>252</v>
      </c>
      <c r="C47" s="2" t="s">
        <v>17</v>
      </c>
      <c r="D47" s="2" t="s">
        <v>18</v>
      </c>
      <c r="E47" s="2" t="s">
        <v>253</v>
      </c>
      <c r="F47" s="2" t="s">
        <v>254</v>
      </c>
      <c r="G47" s="2" t="s">
        <v>255</v>
      </c>
      <c r="H47" s="2" t="s">
        <v>247</v>
      </c>
      <c r="I47" s="2" t="s">
        <v>230</v>
      </c>
      <c r="J47" s="2" t="s">
        <v>185</v>
      </c>
      <c r="K47" s="2" t="s">
        <v>113</v>
      </c>
      <c r="L47" s="7">
        <v>44824.0</v>
      </c>
      <c r="M47" s="2" t="s">
        <v>25</v>
      </c>
      <c r="N47" s="2" t="s">
        <v>186</v>
      </c>
      <c r="O47" s="2" t="s">
        <v>27</v>
      </c>
      <c r="P47" s="2" t="s">
        <v>36</v>
      </c>
    </row>
    <row r="48" ht="14.25" customHeight="1">
      <c r="A48" s="6">
        <v>1.3958157E7</v>
      </c>
      <c r="B48" s="2" t="s">
        <v>256</v>
      </c>
      <c r="C48" s="2" t="s">
        <v>17</v>
      </c>
      <c r="D48" s="2" t="s">
        <v>18</v>
      </c>
      <c r="E48" s="2" t="s">
        <v>257</v>
      </c>
      <c r="F48" s="2" t="s">
        <v>258</v>
      </c>
      <c r="G48" s="2" t="s">
        <v>259</v>
      </c>
      <c r="H48" s="2" t="s">
        <v>260</v>
      </c>
      <c r="I48" s="2" t="s">
        <v>184</v>
      </c>
      <c r="J48" s="2" t="s">
        <v>185</v>
      </c>
      <c r="K48" s="2" t="s">
        <v>113</v>
      </c>
      <c r="L48" s="7">
        <v>44326.0</v>
      </c>
      <c r="M48" s="2" t="s">
        <v>25</v>
      </c>
      <c r="N48" s="2" t="s">
        <v>186</v>
      </c>
      <c r="O48" s="2" t="s">
        <v>27</v>
      </c>
      <c r="P48" s="2" t="s">
        <v>36</v>
      </c>
    </row>
    <row r="49" ht="14.25" customHeight="1">
      <c r="A49" s="6">
        <v>7814254.0</v>
      </c>
      <c r="B49" s="2" t="s">
        <v>261</v>
      </c>
      <c r="C49" s="2" t="s">
        <v>107</v>
      </c>
      <c r="D49" s="2" t="s">
        <v>88</v>
      </c>
      <c r="E49" s="2" t="s">
        <v>262</v>
      </c>
      <c r="F49" s="2" t="s">
        <v>263</v>
      </c>
      <c r="G49" s="2" t="s">
        <v>264</v>
      </c>
      <c r="H49" s="2" t="s">
        <v>265</v>
      </c>
      <c r="I49" s="2" t="s">
        <v>266</v>
      </c>
      <c r="J49" s="2" t="s">
        <v>267</v>
      </c>
      <c r="K49" s="2" t="s">
        <v>113</v>
      </c>
      <c r="L49" s="7">
        <v>45658.0</v>
      </c>
      <c r="M49" s="2" t="s">
        <v>154</v>
      </c>
      <c r="N49" s="2" t="s">
        <v>186</v>
      </c>
      <c r="O49" s="2" t="s">
        <v>116</v>
      </c>
      <c r="P49" s="2" t="s">
        <v>36</v>
      </c>
    </row>
    <row r="50" ht="14.25" customHeight="1">
      <c r="A50" s="6">
        <v>1.628353E7</v>
      </c>
      <c r="B50" s="2" t="s">
        <v>268</v>
      </c>
      <c r="C50" s="2" t="s">
        <v>17</v>
      </c>
      <c r="D50" s="2" t="s">
        <v>18</v>
      </c>
      <c r="E50" s="2" t="s">
        <v>269</v>
      </c>
      <c r="F50" s="2" t="s">
        <v>270</v>
      </c>
      <c r="G50" s="2" t="s">
        <v>271</v>
      </c>
      <c r="H50" s="2" t="s">
        <v>272</v>
      </c>
      <c r="I50" s="2" t="s">
        <v>199</v>
      </c>
      <c r="J50" s="2" t="s">
        <v>62</v>
      </c>
      <c r="K50" s="2" t="s">
        <v>113</v>
      </c>
      <c r="L50" s="7">
        <v>42795.0</v>
      </c>
      <c r="M50" s="2" t="s">
        <v>25</v>
      </c>
      <c r="N50" s="2" t="s">
        <v>35</v>
      </c>
      <c r="O50" s="2" t="s">
        <v>27</v>
      </c>
      <c r="P50" s="2" t="s">
        <v>36</v>
      </c>
    </row>
    <row r="51" ht="14.25" customHeight="1">
      <c r="A51" s="6">
        <v>1.8383966E7</v>
      </c>
      <c r="B51" s="2" t="s">
        <v>273</v>
      </c>
      <c r="C51" s="2" t="s">
        <v>17</v>
      </c>
      <c r="D51" s="2" t="s">
        <v>18</v>
      </c>
      <c r="E51" s="2" t="s">
        <v>274</v>
      </c>
      <c r="F51" s="2" t="s">
        <v>275</v>
      </c>
      <c r="G51" s="2" t="s">
        <v>276</v>
      </c>
      <c r="H51" s="2" t="s">
        <v>272</v>
      </c>
      <c r="I51" s="2" t="s">
        <v>199</v>
      </c>
      <c r="J51" s="2" t="s">
        <v>62</v>
      </c>
      <c r="K51" s="2" t="s">
        <v>113</v>
      </c>
      <c r="L51" s="7">
        <v>44553.0</v>
      </c>
      <c r="M51" s="2" t="s">
        <v>25</v>
      </c>
      <c r="N51" s="2" t="s">
        <v>35</v>
      </c>
      <c r="O51" s="2" t="s">
        <v>27</v>
      </c>
      <c r="P51" s="2" t="s">
        <v>36</v>
      </c>
    </row>
    <row r="52" ht="14.25" customHeight="1">
      <c r="A52" s="6">
        <v>1.5194019E7</v>
      </c>
      <c r="B52" s="2" t="s">
        <v>277</v>
      </c>
      <c r="C52" s="2" t="s">
        <v>17</v>
      </c>
      <c r="D52" s="2" t="s">
        <v>18</v>
      </c>
      <c r="E52" s="2" t="s">
        <v>278</v>
      </c>
      <c r="F52" s="2" t="s">
        <v>279</v>
      </c>
      <c r="G52" s="2" t="s">
        <v>280</v>
      </c>
      <c r="H52" s="2" t="s">
        <v>272</v>
      </c>
      <c r="I52" s="2" t="s">
        <v>199</v>
      </c>
      <c r="J52" s="2" t="s">
        <v>62</v>
      </c>
      <c r="K52" s="2" t="s">
        <v>113</v>
      </c>
      <c r="L52" s="7">
        <v>42795.0</v>
      </c>
      <c r="M52" s="2" t="s">
        <v>25</v>
      </c>
      <c r="N52" s="2" t="s">
        <v>35</v>
      </c>
      <c r="O52" s="2" t="s">
        <v>27</v>
      </c>
      <c r="P52" s="2" t="s">
        <v>36</v>
      </c>
    </row>
    <row r="53" ht="14.25" customHeight="1">
      <c r="A53" s="6">
        <v>1.7320823E7</v>
      </c>
      <c r="B53" s="2" t="s">
        <v>281</v>
      </c>
      <c r="C53" s="2" t="s">
        <v>17</v>
      </c>
      <c r="D53" s="2" t="s">
        <v>18</v>
      </c>
      <c r="E53" s="2" t="s">
        <v>282</v>
      </c>
      <c r="F53" s="2" t="s">
        <v>283</v>
      </c>
      <c r="G53" s="2" t="s">
        <v>284</v>
      </c>
      <c r="H53" s="2" t="s">
        <v>272</v>
      </c>
      <c r="I53" s="2" t="s">
        <v>285</v>
      </c>
      <c r="J53" s="2" t="s">
        <v>62</v>
      </c>
      <c r="K53" s="2" t="s">
        <v>113</v>
      </c>
      <c r="L53" s="7">
        <v>42738.0</v>
      </c>
      <c r="M53" s="2" t="s">
        <v>25</v>
      </c>
      <c r="N53" s="2" t="s">
        <v>35</v>
      </c>
      <c r="O53" s="2" t="s">
        <v>27</v>
      </c>
      <c r="P53" s="2" t="s">
        <v>36</v>
      </c>
    </row>
    <row r="54" ht="14.25" customHeight="1">
      <c r="A54" s="6">
        <v>1.3803031E7</v>
      </c>
      <c r="B54" s="2" t="s">
        <v>286</v>
      </c>
      <c r="C54" s="2" t="s">
        <v>17</v>
      </c>
      <c r="D54" s="2" t="s">
        <v>18</v>
      </c>
      <c r="E54" s="2" t="s">
        <v>287</v>
      </c>
      <c r="F54" s="2" t="s">
        <v>288</v>
      </c>
      <c r="G54" s="2" t="s">
        <v>289</v>
      </c>
      <c r="H54" s="2" t="s">
        <v>290</v>
      </c>
      <c r="I54" s="2" t="s">
        <v>214</v>
      </c>
      <c r="J54" s="2" t="s">
        <v>215</v>
      </c>
      <c r="K54" s="2" t="s">
        <v>113</v>
      </c>
      <c r="L54" s="7">
        <v>45845.0</v>
      </c>
      <c r="M54" s="2" t="s">
        <v>25</v>
      </c>
      <c r="N54" s="2" t="s">
        <v>216</v>
      </c>
      <c r="O54" s="2" t="s">
        <v>27</v>
      </c>
      <c r="P54" s="2" t="s">
        <v>36</v>
      </c>
    </row>
    <row r="55" ht="14.25" customHeight="1">
      <c r="A55" s="6">
        <v>1.5466127E7</v>
      </c>
      <c r="B55" s="2" t="s">
        <v>291</v>
      </c>
      <c r="C55" s="2" t="s">
        <v>107</v>
      </c>
      <c r="D55" s="2" t="s">
        <v>88</v>
      </c>
      <c r="E55" s="2" t="s">
        <v>292</v>
      </c>
      <c r="F55" s="2" t="s">
        <v>293</v>
      </c>
      <c r="G55" s="2" t="s">
        <v>294</v>
      </c>
      <c r="H55" s="2" t="s">
        <v>290</v>
      </c>
      <c r="I55" s="2" t="s">
        <v>295</v>
      </c>
      <c r="J55" s="2" t="s">
        <v>296</v>
      </c>
      <c r="K55" s="2" t="s">
        <v>113</v>
      </c>
      <c r="L55" s="7">
        <v>40879.0</v>
      </c>
      <c r="M55" s="2" t="s">
        <v>154</v>
      </c>
      <c r="N55" s="2" t="s">
        <v>216</v>
      </c>
      <c r="O55" s="2" t="s">
        <v>116</v>
      </c>
      <c r="P55" s="2" t="s">
        <v>36</v>
      </c>
    </row>
    <row r="56" ht="14.25" customHeight="1">
      <c r="A56" s="6">
        <v>1.5475043E7</v>
      </c>
      <c r="B56" s="2" t="s">
        <v>297</v>
      </c>
      <c r="C56" s="2" t="s">
        <v>107</v>
      </c>
      <c r="D56" s="2" t="s">
        <v>18</v>
      </c>
      <c r="E56" s="2" t="s">
        <v>298</v>
      </c>
      <c r="F56" s="2" t="s">
        <v>299</v>
      </c>
      <c r="G56" s="2" t="s">
        <v>300</v>
      </c>
      <c r="H56" s="2" t="s">
        <v>290</v>
      </c>
      <c r="I56" s="2" t="s">
        <v>301</v>
      </c>
      <c r="J56" s="2" t="s">
        <v>296</v>
      </c>
      <c r="K56" s="2" t="s">
        <v>113</v>
      </c>
      <c r="L56" s="7">
        <v>45809.0</v>
      </c>
      <c r="M56" s="2" t="s">
        <v>154</v>
      </c>
      <c r="N56" s="2" t="s">
        <v>216</v>
      </c>
      <c r="O56" s="2" t="s">
        <v>116</v>
      </c>
      <c r="P56" s="2" t="s">
        <v>36</v>
      </c>
    </row>
    <row r="57" ht="14.25" customHeight="1">
      <c r="A57" s="6">
        <v>2.2679715E7</v>
      </c>
      <c r="B57" s="2" t="s">
        <v>302</v>
      </c>
      <c r="C57" s="2" t="s">
        <v>107</v>
      </c>
      <c r="D57" s="2" t="s">
        <v>18</v>
      </c>
      <c r="E57" s="2" t="s">
        <v>303</v>
      </c>
      <c r="F57" s="2" t="s">
        <v>304</v>
      </c>
      <c r="G57" s="2" t="s">
        <v>305</v>
      </c>
      <c r="H57" s="2" t="s">
        <v>290</v>
      </c>
      <c r="I57" s="2" t="s">
        <v>306</v>
      </c>
      <c r="J57" s="2" t="s">
        <v>296</v>
      </c>
      <c r="K57" s="2" t="s">
        <v>113</v>
      </c>
      <c r="L57" s="7">
        <v>45628.0</v>
      </c>
      <c r="M57" s="2" t="s">
        <v>154</v>
      </c>
      <c r="N57" s="2" t="s">
        <v>216</v>
      </c>
      <c r="O57" s="2" t="s">
        <v>116</v>
      </c>
      <c r="P57" s="2" t="s">
        <v>36</v>
      </c>
    </row>
    <row r="58" ht="14.25" customHeight="1">
      <c r="A58" s="6">
        <v>1.5039763E7</v>
      </c>
      <c r="B58" s="2" t="s">
        <v>307</v>
      </c>
      <c r="C58" s="2" t="s">
        <v>17</v>
      </c>
      <c r="D58" s="2" t="s">
        <v>18</v>
      </c>
      <c r="E58" s="2" t="s">
        <v>308</v>
      </c>
      <c r="F58" s="2" t="s">
        <v>309</v>
      </c>
      <c r="G58" s="2" t="s">
        <v>310</v>
      </c>
      <c r="H58" s="2" t="s">
        <v>290</v>
      </c>
      <c r="I58" s="2" t="s">
        <v>311</v>
      </c>
      <c r="J58" s="2" t="s">
        <v>215</v>
      </c>
      <c r="K58" s="2" t="s">
        <v>113</v>
      </c>
      <c r="L58" s="7">
        <v>40513.0</v>
      </c>
      <c r="M58" s="2" t="s">
        <v>312</v>
      </c>
      <c r="N58" s="2" t="s">
        <v>216</v>
      </c>
      <c r="O58" s="2" t="s">
        <v>312</v>
      </c>
      <c r="P58" s="2" t="s">
        <v>36</v>
      </c>
    </row>
    <row r="59" ht="14.25" customHeight="1">
      <c r="A59" s="6">
        <v>2.0168263E7</v>
      </c>
      <c r="B59" s="2" t="s">
        <v>313</v>
      </c>
      <c r="C59" s="2" t="s">
        <v>17</v>
      </c>
      <c r="D59" s="2" t="s">
        <v>88</v>
      </c>
      <c r="E59" s="2" t="s">
        <v>314</v>
      </c>
      <c r="F59" s="2" t="s">
        <v>315</v>
      </c>
      <c r="G59" s="2" t="s">
        <v>316</v>
      </c>
      <c r="H59" s="2" t="s">
        <v>290</v>
      </c>
      <c r="I59" s="2" t="s">
        <v>311</v>
      </c>
      <c r="J59" s="2" t="s">
        <v>215</v>
      </c>
      <c r="K59" s="2" t="s">
        <v>113</v>
      </c>
      <c r="L59" s="7">
        <v>45659.0</v>
      </c>
      <c r="M59" s="2" t="s">
        <v>312</v>
      </c>
      <c r="N59" s="2" t="s">
        <v>216</v>
      </c>
      <c r="O59" s="2" t="s">
        <v>312</v>
      </c>
      <c r="P59" s="2" t="s">
        <v>36</v>
      </c>
    </row>
    <row r="60" ht="14.25" customHeight="1">
      <c r="A60" s="6">
        <v>1.3511442E7</v>
      </c>
      <c r="B60" s="2" t="s">
        <v>317</v>
      </c>
      <c r="C60" s="2" t="s">
        <v>17</v>
      </c>
      <c r="D60" s="2" t="s">
        <v>18</v>
      </c>
      <c r="E60" s="2" t="s">
        <v>318</v>
      </c>
      <c r="F60" s="2" t="s">
        <v>319</v>
      </c>
      <c r="G60" s="2" t="s">
        <v>320</v>
      </c>
      <c r="H60" s="2" t="s">
        <v>321</v>
      </c>
      <c r="I60" s="2" t="s">
        <v>214</v>
      </c>
      <c r="J60" s="2" t="s">
        <v>215</v>
      </c>
      <c r="K60" s="2" t="s">
        <v>113</v>
      </c>
      <c r="L60" s="7">
        <v>41640.0</v>
      </c>
      <c r="M60" s="2" t="s">
        <v>25</v>
      </c>
      <c r="N60" s="2" t="s">
        <v>216</v>
      </c>
      <c r="O60" s="2" t="s">
        <v>27</v>
      </c>
      <c r="P60" s="2" t="s">
        <v>36</v>
      </c>
    </row>
    <row r="61" ht="14.25" customHeight="1">
      <c r="A61" s="6">
        <v>1.7306569E7</v>
      </c>
      <c r="B61" s="2" t="s">
        <v>322</v>
      </c>
      <c r="C61" s="2" t="s">
        <v>17</v>
      </c>
      <c r="D61" s="2" t="s">
        <v>88</v>
      </c>
      <c r="E61" s="2" t="s">
        <v>323</v>
      </c>
      <c r="F61" s="2" t="s">
        <v>324</v>
      </c>
      <c r="G61" s="2" t="s">
        <v>325</v>
      </c>
      <c r="H61" s="2" t="s">
        <v>326</v>
      </c>
      <c r="I61" s="2" t="s">
        <v>206</v>
      </c>
      <c r="J61" s="2" t="s">
        <v>207</v>
      </c>
      <c r="K61" s="2" t="s">
        <v>113</v>
      </c>
      <c r="L61" s="7">
        <v>44440.0</v>
      </c>
      <c r="M61" s="2" t="s">
        <v>116</v>
      </c>
      <c r="N61" s="2" t="s">
        <v>208</v>
      </c>
      <c r="O61" s="2" t="s">
        <v>116</v>
      </c>
      <c r="P61" s="2" t="s">
        <v>36</v>
      </c>
    </row>
    <row r="62" ht="14.25" customHeight="1">
      <c r="A62" s="8">
        <v>2.0430968E7</v>
      </c>
      <c r="B62" s="9" t="s">
        <v>327</v>
      </c>
      <c r="C62" s="9" t="s">
        <v>107</v>
      </c>
      <c r="D62" s="9" t="s">
        <v>18</v>
      </c>
      <c r="E62" s="9" t="s">
        <v>328</v>
      </c>
      <c r="F62" s="9" t="s">
        <v>329</v>
      </c>
      <c r="G62" s="9" t="s">
        <v>330</v>
      </c>
      <c r="H62" s="9" t="s">
        <v>331</v>
      </c>
      <c r="I62" s="9" t="s">
        <v>206</v>
      </c>
      <c r="J62" s="9" t="s">
        <v>207</v>
      </c>
      <c r="K62" s="9" t="s">
        <v>24</v>
      </c>
      <c r="L62" s="10">
        <v>45943.0</v>
      </c>
      <c r="M62" s="9" t="s">
        <v>154</v>
      </c>
      <c r="N62" s="9" t="s">
        <v>208</v>
      </c>
      <c r="O62" s="9" t="s">
        <v>116</v>
      </c>
      <c r="P62" s="9" t="s">
        <v>36</v>
      </c>
    </row>
    <row r="63" ht="14.25" customHeight="1">
      <c r="A63" s="6">
        <v>2.048979E7</v>
      </c>
      <c r="B63" s="2" t="s">
        <v>332</v>
      </c>
      <c r="C63" s="2" t="s">
        <v>17</v>
      </c>
      <c r="D63" s="2" t="s">
        <v>88</v>
      </c>
      <c r="E63" s="2" t="s">
        <v>333</v>
      </c>
      <c r="F63" s="2" t="s">
        <v>334</v>
      </c>
      <c r="G63" s="2" t="s">
        <v>335</v>
      </c>
      <c r="H63" s="2" t="s">
        <v>336</v>
      </c>
      <c r="I63" s="2" t="s">
        <v>337</v>
      </c>
      <c r="J63" s="2" t="s">
        <v>47</v>
      </c>
      <c r="K63" s="2" t="s">
        <v>24</v>
      </c>
      <c r="L63" s="7">
        <v>45915.0</v>
      </c>
      <c r="M63" s="2" t="s">
        <v>25</v>
      </c>
      <c r="N63" s="2" t="s">
        <v>35</v>
      </c>
      <c r="O63" s="2" t="s">
        <v>27</v>
      </c>
      <c r="P63" s="2" t="s">
        <v>36</v>
      </c>
    </row>
    <row r="64" ht="14.25" customHeight="1">
      <c r="A64" s="6">
        <v>2.0379424E7</v>
      </c>
      <c r="B64" s="2" t="s">
        <v>338</v>
      </c>
      <c r="C64" s="2" t="s">
        <v>107</v>
      </c>
      <c r="D64" s="2" t="s">
        <v>18</v>
      </c>
      <c r="E64" s="2" t="s">
        <v>339</v>
      </c>
      <c r="F64" s="2" t="s">
        <v>340</v>
      </c>
      <c r="G64" s="2" t="s">
        <v>341</v>
      </c>
      <c r="H64" s="2" t="s">
        <v>342</v>
      </c>
      <c r="I64" s="2" t="s">
        <v>343</v>
      </c>
      <c r="J64" s="2" t="s">
        <v>296</v>
      </c>
      <c r="K64" s="2" t="s">
        <v>113</v>
      </c>
      <c r="L64" s="7">
        <v>45870.0</v>
      </c>
      <c r="M64" s="2" t="s">
        <v>154</v>
      </c>
      <c r="N64" s="2" t="s">
        <v>216</v>
      </c>
      <c r="O64" s="2" t="s">
        <v>116</v>
      </c>
      <c r="P64" s="2" t="s">
        <v>36</v>
      </c>
    </row>
    <row r="65" ht="14.25" customHeight="1">
      <c r="A65" s="6">
        <v>1.8531865E7</v>
      </c>
      <c r="B65" s="2" t="s">
        <v>344</v>
      </c>
      <c r="C65" s="2" t="s">
        <v>107</v>
      </c>
      <c r="D65" s="2" t="s">
        <v>88</v>
      </c>
      <c r="E65" s="2" t="s">
        <v>345</v>
      </c>
      <c r="F65" s="2" t="s">
        <v>346</v>
      </c>
      <c r="G65" s="2" t="s">
        <v>347</v>
      </c>
      <c r="H65" s="2" t="s">
        <v>342</v>
      </c>
      <c r="I65" s="2" t="s">
        <v>348</v>
      </c>
      <c r="J65" s="2" t="s">
        <v>296</v>
      </c>
      <c r="K65" s="2" t="s">
        <v>113</v>
      </c>
      <c r="L65" s="7">
        <v>45580.0</v>
      </c>
      <c r="M65" s="2" t="s">
        <v>154</v>
      </c>
      <c r="N65" s="2" t="s">
        <v>216</v>
      </c>
      <c r="O65" s="2" t="s">
        <v>116</v>
      </c>
      <c r="P65" s="2" t="s">
        <v>36</v>
      </c>
    </row>
    <row r="66" ht="14.25" customHeight="1">
      <c r="A66" s="6">
        <v>2.3007617E7</v>
      </c>
      <c r="B66" s="2" t="s">
        <v>349</v>
      </c>
      <c r="C66" s="2" t="s">
        <v>17</v>
      </c>
      <c r="D66" s="2" t="s">
        <v>18</v>
      </c>
      <c r="E66" s="2" t="s">
        <v>350</v>
      </c>
      <c r="F66" s="2" t="s">
        <v>351</v>
      </c>
      <c r="G66" s="2" t="s">
        <v>352</v>
      </c>
      <c r="H66" s="2" t="s">
        <v>353</v>
      </c>
      <c r="I66" s="2" t="s">
        <v>354</v>
      </c>
      <c r="J66" s="2" t="s">
        <v>160</v>
      </c>
      <c r="K66" s="2" t="s">
        <v>113</v>
      </c>
      <c r="L66" s="7">
        <v>45439.0</v>
      </c>
      <c r="M66" s="2" t="s">
        <v>116</v>
      </c>
      <c r="N66" s="2" t="s">
        <v>161</v>
      </c>
      <c r="O66" s="2" t="s">
        <v>116</v>
      </c>
      <c r="P66" s="2" t="s">
        <v>36</v>
      </c>
    </row>
    <row r="67" ht="14.25" customHeight="1">
      <c r="A67" s="6">
        <v>1.8013088E7</v>
      </c>
      <c r="B67" s="2" t="s">
        <v>355</v>
      </c>
      <c r="C67" s="2" t="s">
        <v>107</v>
      </c>
      <c r="D67" s="2" t="s">
        <v>18</v>
      </c>
      <c r="E67" s="2" t="s">
        <v>356</v>
      </c>
      <c r="F67" s="2" t="s">
        <v>357</v>
      </c>
      <c r="G67" s="2" t="s">
        <v>358</v>
      </c>
      <c r="H67" s="2" t="s">
        <v>353</v>
      </c>
      <c r="I67" s="2" t="s">
        <v>359</v>
      </c>
      <c r="J67" s="2" t="s">
        <v>160</v>
      </c>
      <c r="K67" s="2" t="s">
        <v>113</v>
      </c>
      <c r="L67" s="7">
        <v>45719.0</v>
      </c>
      <c r="M67" s="2" t="s">
        <v>154</v>
      </c>
      <c r="N67" s="2" t="s">
        <v>161</v>
      </c>
      <c r="O67" s="2" t="s">
        <v>162</v>
      </c>
      <c r="P67" s="2" t="s">
        <v>36</v>
      </c>
    </row>
    <row r="68" ht="14.25" customHeight="1">
      <c r="A68" s="6">
        <v>1.9098349E7</v>
      </c>
      <c r="B68" s="2" t="s">
        <v>360</v>
      </c>
      <c r="C68" s="2" t="s">
        <v>17</v>
      </c>
      <c r="D68" s="2" t="s">
        <v>18</v>
      </c>
      <c r="E68" s="2" t="s">
        <v>361</v>
      </c>
      <c r="F68" s="2" t="s">
        <v>362</v>
      </c>
      <c r="G68" s="2" t="s">
        <v>363</v>
      </c>
      <c r="H68" s="2" t="s">
        <v>364</v>
      </c>
      <c r="I68" s="2" t="s">
        <v>365</v>
      </c>
      <c r="J68" s="2" t="s">
        <v>366</v>
      </c>
      <c r="K68" s="2" t="s">
        <v>113</v>
      </c>
      <c r="L68" s="7">
        <v>45033.0</v>
      </c>
      <c r="M68" s="2" t="s">
        <v>25</v>
      </c>
      <c r="N68" s="2" t="s">
        <v>367</v>
      </c>
      <c r="O68" s="2" t="s">
        <v>27</v>
      </c>
      <c r="P68" s="2" t="s">
        <v>36</v>
      </c>
    </row>
    <row r="69" ht="14.25" customHeight="1">
      <c r="A69" s="6">
        <v>1.9594575E7</v>
      </c>
      <c r="B69" s="2" t="s">
        <v>368</v>
      </c>
      <c r="C69" s="2" t="s">
        <v>17</v>
      </c>
      <c r="D69" s="2" t="s">
        <v>18</v>
      </c>
      <c r="E69" s="2" t="s">
        <v>369</v>
      </c>
      <c r="F69" s="2" t="s">
        <v>370</v>
      </c>
      <c r="G69" s="2" t="s">
        <v>371</v>
      </c>
      <c r="H69" s="2" t="s">
        <v>364</v>
      </c>
      <c r="I69" s="2" t="s">
        <v>365</v>
      </c>
      <c r="J69" s="2" t="s">
        <v>366</v>
      </c>
      <c r="K69" s="2" t="s">
        <v>113</v>
      </c>
      <c r="L69" s="7">
        <v>44410.0</v>
      </c>
      <c r="M69" s="2" t="s">
        <v>25</v>
      </c>
      <c r="N69" s="2" t="s">
        <v>367</v>
      </c>
      <c r="O69" s="2" t="s">
        <v>27</v>
      </c>
      <c r="P69" s="2" t="s">
        <v>36</v>
      </c>
    </row>
    <row r="70" ht="14.25" customHeight="1">
      <c r="A70" s="6">
        <v>1.8585381E7</v>
      </c>
      <c r="B70" s="2" t="s">
        <v>372</v>
      </c>
      <c r="C70" s="2" t="s">
        <v>107</v>
      </c>
      <c r="D70" s="2" t="s">
        <v>18</v>
      </c>
      <c r="E70" s="2" t="s">
        <v>373</v>
      </c>
      <c r="F70" s="2" t="s">
        <v>374</v>
      </c>
      <c r="G70" s="2" t="s">
        <v>375</v>
      </c>
      <c r="H70" s="2" t="s">
        <v>376</v>
      </c>
      <c r="I70" s="2" t="s">
        <v>266</v>
      </c>
      <c r="J70" s="2" t="s">
        <v>267</v>
      </c>
      <c r="K70" s="2" t="s">
        <v>113</v>
      </c>
      <c r="L70" s="7">
        <v>45663.0</v>
      </c>
      <c r="M70" s="2" t="s">
        <v>154</v>
      </c>
      <c r="N70" s="2" t="s">
        <v>186</v>
      </c>
      <c r="O70" s="2" t="s">
        <v>116</v>
      </c>
      <c r="P70" s="2" t="s">
        <v>36</v>
      </c>
    </row>
    <row r="71" ht="14.25" customHeight="1">
      <c r="A71" s="6">
        <v>9845271.0</v>
      </c>
      <c r="B71" s="2" t="s">
        <v>377</v>
      </c>
      <c r="C71" s="2" t="s">
        <v>17</v>
      </c>
      <c r="D71" s="2" t="s">
        <v>18</v>
      </c>
      <c r="E71" s="2" t="s">
        <v>378</v>
      </c>
      <c r="F71" s="2" t="s">
        <v>378</v>
      </c>
      <c r="G71" s="2" t="s">
        <v>379</v>
      </c>
      <c r="H71" s="2" t="s">
        <v>380</v>
      </c>
      <c r="I71" s="2" t="s">
        <v>381</v>
      </c>
      <c r="J71" s="2" t="s">
        <v>47</v>
      </c>
      <c r="K71" s="2" t="s">
        <v>113</v>
      </c>
      <c r="L71" s="7">
        <v>40513.0</v>
      </c>
      <c r="M71" s="2" t="s">
        <v>25</v>
      </c>
      <c r="N71" s="2" t="s">
        <v>35</v>
      </c>
      <c r="O71" s="2" t="s">
        <v>27</v>
      </c>
      <c r="P71" s="2" t="s">
        <v>36</v>
      </c>
    </row>
    <row r="72" ht="14.25" customHeight="1">
      <c r="A72" s="6">
        <v>1.7043493E7</v>
      </c>
      <c r="B72" s="2" t="s">
        <v>382</v>
      </c>
      <c r="C72" s="2" t="s">
        <v>17</v>
      </c>
      <c r="D72" s="2" t="s">
        <v>18</v>
      </c>
      <c r="E72" s="2" t="s">
        <v>383</v>
      </c>
      <c r="F72" s="2" t="s">
        <v>383</v>
      </c>
      <c r="G72" s="2" t="s">
        <v>384</v>
      </c>
      <c r="H72" s="2" t="s">
        <v>380</v>
      </c>
      <c r="I72" s="2" t="s">
        <v>381</v>
      </c>
      <c r="J72" s="2" t="s">
        <v>47</v>
      </c>
      <c r="K72" s="2" t="s">
        <v>113</v>
      </c>
      <c r="L72" s="7">
        <v>44543.0</v>
      </c>
      <c r="M72" s="2" t="s">
        <v>25</v>
      </c>
      <c r="N72" s="2" t="s">
        <v>35</v>
      </c>
      <c r="O72" s="2" t="s">
        <v>27</v>
      </c>
      <c r="P72" s="2" t="s">
        <v>36</v>
      </c>
    </row>
    <row r="73" ht="14.25" customHeight="1">
      <c r="A73" s="6">
        <v>1.8384012E7</v>
      </c>
      <c r="B73" s="2" t="s">
        <v>385</v>
      </c>
      <c r="C73" s="2" t="s">
        <v>17</v>
      </c>
      <c r="D73" s="2" t="s">
        <v>18</v>
      </c>
      <c r="E73" s="2" t="s">
        <v>386</v>
      </c>
      <c r="F73" s="2" t="s">
        <v>386</v>
      </c>
      <c r="G73" s="2" t="s">
        <v>387</v>
      </c>
      <c r="H73" s="2" t="s">
        <v>380</v>
      </c>
      <c r="I73" s="2" t="s">
        <v>381</v>
      </c>
      <c r="J73" s="2" t="s">
        <v>47</v>
      </c>
      <c r="K73" s="2" t="s">
        <v>113</v>
      </c>
      <c r="L73" s="7">
        <v>45303.0</v>
      </c>
      <c r="M73" s="2" t="s">
        <v>25</v>
      </c>
      <c r="N73" s="2" t="s">
        <v>35</v>
      </c>
      <c r="O73" s="2" t="s">
        <v>27</v>
      </c>
      <c r="P73" s="2" t="s">
        <v>36</v>
      </c>
    </row>
    <row r="74" ht="14.25" customHeight="1">
      <c r="A74" s="6">
        <v>1.9158186E7</v>
      </c>
      <c r="B74" s="2" t="s">
        <v>388</v>
      </c>
      <c r="C74" s="2" t="s">
        <v>107</v>
      </c>
      <c r="D74" s="2" t="s">
        <v>18</v>
      </c>
      <c r="E74" s="2" t="s">
        <v>389</v>
      </c>
      <c r="F74" s="2" t="s">
        <v>390</v>
      </c>
      <c r="G74" s="2" t="s">
        <v>391</v>
      </c>
      <c r="H74" s="2" t="s">
        <v>392</v>
      </c>
      <c r="I74" s="2" t="s">
        <v>393</v>
      </c>
      <c r="J74" s="2" t="s">
        <v>394</v>
      </c>
      <c r="K74" s="2" t="s">
        <v>113</v>
      </c>
      <c r="L74" s="7">
        <v>45689.0</v>
      </c>
      <c r="M74" s="2" t="s">
        <v>154</v>
      </c>
      <c r="N74" s="2" t="s">
        <v>367</v>
      </c>
      <c r="O74" s="2" t="s">
        <v>116</v>
      </c>
      <c r="P74" s="2" t="s">
        <v>36</v>
      </c>
    </row>
    <row r="75" ht="14.25" customHeight="1">
      <c r="A75" s="6">
        <v>2.0072501E7</v>
      </c>
      <c r="B75" s="2" t="s">
        <v>395</v>
      </c>
      <c r="C75" s="2" t="s">
        <v>107</v>
      </c>
      <c r="D75" s="2" t="s">
        <v>18</v>
      </c>
      <c r="E75" s="2" t="s">
        <v>396</v>
      </c>
      <c r="F75" s="2" t="s">
        <v>397</v>
      </c>
      <c r="G75" s="2" t="s">
        <v>398</v>
      </c>
      <c r="H75" s="2" t="s">
        <v>399</v>
      </c>
      <c r="I75" s="2" t="s">
        <v>400</v>
      </c>
      <c r="J75" s="2" t="s">
        <v>401</v>
      </c>
      <c r="K75" s="2" t="s">
        <v>113</v>
      </c>
      <c r="L75" s="7">
        <v>45593.0</v>
      </c>
      <c r="M75" s="2" t="s">
        <v>154</v>
      </c>
      <c r="N75" s="2" t="s">
        <v>208</v>
      </c>
      <c r="O75" s="2" t="s">
        <v>116</v>
      </c>
      <c r="P75" s="2" t="s">
        <v>36</v>
      </c>
    </row>
    <row r="76" ht="14.25" customHeight="1">
      <c r="A76" s="6">
        <v>1.9139244E7</v>
      </c>
      <c r="B76" s="2" t="s">
        <v>402</v>
      </c>
      <c r="C76" s="2" t="s">
        <v>107</v>
      </c>
      <c r="D76" s="2" t="s">
        <v>18</v>
      </c>
      <c r="E76" s="2" t="s">
        <v>403</v>
      </c>
      <c r="F76" s="2" t="s">
        <v>403</v>
      </c>
      <c r="G76" s="2" t="s">
        <v>404</v>
      </c>
      <c r="H76" s="2" t="s">
        <v>405</v>
      </c>
      <c r="I76" s="2" t="s">
        <v>406</v>
      </c>
      <c r="J76" s="2" t="s">
        <v>23</v>
      </c>
      <c r="K76" s="2" t="s">
        <v>24</v>
      </c>
      <c r="L76" s="7">
        <v>45922.0</v>
      </c>
      <c r="M76" s="2" t="s">
        <v>154</v>
      </c>
      <c r="N76" s="2" t="s">
        <v>26</v>
      </c>
      <c r="O76" s="2" t="s">
        <v>200</v>
      </c>
      <c r="P76" s="2" t="s">
        <v>36</v>
      </c>
    </row>
    <row r="77" ht="14.25" customHeight="1">
      <c r="A77" s="6">
        <v>1.767106E7</v>
      </c>
      <c r="B77" s="2" t="s">
        <v>407</v>
      </c>
      <c r="C77" s="2" t="s">
        <v>17</v>
      </c>
      <c r="D77" s="2" t="s">
        <v>18</v>
      </c>
      <c r="E77" s="2" t="s">
        <v>408</v>
      </c>
      <c r="F77" s="2" t="s">
        <v>409</v>
      </c>
      <c r="G77" s="2" t="s">
        <v>410</v>
      </c>
      <c r="H77" s="2" t="s">
        <v>411</v>
      </c>
      <c r="I77" s="2" t="s">
        <v>412</v>
      </c>
      <c r="J77" s="2" t="s">
        <v>413</v>
      </c>
      <c r="K77" s="2" t="s">
        <v>113</v>
      </c>
      <c r="L77" s="7">
        <v>44879.0</v>
      </c>
      <c r="M77" s="2" t="s">
        <v>116</v>
      </c>
      <c r="N77" s="2" t="s">
        <v>161</v>
      </c>
      <c r="O77" s="2" t="s">
        <v>116</v>
      </c>
      <c r="P77" s="2" t="s">
        <v>36</v>
      </c>
    </row>
    <row r="78" ht="14.25" customHeight="1">
      <c r="A78" s="6">
        <v>2.6928112E7</v>
      </c>
      <c r="B78" s="2" t="s">
        <v>414</v>
      </c>
      <c r="C78" s="2" t="s">
        <v>107</v>
      </c>
      <c r="D78" s="2" t="s">
        <v>18</v>
      </c>
      <c r="E78" s="2" t="s">
        <v>415</v>
      </c>
      <c r="F78" s="2" t="s">
        <v>416</v>
      </c>
      <c r="G78" s="2" t="s">
        <v>417</v>
      </c>
      <c r="H78" s="2" t="s">
        <v>418</v>
      </c>
      <c r="I78" s="2" t="s">
        <v>419</v>
      </c>
      <c r="J78" s="2" t="s">
        <v>420</v>
      </c>
      <c r="K78" s="2" t="s">
        <v>113</v>
      </c>
      <c r="L78" s="7">
        <v>45761.0</v>
      </c>
      <c r="M78" s="2" t="s">
        <v>154</v>
      </c>
      <c r="N78" s="2" t="s">
        <v>208</v>
      </c>
      <c r="O78" s="2" t="s">
        <v>116</v>
      </c>
      <c r="P78" s="2" t="s">
        <v>36</v>
      </c>
    </row>
    <row r="79" ht="14.25" customHeight="1">
      <c r="A79" s="6">
        <v>6918006.0</v>
      </c>
      <c r="B79" s="2" t="s">
        <v>421</v>
      </c>
      <c r="C79" s="2" t="s">
        <v>107</v>
      </c>
      <c r="D79" s="2" t="s">
        <v>88</v>
      </c>
      <c r="E79" s="2" t="s">
        <v>422</v>
      </c>
      <c r="F79" s="2" t="s">
        <v>423</v>
      </c>
      <c r="G79" s="2" t="s">
        <v>424</v>
      </c>
      <c r="H79" s="2" t="s">
        <v>418</v>
      </c>
      <c r="I79" s="2" t="s">
        <v>425</v>
      </c>
      <c r="J79" s="2" t="s">
        <v>420</v>
      </c>
      <c r="K79" s="2" t="s">
        <v>113</v>
      </c>
      <c r="L79" s="7">
        <v>40513.0</v>
      </c>
      <c r="M79" s="2" t="s">
        <v>154</v>
      </c>
      <c r="N79" s="2" t="s">
        <v>208</v>
      </c>
      <c r="O79" s="2" t="s">
        <v>116</v>
      </c>
      <c r="P79" s="2" t="s">
        <v>36</v>
      </c>
    </row>
    <row r="80" ht="14.25" customHeight="1">
      <c r="A80" s="6">
        <v>1.3074834E7</v>
      </c>
      <c r="B80" s="2" t="s">
        <v>426</v>
      </c>
      <c r="C80" s="2" t="s">
        <v>107</v>
      </c>
      <c r="D80" s="2" t="s">
        <v>18</v>
      </c>
      <c r="E80" s="2" t="s">
        <v>427</v>
      </c>
      <c r="F80" s="2" t="s">
        <v>428</v>
      </c>
      <c r="G80" s="2" t="s">
        <v>429</v>
      </c>
      <c r="H80" s="2" t="s">
        <v>430</v>
      </c>
      <c r="I80" s="2" t="s">
        <v>431</v>
      </c>
      <c r="J80" s="2" t="s">
        <v>207</v>
      </c>
      <c r="K80" s="2" t="s">
        <v>113</v>
      </c>
      <c r="L80" s="7">
        <v>45232.0</v>
      </c>
      <c r="M80" s="2" t="s">
        <v>154</v>
      </c>
      <c r="N80" s="2" t="s">
        <v>208</v>
      </c>
      <c r="O80" s="2" t="s">
        <v>116</v>
      </c>
      <c r="P80" s="2" t="s">
        <v>36</v>
      </c>
    </row>
    <row r="81" ht="14.25" customHeight="1">
      <c r="A81" s="6">
        <v>1.2943118E7</v>
      </c>
      <c r="B81" s="2" t="s">
        <v>432</v>
      </c>
      <c r="C81" s="2" t="s">
        <v>17</v>
      </c>
      <c r="D81" s="2" t="s">
        <v>18</v>
      </c>
      <c r="E81" s="2" t="s">
        <v>433</v>
      </c>
      <c r="F81" s="2" t="s">
        <v>434</v>
      </c>
      <c r="G81" s="2" t="s">
        <v>435</v>
      </c>
      <c r="H81" s="2" t="s">
        <v>430</v>
      </c>
      <c r="I81" s="2" t="s">
        <v>311</v>
      </c>
      <c r="J81" s="2" t="s">
        <v>215</v>
      </c>
      <c r="K81" s="2" t="s">
        <v>113</v>
      </c>
      <c r="L81" s="7">
        <v>40513.0</v>
      </c>
      <c r="M81" s="2" t="s">
        <v>312</v>
      </c>
      <c r="N81" s="2" t="s">
        <v>216</v>
      </c>
      <c r="O81" s="2" t="s">
        <v>312</v>
      </c>
      <c r="P81" s="2" t="s">
        <v>36</v>
      </c>
    </row>
    <row r="82" ht="14.25" customHeight="1">
      <c r="A82" s="6">
        <v>7225258.0</v>
      </c>
      <c r="B82" s="2" t="s">
        <v>436</v>
      </c>
      <c r="C82" s="2" t="s">
        <v>17</v>
      </c>
      <c r="D82" s="2" t="s">
        <v>18</v>
      </c>
      <c r="E82" s="2" t="s">
        <v>437</v>
      </c>
      <c r="F82" s="2" t="s">
        <v>438</v>
      </c>
      <c r="G82" s="2" t="s">
        <v>439</v>
      </c>
      <c r="H82" s="2" t="s">
        <v>440</v>
      </c>
      <c r="I82" s="2" t="s">
        <v>266</v>
      </c>
      <c r="J82" s="2" t="s">
        <v>185</v>
      </c>
      <c r="K82" s="2" t="s">
        <v>113</v>
      </c>
      <c r="L82" s="7">
        <v>40513.0</v>
      </c>
      <c r="M82" s="2" t="s">
        <v>116</v>
      </c>
      <c r="N82" s="2" t="s">
        <v>186</v>
      </c>
      <c r="O82" s="2" t="s">
        <v>116</v>
      </c>
      <c r="P82" s="2" t="s">
        <v>36</v>
      </c>
    </row>
    <row r="83" ht="14.25" customHeight="1">
      <c r="A83" s="6">
        <v>9749697.0</v>
      </c>
      <c r="B83" s="2" t="s">
        <v>441</v>
      </c>
      <c r="C83" s="2" t="s">
        <v>17</v>
      </c>
      <c r="D83" s="2" t="s">
        <v>18</v>
      </c>
      <c r="E83" s="2" t="s">
        <v>442</v>
      </c>
      <c r="F83" s="2" t="s">
        <v>443</v>
      </c>
      <c r="G83" s="2" t="s">
        <v>444</v>
      </c>
      <c r="H83" s="2" t="s">
        <v>445</v>
      </c>
      <c r="I83" s="2" t="s">
        <v>446</v>
      </c>
      <c r="J83" s="2" t="s">
        <v>193</v>
      </c>
      <c r="K83" s="2" t="s">
        <v>113</v>
      </c>
      <c r="L83" s="7">
        <v>45757.0</v>
      </c>
      <c r="M83" s="2" t="s">
        <v>25</v>
      </c>
      <c r="N83" s="2" t="s">
        <v>186</v>
      </c>
      <c r="O83" s="2" t="s">
        <v>27</v>
      </c>
      <c r="P83" s="2" t="s">
        <v>36</v>
      </c>
    </row>
    <row r="84" ht="14.25" customHeight="1">
      <c r="A84" s="6">
        <v>1.9972172E7</v>
      </c>
      <c r="B84" s="2" t="s">
        <v>447</v>
      </c>
      <c r="C84" s="2" t="s">
        <v>107</v>
      </c>
      <c r="D84" s="2" t="s">
        <v>18</v>
      </c>
      <c r="E84" s="2" t="s">
        <v>448</v>
      </c>
      <c r="F84" s="2" t="s">
        <v>449</v>
      </c>
      <c r="G84" s="2" t="s">
        <v>450</v>
      </c>
      <c r="H84" s="2" t="s">
        <v>451</v>
      </c>
      <c r="I84" s="2" t="s">
        <v>452</v>
      </c>
      <c r="J84" s="2" t="s">
        <v>23</v>
      </c>
      <c r="K84" s="2" t="s">
        <v>113</v>
      </c>
      <c r="L84" s="7">
        <v>45756.0</v>
      </c>
      <c r="M84" s="2" t="s">
        <v>154</v>
      </c>
      <c r="N84" s="2" t="s">
        <v>26</v>
      </c>
      <c r="O84" s="2" t="s">
        <v>200</v>
      </c>
      <c r="P84" s="2" t="s">
        <v>36</v>
      </c>
    </row>
    <row r="85" ht="14.25" customHeight="1">
      <c r="A85" s="6">
        <v>2.5689827E7</v>
      </c>
      <c r="B85" s="2" t="s">
        <v>453</v>
      </c>
      <c r="C85" s="2" t="s">
        <v>107</v>
      </c>
      <c r="D85" s="2" t="s">
        <v>18</v>
      </c>
      <c r="E85" s="2" t="s">
        <v>454</v>
      </c>
      <c r="F85" s="2" t="s">
        <v>455</v>
      </c>
      <c r="G85" s="2" t="s">
        <v>456</v>
      </c>
      <c r="H85" s="2" t="s">
        <v>451</v>
      </c>
      <c r="I85" s="2" t="s">
        <v>457</v>
      </c>
      <c r="J85" s="2" t="s">
        <v>458</v>
      </c>
      <c r="K85" s="2" t="s">
        <v>113</v>
      </c>
      <c r="L85" s="7">
        <v>45768.0</v>
      </c>
      <c r="M85" s="2" t="s">
        <v>154</v>
      </c>
      <c r="N85" s="2" t="s">
        <v>26</v>
      </c>
      <c r="O85" s="2" t="s">
        <v>162</v>
      </c>
      <c r="P85" s="2" t="s">
        <v>36</v>
      </c>
    </row>
    <row r="86" ht="14.25" customHeight="1">
      <c r="A86" s="6">
        <v>1.5598998E7</v>
      </c>
      <c r="B86" s="2" t="s">
        <v>459</v>
      </c>
      <c r="C86" s="2" t="s">
        <v>107</v>
      </c>
      <c r="D86" s="2" t="s">
        <v>18</v>
      </c>
      <c r="E86" s="2" t="s">
        <v>460</v>
      </c>
      <c r="F86" s="2" t="s">
        <v>461</v>
      </c>
      <c r="G86" s="2" t="s">
        <v>462</v>
      </c>
      <c r="H86" s="2" t="s">
        <v>463</v>
      </c>
      <c r="I86" s="2" t="s">
        <v>464</v>
      </c>
      <c r="J86" s="2" t="s">
        <v>23</v>
      </c>
      <c r="K86" s="2" t="s">
        <v>113</v>
      </c>
      <c r="L86" s="7">
        <v>44539.0</v>
      </c>
      <c r="M86" s="2" t="s">
        <v>154</v>
      </c>
      <c r="N86" s="2" t="s">
        <v>26</v>
      </c>
      <c r="O86" s="2" t="s">
        <v>465</v>
      </c>
      <c r="P86" s="2" t="s">
        <v>36</v>
      </c>
    </row>
    <row r="87" ht="14.25" customHeight="1">
      <c r="A87" s="6">
        <v>1.3090461E7</v>
      </c>
      <c r="B87" s="2" t="s">
        <v>466</v>
      </c>
      <c r="C87" s="2" t="s">
        <v>107</v>
      </c>
      <c r="D87" s="2" t="s">
        <v>88</v>
      </c>
      <c r="E87" s="2" t="s">
        <v>467</v>
      </c>
      <c r="F87" s="2" t="s">
        <v>468</v>
      </c>
      <c r="G87" s="2" t="s">
        <v>469</v>
      </c>
      <c r="H87" s="2" t="s">
        <v>470</v>
      </c>
      <c r="I87" s="2" t="s">
        <v>343</v>
      </c>
      <c r="J87" s="2" t="s">
        <v>296</v>
      </c>
      <c r="K87" s="2" t="s">
        <v>113</v>
      </c>
      <c r="L87" s="7">
        <v>43586.0</v>
      </c>
      <c r="M87" s="2" t="s">
        <v>154</v>
      </c>
      <c r="N87" s="2" t="s">
        <v>216</v>
      </c>
      <c r="O87" s="2" t="s">
        <v>116</v>
      </c>
      <c r="P87" s="2" t="s">
        <v>36</v>
      </c>
    </row>
    <row r="88" ht="14.25" customHeight="1">
      <c r="A88" s="6">
        <v>2.0676833E7</v>
      </c>
      <c r="B88" s="2" t="s">
        <v>471</v>
      </c>
      <c r="C88" s="2" t="s">
        <v>107</v>
      </c>
      <c r="D88" s="2" t="s">
        <v>88</v>
      </c>
      <c r="E88" s="2" t="s">
        <v>472</v>
      </c>
      <c r="F88" s="2" t="s">
        <v>473</v>
      </c>
      <c r="G88" s="2" t="s">
        <v>474</v>
      </c>
      <c r="H88" s="2" t="s">
        <v>470</v>
      </c>
      <c r="I88" s="2" t="s">
        <v>343</v>
      </c>
      <c r="J88" s="2" t="s">
        <v>296</v>
      </c>
      <c r="K88" s="2" t="s">
        <v>113</v>
      </c>
      <c r="L88" s="7">
        <v>44714.0</v>
      </c>
      <c r="M88" s="2" t="s">
        <v>154</v>
      </c>
      <c r="N88" s="2" t="s">
        <v>216</v>
      </c>
      <c r="O88" s="2" t="s">
        <v>116</v>
      </c>
      <c r="P88" s="2" t="s">
        <v>36</v>
      </c>
    </row>
    <row r="89" ht="14.25" customHeight="1">
      <c r="A89" s="6">
        <v>7774833.0</v>
      </c>
      <c r="B89" s="2" t="s">
        <v>475</v>
      </c>
      <c r="C89" s="2" t="s">
        <v>107</v>
      </c>
      <c r="D89" s="2" t="s">
        <v>88</v>
      </c>
      <c r="E89" s="2" t="s">
        <v>476</v>
      </c>
      <c r="F89" s="2" t="s">
        <v>477</v>
      </c>
      <c r="G89" s="2" t="s">
        <v>478</v>
      </c>
      <c r="H89" s="2" t="s">
        <v>470</v>
      </c>
      <c r="I89" s="2" t="s">
        <v>295</v>
      </c>
      <c r="J89" s="2" t="s">
        <v>296</v>
      </c>
      <c r="K89" s="2" t="s">
        <v>113</v>
      </c>
      <c r="L89" s="7">
        <v>40513.0</v>
      </c>
      <c r="M89" s="2" t="s">
        <v>154</v>
      </c>
      <c r="N89" s="2" t="s">
        <v>216</v>
      </c>
      <c r="O89" s="2" t="s">
        <v>116</v>
      </c>
      <c r="P89" s="2" t="s">
        <v>36</v>
      </c>
    </row>
    <row r="90" ht="14.25" customHeight="1">
      <c r="A90" s="6">
        <v>1.1947432E7</v>
      </c>
      <c r="B90" s="2" t="s">
        <v>479</v>
      </c>
      <c r="C90" s="2" t="s">
        <v>17</v>
      </c>
      <c r="D90" s="2" t="s">
        <v>18</v>
      </c>
      <c r="E90" s="2" t="s">
        <v>480</v>
      </c>
      <c r="F90" s="2" t="s">
        <v>481</v>
      </c>
      <c r="G90" s="2" t="s">
        <v>482</v>
      </c>
      <c r="H90" s="2" t="s">
        <v>483</v>
      </c>
      <c r="I90" s="2" t="s">
        <v>206</v>
      </c>
      <c r="J90" s="2" t="s">
        <v>207</v>
      </c>
      <c r="K90" s="2" t="s">
        <v>113</v>
      </c>
      <c r="L90" s="7">
        <v>43984.0</v>
      </c>
      <c r="M90" s="2" t="s">
        <v>116</v>
      </c>
      <c r="N90" s="2" t="s">
        <v>208</v>
      </c>
      <c r="O90" s="2" t="s">
        <v>116</v>
      </c>
      <c r="P90" s="2" t="s">
        <v>36</v>
      </c>
    </row>
    <row r="91" ht="14.25" customHeight="1">
      <c r="A91" s="6">
        <v>1.241677E7</v>
      </c>
      <c r="B91" s="2" t="s">
        <v>484</v>
      </c>
      <c r="C91" s="2" t="s">
        <v>17</v>
      </c>
      <c r="D91" s="2" t="s">
        <v>18</v>
      </c>
      <c r="E91" s="2" t="s">
        <v>485</v>
      </c>
      <c r="F91" s="2" t="s">
        <v>486</v>
      </c>
      <c r="G91" s="2" t="s">
        <v>487</v>
      </c>
      <c r="H91" s="2" t="s">
        <v>483</v>
      </c>
      <c r="I91" s="2" t="s">
        <v>206</v>
      </c>
      <c r="J91" s="2" t="s">
        <v>207</v>
      </c>
      <c r="K91" s="2" t="s">
        <v>113</v>
      </c>
      <c r="L91" s="7">
        <v>42370.0</v>
      </c>
      <c r="M91" s="2" t="s">
        <v>116</v>
      </c>
      <c r="N91" s="2" t="s">
        <v>208</v>
      </c>
      <c r="O91" s="2" t="s">
        <v>116</v>
      </c>
      <c r="P91" s="2" t="s">
        <v>36</v>
      </c>
    </row>
    <row r="92" ht="14.25" customHeight="1">
      <c r="A92" s="6">
        <v>1.7599746E7</v>
      </c>
      <c r="B92" s="2" t="s">
        <v>488</v>
      </c>
      <c r="C92" s="2" t="s">
        <v>107</v>
      </c>
      <c r="D92" s="2" t="s">
        <v>18</v>
      </c>
      <c r="E92" s="2" t="s">
        <v>489</v>
      </c>
      <c r="F92" s="2" t="s">
        <v>490</v>
      </c>
      <c r="G92" s="2" t="s">
        <v>491</v>
      </c>
      <c r="H92" s="2" t="s">
        <v>483</v>
      </c>
      <c r="I92" s="2" t="s">
        <v>206</v>
      </c>
      <c r="J92" s="2" t="s">
        <v>207</v>
      </c>
      <c r="K92" s="2" t="s">
        <v>113</v>
      </c>
      <c r="L92" s="7">
        <v>45845.0</v>
      </c>
      <c r="M92" s="2" t="s">
        <v>154</v>
      </c>
      <c r="N92" s="2" t="s">
        <v>208</v>
      </c>
      <c r="O92" s="2" t="s">
        <v>116</v>
      </c>
      <c r="P92" s="2" t="s">
        <v>36</v>
      </c>
    </row>
    <row r="93" ht="14.25" customHeight="1">
      <c r="A93" s="6">
        <v>1.9090327E7</v>
      </c>
      <c r="B93" s="2" t="s">
        <v>492</v>
      </c>
      <c r="C93" s="2" t="s">
        <v>107</v>
      </c>
      <c r="D93" s="2" t="s">
        <v>18</v>
      </c>
      <c r="E93" s="2" t="s">
        <v>493</v>
      </c>
      <c r="F93" s="2" t="s">
        <v>494</v>
      </c>
      <c r="G93" s="2" t="s">
        <v>495</v>
      </c>
      <c r="H93" s="2" t="s">
        <v>496</v>
      </c>
      <c r="I93" s="2" t="s">
        <v>452</v>
      </c>
      <c r="J93" s="2" t="s">
        <v>458</v>
      </c>
      <c r="K93" s="2" t="s">
        <v>113</v>
      </c>
      <c r="L93" s="7">
        <v>45705.0</v>
      </c>
      <c r="M93" s="2" t="s">
        <v>154</v>
      </c>
      <c r="N93" s="2" t="s">
        <v>26</v>
      </c>
      <c r="O93" s="2" t="s">
        <v>200</v>
      </c>
      <c r="P93" s="2" t="s">
        <v>36</v>
      </c>
    </row>
    <row r="94" ht="14.25" customHeight="1">
      <c r="A94" s="6">
        <v>1.7814866E7</v>
      </c>
      <c r="B94" s="2" t="s">
        <v>497</v>
      </c>
      <c r="C94" s="2" t="s">
        <v>107</v>
      </c>
      <c r="D94" s="2" t="s">
        <v>88</v>
      </c>
      <c r="E94" s="2" t="s">
        <v>498</v>
      </c>
      <c r="F94" s="2" t="s">
        <v>499</v>
      </c>
      <c r="G94" s="2" t="s">
        <v>500</v>
      </c>
      <c r="H94" s="2" t="s">
        <v>496</v>
      </c>
      <c r="I94" s="2" t="s">
        <v>452</v>
      </c>
      <c r="J94" s="2" t="s">
        <v>23</v>
      </c>
      <c r="K94" s="2" t="s">
        <v>113</v>
      </c>
      <c r="L94" s="7">
        <v>45355.0</v>
      </c>
      <c r="M94" s="2" t="s">
        <v>154</v>
      </c>
      <c r="N94" s="2" t="s">
        <v>26</v>
      </c>
      <c r="O94" s="2" t="s">
        <v>200</v>
      </c>
      <c r="P94" s="2" t="s">
        <v>36</v>
      </c>
    </row>
    <row r="95" ht="14.25" customHeight="1">
      <c r="A95" s="6">
        <v>1.9489003E7</v>
      </c>
      <c r="B95" s="2" t="s">
        <v>501</v>
      </c>
      <c r="C95" s="2" t="s">
        <v>107</v>
      </c>
      <c r="D95" s="2" t="s">
        <v>88</v>
      </c>
      <c r="E95" s="2" t="s">
        <v>502</v>
      </c>
      <c r="F95" s="2" t="s">
        <v>503</v>
      </c>
      <c r="G95" s="2" t="s">
        <v>504</v>
      </c>
      <c r="H95" s="2" t="s">
        <v>496</v>
      </c>
      <c r="I95" s="2" t="s">
        <v>452</v>
      </c>
      <c r="J95" s="2" t="s">
        <v>23</v>
      </c>
      <c r="K95" s="2" t="s">
        <v>113</v>
      </c>
      <c r="L95" s="7">
        <v>44949.0</v>
      </c>
      <c r="M95" s="2" t="s">
        <v>154</v>
      </c>
      <c r="N95" s="2" t="s">
        <v>26</v>
      </c>
      <c r="O95" s="2" t="s">
        <v>200</v>
      </c>
      <c r="P95" s="2" t="s">
        <v>36</v>
      </c>
    </row>
    <row r="96" ht="14.25" customHeight="1">
      <c r="A96" s="6">
        <v>1.7182681E7</v>
      </c>
      <c r="B96" s="2" t="s">
        <v>505</v>
      </c>
      <c r="C96" s="2" t="s">
        <v>107</v>
      </c>
      <c r="D96" s="2" t="s">
        <v>18</v>
      </c>
      <c r="E96" s="2" t="s">
        <v>506</v>
      </c>
      <c r="F96" s="2" t="s">
        <v>507</v>
      </c>
      <c r="G96" s="2" t="s">
        <v>508</v>
      </c>
      <c r="H96" s="2" t="s">
        <v>496</v>
      </c>
      <c r="I96" s="2" t="s">
        <v>452</v>
      </c>
      <c r="J96" s="2" t="s">
        <v>23</v>
      </c>
      <c r="K96" s="2" t="s">
        <v>113</v>
      </c>
      <c r="L96" s="7">
        <v>45623.0</v>
      </c>
      <c r="M96" s="2" t="s">
        <v>154</v>
      </c>
      <c r="N96" s="2" t="s">
        <v>26</v>
      </c>
      <c r="O96" s="2" t="s">
        <v>200</v>
      </c>
      <c r="P96" s="2" t="s">
        <v>36</v>
      </c>
    </row>
    <row r="97" ht="14.25" customHeight="1">
      <c r="A97" s="6">
        <v>1.0790134E7</v>
      </c>
      <c r="B97" s="2" t="s">
        <v>509</v>
      </c>
      <c r="C97" s="2" t="s">
        <v>17</v>
      </c>
      <c r="D97" s="2" t="s">
        <v>18</v>
      </c>
      <c r="E97" s="2" t="s">
        <v>510</v>
      </c>
      <c r="F97" s="2" t="s">
        <v>511</v>
      </c>
      <c r="G97" s="2" t="s">
        <v>512</v>
      </c>
      <c r="H97" s="2" t="s">
        <v>513</v>
      </c>
      <c r="I97" s="2" t="s">
        <v>514</v>
      </c>
      <c r="J97" s="2" t="s">
        <v>62</v>
      </c>
      <c r="K97" s="2" t="s">
        <v>113</v>
      </c>
      <c r="L97" s="7">
        <v>40513.0</v>
      </c>
      <c r="M97" s="2" t="s">
        <v>312</v>
      </c>
      <c r="N97" s="2" t="s">
        <v>35</v>
      </c>
      <c r="O97" s="2" t="s">
        <v>312</v>
      </c>
      <c r="P97" s="2" t="s">
        <v>36</v>
      </c>
    </row>
    <row r="98" ht="14.25" customHeight="1">
      <c r="A98" s="6">
        <v>1.6307467E7</v>
      </c>
      <c r="B98" s="2" t="s">
        <v>515</v>
      </c>
      <c r="C98" s="2" t="s">
        <v>17</v>
      </c>
      <c r="D98" s="2" t="s">
        <v>18</v>
      </c>
      <c r="E98" s="2" t="s">
        <v>516</v>
      </c>
      <c r="F98" s="2" t="s">
        <v>517</v>
      </c>
      <c r="G98" s="2" t="s">
        <v>518</v>
      </c>
      <c r="H98" s="2" t="s">
        <v>513</v>
      </c>
      <c r="I98" s="2" t="s">
        <v>514</v>
      </c>
      <c r="J98" s="2" t="s">
        <v>62</v>
      </c>
      <c r="K98" s="2" t="s">
        <v>113</v>
      </c>
      <c r="L98" s="7">
        <v>44781.0</v>
      </c>
      <c r="M98" s="2" t="s">
        <v>312</v>
      </c>
      <c r="N98" s="2" t="s">
        <v>35</v>
      </c>
      <c r="O98" s="2" t="s">
        <v>312</v>
      </c>
      <c r="P98" s="2" t="s">
        <v>36</v>
      </c>
    </row>
    <row r="99" ht="14.25" customHeight="1">
      <c r="A99" s="6">
        <v>1.575616E7</v>
      </c>
      <c r="B99" s="2" t="s">
        <v>519</v>
      </c>
      <c r="C99" s="2" t="s">
        <v>17</v>
      </c>
      <c r="D99" s="2" t="s">
        <v>18</v>
      </c>
      <c r="E99" s="2" t="s">
        <v>520</v>
      </c>
      <c r="F99" s="2" t="s">
        <v>521</v>
      </c>
      <c r="G99" s="2" t="s">
        <v>522</v>
      </c>
      <c r="H99" s="2" t="s">
        <v>523</v>
      </c>
      <c r="I99" s="2" t="s">
        <v>524</v>
      </c>
      <c r="J99" s="2" t="s">
        <v>93</v>
      </c>
      <c r="K99" s="2" t="s">
        <v>113</v>
      </c>
      <c r="L99" s="7">
        <v>40513.0</v>
      </c>
      <c r="M99" s="2" t="s">
        <v>25</v>
      </c>
      <c r="N99" s="2" t="s">
        <v>35</v>
      </c>
      <c r="O99" s="2" t="s">
        <v>27</v>
      </c>
      <c r="P99" s="2" t="s">
        <v>36</v>
      </c>
    </row>
    <row r="100" ht="14.25" customHeight="1">
      <c r="A100" s="6">
        <v>1.2049689E7</v>
      </c>
      <c r="B100" s="2" t="s">
        <v>525</v>
      </c>
      <c r="C100" s="2" t="s">
        <v>107</v>
      </c>
      <c r="D100" s="2" t="s">
        <v>88</v>
      </c>
      <c r="E100" s="2" t="s">
        <v>526</v>
      </c>
      <c r="F100" s="2" t="s">
        <v>527</v>
      </c>
      <c r="G100" s="2" t="s">
        <v>528</v>
      </c>
      <c r="H100" s="2" t="s">
        <v>529</v>
      </c>
      <c r="I100" s="2" t="s">
        <v>530</v>
      </c>
      <c r="J100" s="2" t="s">
        <v>115</v>
      </c>
      <c r="K100" s="2" t="s">
        <v>113</v>
      </c>
      <c r="L100" s="7">
        <v>43081.0</v>
      </c>
      <c r="M100" s="2" t="s">
        <v>154</v>
      </c>
      <c r="N100" s="2" t="s">
        <v>115</v>
      </c>
      <c r="O100" s="2" t="s">
        <v>116</v>
      </c>
      <c r="P100" s="2" t="s">
        <v>36</v>
      </c>
    </row>
    <row r="101" ht="14.25" customHeight="1">
      <c r="A101" s="6">
        <v>2.5808641E7</v>
      </c>
      <c r="B101" s="2" t="s">
        <v>531</v>
      </c>
      <c r="C101" s="2" t="s">
        <v>17</v>
      </c>
      <c r="D101" s="2" t="s">
        <v>18</v>
      </c>
      <c r="E101" s="2" t="s">
        <v>532</v>
      </c>
      <c r="F101" s="2" t="s">
        <v>533</v>
      </c>
      <c r="G101" s="2" t="s">
        <v>534</v>
      </c>
      <c r="H101" s="2" t="s">
        <v>535</v>
      </c>
      <c r="I101" s="2" t="s">
        <v>536</v>
      </c>
      <c r="J101" s="2" t="s">
        <v>537</v>
      </c>
      <c r="K101" s="2" t="s">
        <v>113</v>
      </c>
      <c r="L101" s="7">
        <v>43466.0</v>
      </c>
      <c r="M101" s="2" t="s">
        <v>25</v>
      </c>
      <c r="N101" s="2" t="s">
        <v>26</v>
      </c>
      <c r="O101" s="2" t="s">
        <v>27</v>
      </c>
      <c r="P101" s="2" t="s">
        <v>36</v>
      </c>
    </row>
    <row r="102" ht="14.25" customHeight="1">
      <c r="A102" s="6">
        <v>1.3725991E7</v>
      </c>
      <c r="B102" s="2" t="s">
        <v>538</v>
      </c>
      <c r="C102" s="2" t="s">
        <v>17</v>
      </c>
      <c r="D102" s="2" t="s">
        <v>18</v>
      </c>
      <c r="E102" s="2" t="s">
        <v>539</v>
      </c>
      <c r="F102" s="2" t="s">
        <v>540</v>
      </c>
      <c r="G102" s="2" t="s">
        <v>541</v>
      </c>
      <c r="H102" s="2" t="s">
        <v>542</v>
      </c>
      <c r="I102" s="2" t="s">
        <v>406</v>
      </c>
      <c r="J102" s="2" t="s">
        <v>23</v>
      </c>
      <c r="K102" s="2" t="s">
        <v>113</v>
      </c>
      <c r="L102" s="7">
        <v>41185.0</v>
      </c>
      <c r="M102" s="2" t="s">
        <v>25</v>
      </c>
      <c r="N102" s="2" t="s">
        <v>26</v>
      </c>
      <c r="O102" s="2" t="s">
        <v>76</v>
      </c>
      <c r="P102" s="2" t="s">
        <v>36</v>
      </c>
    </row>
    <row r="103" ht="14.25" customHeight="1">
      <c r="A103" s="6">
        <v>1.744448E7</v>
      </c>
      <c r="B103" s="2" t="s">
        <v>543</v>
      </c>
      <c r="C103" s="2" t="s">
        <v>107</v>
      </c>
      <c r="D103" s="2" t="s">
        <v>88</v>
      </c>
      <c r="E103" s="2" t="s">
        <v>544</v>
      </c>
      <c r="F103" s="2" t="s">
        <v>545</v>
      </c>
      <c r="G103" s="2" t="s">
        <v>546</v>
      </c>
      <c r="H103" s="2" t="s">
        <v>542</v>
      </c>
      <c r="I103" s="2" t="s">
        <v>406</v>
      </c>
      <c r="J103" s="2" t="s">
        <v>23</v>
      </c>
      <c r="K103" s="2" t="s">
        <v>113</v>
      </c>
      <c r="L103" s="7">
        <v>45293.0</v>
      </c>
      <c r="M103" s="2" t="s">
        <v>154</v>
      </c>
      <c r="N103" s="2" t="s">
        <v>26</v>
      </c>
      <c r="O103" s="2" t="s">
        <v>200</v>
      </c>
      <c r="P103" s="2" t="s">
        <v>36</v>
      </c>
    </row>
    <row r="104" ht="14.25" customHeight="1">
      <c r="A104" s="6">
        <v>1.7043704E7</v>
      </c>
      <c r="B104" s="2" t="s">
        <v>547</v>
      </c>
      <c r="C104" s="2" t="s">
        <v>107</v>
      </c>
      <c r="D104" s="2" t="s">
        <v>88</v>
      </c>
      <c r="E104" s="2" t="s">
        <v>548</v>
      </c>
      <c r="F104" s="2" t="s">
        <v>549</v>
      </c>
      <c r="G104" s="2" t="s">
        <v>550</v>
      </c>
      <c r="H104" s="2" t="s">
        <v>542</v>
      </c>
      <c r="I104" s="2" t="s">
        <v>406</v>
      </c>
      <c r="J104" s="2" t="s">
        <v>23</v>
      </c>
      <c r="K104" s="2" t="s">
        <v>113</v>
      </c>
      <c r="L104" s="7">
        <v>44697.0</v>
      </c>
      <c r="M104" s="2" t="s">
        <v>154</v>
      </c>
      <c r="N104" s="2" t="s">
        <v>26</v>
      </c>
      <c r="O104" s="2" t="s">
        <v>200</v>
      </c>
      <c r="P104" s="2" t="s">
        <v>36</v>
      </c>
    </row>
    <row r="105" ht="14.25" customHeight="1">
      <c r="A105" s="6">
        <v>1.8817164E7</v>
      </c>
      <c r="B105" s="2" t="s">
        <v>551</v>
      </c>
      <c r="C105" s="2" t="s">
        <v>107</v>
      </c>
      <c r="D105" s="2" t="s">
        <v>88</v>
      </c>
      <c r="E105" s="2" t="s">
        <v>552</v>
      </c>
      <c r="F105" s="2" t="s">
        <v>553</v>
      </c>
      <c r="G105" s="2" t="s">
        <v>554</v>
      </c>
      <c r="H105" s="2" t="s">
        <v>542</v>
      </c>
      <c r="I105" s="2" t="s">
        <v>406</v>
      </c>
      <c r="J105" s="2" t="s">
        <v>23</v>
      </c>
      <c r="K105" s="2" t="s">
        <v>113</v>
      </c>
      <c r="L105" s="7">
        <v>45264.0</v>
      </c>
      <c r="M105" s="2" t="s">
        <v>154</v>
      </c>
      <c r="N105" s="2" t="s">
        <v>26</v>
      </c>
      <c r="O105" s="2" t="s">
        <v>27</v>
      </c>
      <c r="P105" s="2" t="s">
        <v>36</v>
      </c>
    </row>
    <row r="106" ht="14.25" customHeight="1">
      <c r="A106" s="6">
        <v>1.9110696E7</v>
      </c>
      <c r="B106" s="2" t="s">
        <v>555</v>
      </c>
      <c r="C106" s="2" t="s">
        <v>107</v>
      </c>
      <c r="D106" s="2" t="s">
        <v>88</v>
      </c>
      <c r="E106" s="2" t="s">
        <v>556</v>
      </c>
      <c r="F106" s="2" t="s">
        <v>557</v>
      </c>
      <c r="G106" s="2" t="s">
        <v>558</v>
      </c>
      <c r="H106" s="2" t="s">
        <v>542</v>
      </c>
      <c r="I106" s="2" t="s">
        <v>406</v>
      </c>
      <c r="J106" s="2" t="s">
        <v>559</v>
      </c>
      <c r="K106" s="2" t="s">
        <v>113</v>
      </c>
      <c r="L106" s="7">
        <v>43473.0</v>
      </c>
      <c r="M106" s="2" t="s">
        <v>154</v>
      </c>
      <c r="N106" s="2" t="s">
        <v>26</v>
      </c>
      <c r="O106" s="2" t="s">
        <v>200</v>
      </c>
      <c r="P106" s="2" t="s">
        <v>36</v>
      </c>
    </row>
    <row r="107" ht="14.25" customHeight="1">
      <c r="A107" s="6">
        <v>1.7208678E7</v>
      </c>
      <c r="B107" s="2" t="s">
        <v>560</v>
      </c>
      <c r="C107" s="2" t="s">
        <v>107</v>
      </c>
      <c r="D107" s="2" t="s">
        <v>88</v>
      </c>
      <c r="E107" s="2" t="s">
        <v>561</v>
      </c>
      <c r="F107" s="2" t="s">
        <v>562</v>
      </c>
      <c r="G107" s="2" t="s">
        <v>563</v>
      </c>
      <c r="H107" s="2" t="s">
        <v>542</v>
      </c>
      <c r="I107" s="2" t="s">
        <v>406</v>
      </c>
      <c r="J107" s="2" t="s">
        <v>23</v>
      </c>
      <c r="K107" s="2" t="s">
        <v>113</v>
      </c>
      <c r="L107" s="7">
        <v>44564.0</v>
      </c>
      <c r="M107" s="2" t="s">
        <v>154</v>
      </c>
      <c r="N107" s="2" t="s">
        <v>26</v>
      </c>
      <c r="O107" s="2" t="s">
        <v>200</v>
      </c>
      <c r="P107" s="2" t="s">
        <v>36</v>
      </c>
    </row>
    <row r="108" ht="14.25" customHeight="1">
      <c r="A108" s="6">
        <v>1.2923725E7</v>
      </c>
      <c r="B108" s="2" t="s">
        <v>564</v>
      </c>
      <c r="C108" s="2" t="s">
        <v>107</v>
      </c>
      <c r="D108" s="2" t="s">
        <v>88</v>
      </c>
      <c r="E108" s="2" t="s">
        <v>565</v>
      </c>
      <c r="F108" s="2" t="s">
        <v>566</v>
      </c>
      <c r="G108" s="2" t="s">
        <v>567</v>
      </c>
      <c r="H108" s="2" t="s">
        <v>542</v>
      </c>
      <c r="I108" s="2" t="s">
        <v>406</v>
      </c>
      <c r="J108" s="2" t="s">
        <v>23</v>
      </c>
      <c r="K108" s="2" t="s">
        <v>113</v>
      </c>
      <c r="L108" s="7">
        <v>42005.0</v>
      </c>
      <c r="M108" s="2" t="s">
        <v>154</v>
      </c>
      <c r="N108" s="2" t="s">
        <v>26</v>
      </c>
      <c r="O108" s="2" t="s">
        <v>27</v>
      </c>
      <c r="P108" s="2" t="s">
        <v>36</v>
      </c>
    </row>
    <row r="109" ht="14.25" customHeight="1">
      <c r="A109" s="6">
        <v>2.039349E7</v>
      </c>
      <c r="B109" s="2" t="s">
        <v>568</v>
      </c>
      <c r="C109" s="2" t="s">
        <v>107</v>
      </c>
      <c r="D109" s="2" t="s">
        <v>38</v>
      </c>
      <c r="E109" s="2" t="s">
        <v>569</v>
      </c>
      <c r="F109" s="2" t="s">
        <v>570</v>
      </c>
      <c r="G109" s="2" t="s">
        <v>571</v>
      </c>
      <c r="H109" s="2" t="s">
        <v>542</v>
      </c>
      <c r="I109" s="2" t="s">
        <v>406</v>
      </c>
      <c r="J109" s="2" t="s">
        <v>23</v>
      </c>
      <c r="K109" s="2" t="s">
        <v>113</v>
      </c>
      <c r="L109" s="7">
        <v>45362.0</v>
      </c>
      <c r="M109" s="2" t="s">
        <v>154</v>
      </c>
      <c r="N109" s="2" t="s">
        <v>26</v>
      </c>
      <c r="O109" s="2" t="s">
        <v>200</v>
      </c>
      <c r="P109" s="2" t="s">
        <v>36</v>
      </c>
    </row>
    <row r="110" ht="14.25" customHeight="1">
      <c r="A110" s="6">
        <v>1.0266617E7</v>
      </c>
      <c r="B110" s="2" t="s">
        <v>572</v>
      </c>
      <c r="C110" s="2" t="s">
        <v>107</v>
      </c>
      <c r="D110" s="2" t="s">
        <v>88</v>
      </c>
      <c r="E110" s="2" t="s">
        <v>573</v>
      </c>
      <c r="F110" s="2" t="s">
        <v>574</v>
      </c>
      <c r="G110" s="2" t="s">
        <v>575</v>
      </c>
      <c r="H110" s="2" t="s">
        <v>542</v>
      </c>
      <c r="I110" s="2" t="s">
        <v>406</v>
      </c>
      <c r="J110" s="2" t="s">
        <v>23</v>
      </c>
      <c r="K110" s="2" t="s">
        <v>113</v>
      </c>
      <c r="L110" s="7">
        <v>40513.0</v>
      </c>
      <c r="M110" s="2" t="s">
        <v>154</v>
      </c>
      <c r="N110" s="2" t="s">
        <v>26</v>
      </c>
      <c r="O110" s="2" t="s">
        <v>200</v>
      </c>
      <c r="P110" s="2" t="s">
        <v>36</v>
      </c>
    </row>
    <row r="111" ht="14.25" customHeight="1">
      <c r="A111" s="6">
        <v>1.9297306E7</v>
      </c>
      <c r="B111" s="2" t="s">
        <v>576</v>
      </c>
      <c r="C111" s="2" t="s">
        <v>107</v>
      </c>
      <c r="D111" s="2" t="s">
        <v>88</v>
      </c>
      <c r="E111" s="2" t="s">
        <v>577</v>
      </c>
      <c r="F111" s="2" t="s">
        <v>578</v>
      </c>
      <c r="G111" s="2" t="s">
        <v>579</v>
      </c>
      <c r="H111" s="2" t="s">
        <v>542</v>
      </c>
      <c r="I111" s="2" t="s">
        <v>406</v>
      </c>
      <c r="J111" s="2" t="s">
        <v>23</v>
      </c>
      <c r="K111" s="2" t="s">
        <v>113</v>
      </c>
      <c r="L111" s="7">
        <v>44228.0</v>
      </c>
      <c r="M111" s="2" t="s">
        <v>154</v>
      </c>
      <c r="N111" s="2" t="s">
        <v>26</v>
      </c>
      <c r="O111" s="2" t="s">
        <v>27</v>
      </c>
      <c r="P111" s="2" t="s">
        <v>36</v>
      </c>
    </row>
    <row r="112" ht="14.25" customHeight="1">
      <c r="A112" s="6">
        <v>9505249.0</v>
      </c>
      <c r="B112" s="2" t="s">
        <v>580</v>
      </c>
      <c r="C112" s="2" t="s">
        <v>107</v>
      </c>
      <c r="D112" s="2" t="s">
        <v>88</v>
      </c>
      <c r="E112" s="2" t="s">
        <v>581</v>
      </c>
      <c r="F112" s="2" t="s">
        <v>582</v>
      </c>
      <c r="G112" s="2" t="s">
        <v>583</v>
      </c>
      <c r="H112" s="2" t="s">
        <v>542</v>
      </c>
      <c r="I112" s="2" t="s">
        <v>406</v>
      </c>
      <c r="J112" s="2" t="s">
        <v>23</v>
      </c>
      <c r="K112" s="2" t="s">
        <v>113</v>
      </c>
      <c r="L112" s="7">
        <v>40575.0</v>
      </c>
      <c r="M112" s="2" t="s">
        <v>154</v>
      </c>
      <c r="N112" s="2" t="s">
        <v>26</v>
      </c>
      <c r="O112" s="2" t="s">
        <v>200</v>
      </c>
      <c r="P112" s="2" t="s">
        <v>36</v>
      </c>
    </row>
    <row r="113" ht="14.25" customHeight="1">
      <c r="A113" s="6">
        <v>2.6443363E7</v>
      </c>
      <c r="B113" s="2" t="s">
        <v>584</v>
      </c>
      <c r="C113" s="2" t="s">
        <v>17</v>
      </c>
      <c r="D113" s="2" t="s">
        <v>18</v>
      </c>
      <c r="E113" s="2" t="s">
        <v>585</v>
      </c>
      <c r="F113" s="2" t="s">
        <v>586</v>
      </c>
      <c r="G113" s="2" t="s">
        <v>587</v>
      </c>
      <c r="H113" s="2" t="s">
        <v>542</v>
      </c>
      <c r="I113" s="2" t="s">
        <v>588</v>
      </c>
      <c r="J113" s="2" t="s">
        <v>23</v>
      </c>
      <c r="K113" s="2" t="s">
        <v>113</v>
      </c>
      <c r="L113" s="7">
        <v>45026.0</v>
      </c>
      <c r="M113" s="2" t="s">
        <v>25</v>
      </c>
      <c r="N113" s="2" t="s">
        <v>26</v>
      </c>
      <c r="O113" s="2" t="s">
        <v>200</v>
      </c>
      <c r="P113" s="2" t="s">
        <v>36</v>
      </c>
    </row>
    <row r="114" ht="14.25" customHeight="1">
      <c r="A114" s="6">
        <v>1.7573894E7</v>
      </c>
      <c r="B114" s="2" t="s">
        <v>589</v>
      </c>
      <c r="C114" s="2" t="s">
        <v>17</v>
      </c>
      <c r="D114" s="2" t="s">
        <v>18</v>
      </c>
      <c r="E114" s="2" t="s">
        <v>590</v>
      </c>
      <c r="F114" s="2" t="s">
        <v>591</v>
      </c>
      <c r="G114" s="2" t="s">
        <v>592</v>
      </c>
      <c r="H114" s="2" t="s">
        <v>593</v>
      </c>
      <c r="I114" s="2" t="s">
        <v>406</v>
      </c>
      <c r="J114" s="2" t="s">
        <v>23</v>
      </c>
      <c r="K114" s="2" t="s">
        <v>113</v>
      </c>
      <c r="L114" s="7">
        <v>44257.0</v>
      </c>
      <c r="M114" s="2" t="s">
        <v>25</v>
      </c>
      <c r="N114" s="2" t="s">
        <v>26</v>
      </c>
      <c r="O114" s="2" t="s">
        <v>76</v>
      </c>
      <c r="P114" s="2" t="s">
        <v>36</v>
      </c>
    </row>
    <row r="115" ht="14.25" customHeight="1">
      <c r="A115" s="6">
        <v>2.0149363E7</v>
      </c>
      <c r="B115" s="2" t="s">
        <v>594</v>
      </c>
      <c r="C115" s="2" t="s">
        <v>17</v>
      </c>
      <c r="D115" s="2" t="s">
        <v>18</v>
      </c>
      <c r="E115" s="2" t="s">
        <v>595</v>
      </c>
      <c r="F115" s="2" t="s">
        <v>595</v>
      </c>
      <c r="G115" s="2" t="s">
        <v>596</v>
      </c>
      <c r="H115" s="2" t="s">
        <v>69</v>
      </c>
      <c r="I115" s="2" t="s">
        <v>588</v>
      </c>
      <c r="J115" s="2" t="s">
        <v>23</v>
      </c>
      <c r="K115" s="2" t="s">
        <v>24</v>
      </c>
      <c r="L115" s="7">
        <v>45782.0</v>
      </c>
      <c r="M115" s="2" t="s">
        <v>25</v>
      </c>
      <c r="N115" s="2" t="s">
        <v>26</v>
      </c>
      <c r="O115" s="2" t="s">
        <v>200</v>
      </c>
      <c r="P115" s="2" t="s">
        <v>36</v>
      </c>
    </row>
    <row r="116" ht="14.25" customHeight="1">
      <c r="A116" s="6">
        <v>1.4377145E7</v>
      </c>
      <c r="B116" s="2" t="s">
        <v>597</v>
      </c>
      <c r="C116" s="2" t="s">
        <v>17</v>
      </c>
      <c r="D116" s="2" t="s">
        <v>88</v>
      </c>
      <c r="E116" s="2" t="s">
        <v>598</v>
      </c>
      <c r="F116" s="2" t="s">
        <v>599</v>
      </c>
      <c r="G116" s="2" t="s">
        <v>600</v>
      </c>
      <c r="H116" s="2" t="s">
        <v>69</v>
      </c>
      <c r="I116" s="2" t="s">
        <v>588</v>
      </c>
      <c r="J116" s="2" t="s">
        <v>537</v>
      </c>
      <c r="K116" s="2" t="s">
        <v>24</v>
      </c>
      <c r="L116" s="7">
        <v>45721.0</v>
      </c>
      <c r="M116" s="2" t="s">
        <v>25</v>
      </c>
      <c r="N116" s="2" t="s">
        <v>26</v>
      </c>
      <c r="O116" s="2" t="s">
        <v>27</v>
      </c>
      <c r="P116" s="2" t="s">
        <v>36</v>
      </c>
    </row>
    <row r="117" ht="14.25" customHeight="1">
      <c r="A117" s="6">
        <v>1.9799362E7</v>
      </c>
      <c r="B117" s="2" t="s">
        <v>601</v>
      </c>
      <c r="C117" s="2" t="s">
        <v>17</v>
      </c>
      <c r="D117" s="2" t="s">
        <v>18</v>
      </c>
      <c r="E117" s="2" t="s">
        <v>602</v>
      </c>
      <c r="F117" s="2" t="s">
        <v>603</v>
      </c>
      <c r="G117" s="2" t="s">
        <v>604</v>
      </c>
      <c r="H117" s="2" t="s">
        <v>69</v>
      </c>
      <c r="I117" s="2" t="s">
        <v>536</v>
      </c>
      <c r="J117" s="2" t="s">
        <v>537</v>
      </c>
      <c r="K117" s="2" t="s">
        <v>113</v>
      </c>
      <c r="L117" s="7">
        <v>45294.0</v>
      </c>
      <c r="M117" s="2" t="s">
        <v>25</v>
      </c>
      <c r="N117" s="2" t="s">
        <v>26</v>
      </c>
      <c r="O117" s="2" t="s">
        <v>27</v>
      </c>
      <c r="P117" s="2" t="s">
        <v>36</v>
      </c>
    </row>
    <row r="118" ht="14.25" customHeight="1">
      <c r="A118" s="6">
        <v>2.0195336E7</v>
      </c>
      <c r="B118" s="2" t="s">
        <v>605</v>
      </c>
      <c r="C118" s="2" t="s">
        <v>17</v>
      </c>
      <c r="D118" s="2" t="s">
        <v>88</v>
      </c>
      <c r="E118" s="2" t="s">
        <v>606</v>
      </c>
      <c r="F118" s="2" t="s">
        <v>606</v>
      </c>
      <c r="G118" s="2" t="s">
        <v>607</v>
      </c>
      <c r="H118" s="2" t="s">
        <v>69</v>
      </c>
      <c r="I118" s="2" t="s">
        <v>41</v>
      </c>
      <c r="J118" s="2" t="s">
        <v>23</v>
      </c>
      <c r="K118" s="2" t="s">
        <v>24</v>
      </c>
      <c r="L118" s="7">
        <v>45936.0</v>
      </c>
      <c r="M118" s="2" t="s">
        <v>25</v>
      </c>
      <c r="N118" s="2" t="s">
        <v>26</v>
      </c>
      <c r="O118" s="2" t="s">
        <v>76</v>
      </c>
      <c r="P118" s="2" t="s">
        <v>28</v>
      </c>
    </row>
    <row r="119" ht="14.25" customHeight="1">
      <c r="A119" s="6">
        <v>2.0903569E7</v>
      </c>
      <c r="B119" s="2" t="s">
        <v>608</v>
      </c>
      <c r="C119" s="2" t="s">
        <v>17</v>
      </c>
      <c r="D119" s="2" t="s">
        <v>88</v>
      </c>
      <c r="E119" s="2" t="s">
        <v>609</v>
      </c>
      <c r="F119" s="2" t="s">
        <v>609</v>
      </c>
      <c r="G119" s="2" t="s">
        <v>610</v>
      </c>
      <c r="H119" s="2" t="s">
        <v>69</v>
      </c>
      <c r="I119" s="2" t="s">
        <v>22</v>
      </c>
      <c r="J119" s="2" t="s">
        <v>23</v>
      </c>
      <c r="K119" s="2" t="s">
        <v>24</v>
      </c>
      <c r="L119" s="7">
        <v>45936.0</v>
      </c>
      <c r="M119" s="2" t="s">
        <v>25</v>
      </c>
      <c r="N119" s="2" t="s">
        <v>26</v>
      </c>
      <c r="O119" s="2" t="s">
        <v>27</v>
      </c>
      <c r="P119" s="2" t="s">
        <v>28</v>
      </c>
    </row>
    <row r="120" ht="14.25" customHeight="1">
      <c r="A120" s="6">
        <v>1.9827439E7</v>
      </c>
      <c r="B120" s="2" t="s">
        <v>611</v>
      </c>
      <c r="C120" s="2" t="s">
        <v>17</v>
      </c>
      <c r="D120" s="2" t="s">
        <v>18</v>
      </c>
      <c r="E120" s="2" t="s">
        <v>612</v>
      </c>
      <c r="F120" s="2" t="s">
        <v>612</v>
      </c>
      <c r="G120" s="2" t="s">
        <v>613</v>
      </c>
      <c r="H120" s="2" t="s">
        <v>69</v>
      </c>
      <c r="I120" s="2" t="s">
        <v>22</v>
      </c>
      <c r="J120" s="2" t="s">
        <v>23</v>
      </c>
      <c r="K120" s="2" t="s">
        <v>24</v>
      </c>
      <c r="L120" s="7">
        <v>45936.0</v>
      </c>
      <c r="M120" s="2" t="s">
        <v>25</v>
      </c>
      <c r="N120" s="2" t="s">
        <v>26</v>
      </c>
      <c r="O120" s="2" t="s">
        <v>27</v>
      </c>
      <c r="P120" s="2" t="s">
        <v>28</v>
      </c>
    </row>
    <row r="121" ht="14.25" customHeight="1">
      <c r="A121" s="6">
        <v>1.8138028E7</v>
      </c>
      <c r="B121" s="2" t="s">
        <v>614</v>
      </c>
      <c r="C121" s="2" t="s">
        <v>17</v>
      </c>
      <c r="D121" s="2" t="s">
        <v>18</v>
      </c>
      <c r="E121" s="2" t="s">
        <v>615</v>
      </c>
      <c r="F121" s="2" t="s">
        <v>615</v>
      </c>
      <c r="G121" s="2" t="s">
        <v>616</v>
      </c>
      <c r="H121" s="2" t="s">
        <v>69</v>
      </c>
      <c r="I121" s="2" t="s">
        <v>22</v>
      </c>
      <c r="J121" s="2" t="s">
        <v>23</v>
      </c>
      <c r="K121" s="2" t="s">
        <v>24</v>
      </c>
      <c r="L121" s="7">
        <v>45936.0</v>
      </c>
      <c r="M121" s="2" t="s">
        <v>25</v>
      </c>
      <c r="N121" s="2" t="s">
        <v>26</v>
      </c>
      <c r="O121" s="2" t="s">
        <v>27</v>
      </c>
      <c r="P121" s="2" t="s">
        <v>28</v>
      </c>
    </row>
    <row r="122" ht="14.25" customHeight="1">
      <c r="A122" s="6">
        <v>2.6604004E7</v>
      </c>
      <c r="B122" s="2" t="s">
        <v>617</v>
      </c>
      <c r="C122" s="2" t="s">
        <v>17</v>
      </c>
      <c r="D122" s="2" t="s">
        <v>18</v>
      </c>
      <c r="E122" s="2" t="s">
        <v>618</v>
      </c>
      <c r="F122" s="2" t="s">
        <v>619</v>
      </c>
      <c r="G122" s="2" t="s">
        <v>620</v>
      </c>
      <c r="H122" s="2" t="s">
        <v>621</v>
      </c>
      <c r="I122" s="2" t="s">
        <v>622</v>
      </c>
      <c r="J122" s="2" t="s">
        <v>62</v>
      </c>
      <c r="K122" s="2" t="s">
        <v>113</v>
      </c>
      <c r="L122" s="7">
        <v>44531.0</v>
      </c>
      <c r="M122" s="2" t="s">
        <v>48</v>
      </c>
      <c r="N122" s="2" t="s">
        <v>35</v>
      </c>
      <c r="O122" s="2" t="s">
        <v>27</v>
      </c>
      <c r="P122" s="2" t="s">
        <v>28</v>
      </c>
    </row>
    <row r="123" ht="14.25" customHeight="1">
      <c r="A123" s="6">
        <v>9713420.0</v>
      </c>
      <c r="B123" s="2" t="s">
        <v>623</v>
      </c>
      <c r="C123" s="2" t="s">
        <v>17</v>
      </c>
      <c r="D123" s="2" t="s">
        <v>18</v>
      </c>
      <c r="E123" s="2" t="s">
        <v>624</v>
      </c>
      <c r="F123" s="2" t="s">
        <v>625</v>
      </c>
      <c r="G123" s="2" t="s">
        <v>626</v>
      </c>
      <c r="H123" s="2" t="s">
        <v>621</v>
      </c>
      <c r="I123" s="2" t="s">
        <v>622</v>
      </c>
      <c r="J123" s="2" t="s">
        <v>62</v>
      </c>
      <c r="K123" s="2" t="s">
        <v>113</v>
      </c>
      <c r="L123" s="7">
        <v>41640.0</v>
      </c>
      <c r="M123" s="2" t="s">
        <v>25</v>
      </c>
      <c r="N123" s="2" t="s">
        <v>35</v>
      </c>
      <c r="O123" s="2" t="s">
        <v>27</v>
      </c>
      <c r="P123" s="2" t="s">
        <v>36</v>
      </c>
    </row>
    <row r="124" ht="14.25" customHeight="1">
      <c r="A124" s="6">
        <v>1.6038547E7</v>
      </c>
      <c r="B124" s="2" t="s">
        <v>627</v>
      </c>
      <c r="C124" s="2" t="s">
        <v>17</v>
      </c>
      <c r="D124" s="2" t="s">
        <v>18</v>
      </c>
      <c r="G124" s="2" t="s">
        <v>628</v>
      </c>
      <c r="H124" s="2" t="s">
        <v>629</v>
      </c>
      <c r="I124" s="2" t="s">
        <v>178</v>
      </c>
      <c r="J124" s="2" t="s">
        <v>93</v>
      </c>
      <c r="K124" s="2" t="s">
        <v>630</v>
      </c>
      <c r="L124" s="7">
        <v>45681.0</v>
      </c>
      <c r="M124" s="2" t="s">
        <v>94</v>
      </c>
      <c r="N124" s="2" t="s">
        <v>35</v>
      </c>
      <c r="O124" s="2" t="s">
        <v>27</v>
      </c>
      <c r="P124" s="2" t="s">
        <v>28</v>
      </c>
    </row>
    <row r="125" ht="14.25" customHeight="1">
      <c r="A125" s="6">
        <v>1.8417675E7</v>
      </c>
      <c r="B125" s="2" t="s">
        <v>175</v>
      </c>
      <c r="C125" s="2" t="s">
        <v>17</v>
      </c>
      <c r="D125" s="2" t="s">
        <v>18</v>
      </c>
      <c r="E125" s="2" t="s">
        <v>176</v>
      </c>
      <c r="F125" s="2" t="s">
        <v>176</v>
      </c>
      <c r="G125" s="2" t="s">
        <v>177</v>
      </c>
      <c r="H125" s="2" t="s">
        <v>629</v>
      </c>
      <c r="I125" s="2" t="s">
        <v>178</v>
      </c>
      <c r="J125" s="2" t="s">
        <v>93</v>
      </c>
      <c r="K125" s="2" t="s">
        <v>630</v>
      </c>
      <c r="L125" s="7">
        <v>45826.0</v>
      </c>
      <c r="M125" s="2" t="s">
        <v>94</v>
      </c>
      <c r="N125" s="2" t="s">
        <v>35</v>
      </c>
      <c r="O125" s="2" t="s">
        <v>27</v>
      </c>
      <c r="P125" s="2" t="s">
        <v>28</v>
      </c>
    </row>
    <row r="126" ht="14.25" customHeight="1">
      <c r="A126" s="6">
        <v>1.5614411E7</v>
      </c>
      <c r="B126" s="2" t="s">
        <v>631</v>
      </c>
      <c r="C126" s="2" t="s">
        <v>17</v>
      </c>
      <c r="D126" s="2" t="s">
        <v>18</v>
      </c>
      <c r="E126" s="2" t="s">
        <v>632</v>
      </c>
      <c r="F126" s="2" t="s">
        <v>633</v>
      </c>
      <c r="G126" s="2" t="s">
        <v>634</v>
      </c>
      <c r="H126" s="2" t="s">
        <v>635</v>
      </c>
      <c r="I126" s="2" t="s">
        <v>111</v>
      </c>
      <c r="J126" s="2" t="s">
        <v>112</v>
      </c>
      <c r="K126" s="2" t="s">
        <v>113</v>
      </c>
      <c r="L126" s="7">
        <v>43836.0</v>
      </c>
      <c r="M126" s="2" t="s">
        <v>25</v>
      </c>
      <c r="N126" s="2" t="s">
        <v>115</v>
      </c>
      <c r="O126" s="2" t="s">
        <v>27</v>
      </c>
      <c r="P126" s="2" t="s">
        <v>36</v>
      </c>
    </row>
    <row r="127" ht="14.25" customHeight="1">
      <c r="A127" s="6">
        <v>1.17225E7</v>
      </c>
      <c r="B127" s="2" t="s">
        <v>636</v>
      </c>
      <c r="C127" s="2" t="s">
        <v>17</v>
      </c>
      <c r="D127" s="2" t="s">
        <v>18</v>
      </c>
      <c r="E127" s="2" t="s">
        <v>637</v>
      </c>
      <c r="F127" s="2" t="s">
        <v>638</v>
      </c>
      <c r="G127" s="2" t="s">
        <v>639</v>
      </c>
      <c r="H127" s="2" t="s">
        <v>635</v>
      </c>
      <c r="I127" s="2" t="s">
        <v>111</v>
      </c>
      <c r="J127" s="2" t="s">
        <v>112</v>
      </c>
      <c r="K127" s="2" t="s">
        <v>113</v>
      </c>
      <c r="L127" s="7">
        <v>44593.0</v>
      </c>
      <c r="M127" s="2" t="s">
        <v>312</v>
      </c>
      <c r="N127" s="2" t="s">
        <v>115</v>
      </c>
      <c r="O127" s="2" t="s">
        <v>312</v>
      </c>
      <c r="P127" s="2" t="s">
        <v>36</v>
      </c>
    </row>
    <row r="128" ht="14.25" customHeight="1">
      <c r="A128" s="6">
        <v>1.3685377E7</v>
      </c>
      <c r="B128" s="2" t="s">
        <v>640</v>
      </c>
      <c r="C128" s="2" t="s">
        <v>17</v>
      </c>
      <c r="D128" s="2" t="s">
        <v>18</v>
      </c>
      <c r="E128" s="2" t="s">
        <v>641</v>
      </c>
      <c r="F128" s="2" t="s">
        <v>642</v>
      </c>
      <c r="G128" s="2" t="s">
        <v>643</v>
      </c>
      <c r="H128" s="2" t="s">
        <v>644</v>
      </c>
      <c r="I128" s="2" t="s">
        <v>111</v>
      </c>
      <c r="J128" s="2" t="s">
        <v>112</v>
      </c>
      <c r="K128" s="2" t="s">
        <v>113</v>
      </c>
      <c r="L128" s="7">
        <v>41778.0</v>
      </c>
      <c r="M128" s="2" t="s">
        <v>116</v>
      </c>
      <c r="N128" s="2" t="s">
        <v>115</v>
      </c>
      <c r="O128" s="2" t="s">
        <v>116</v>
      </c>
      <c r="P128" s="2" t="s">
        <v>36</v>
      </c>
    </row>
    <row r="129" ht="14.25" customHeight="1">
      <c r="A129" s="6">
        <v>1.5529692E7</v>
      </c>
      <c r="B129" s="2" t="s">
        <v>645</v>
      </c>
      <c r="C129" s="2" t="s">
        <v>17</v>
      </c>
      <c r="D129" s="2" t="s">
        <v>18</v>
      </c>
      <c r="E129" s="2" t="s">
        <v>646</v>
      </c>
      <c r="F129" s="2" t="s">
        <v>647</v>
      </c>
      <c r="G129" s="2" t="s">
        <v>648</v>
      </c>
      <c r="H129" s="2" t="s">
        <v>649</v>
      </c>
      <c r="I129" s="2" t="s">
        <v>650</v>
      </c>
      <c r="J129" s="2" t="s">
        <v>112</v>
      </c>
      <c r="K129" s="2" t="s">
        <v>113</v>
      </c>
      <c r="L129" s="7">
        <v>43857.0</v>
      </c>
      <c r="M129" s="2" t="s">
        <v>25</v>
      </c>
      <c r="N129" s="2" t="s">
        <v>115</v>
      </c>
      <c r="O129" s="2" t="s">
        <v>27</v>
      </c>
      <c r="P129" s="2" t="s">
        <v>36</v>
      </c>
    </row>
    <row r="130" ht="14.25" customHeight="1">
      <c r="A130" s="6">
        <v>1.2039485E7</v>
      </c>
      <c r="B130" s="2" t="s">
        <v>651</v>
      </c>
      <c r="C130" s="2" t="s">
        <v>17</v>
      </c>
      <c r="D130" s="2" t="s">
        <v>18</v>
      </c>
      <c r="E130" s="2" t="s">
        <v>652</v>
      </c>
      <c r="F130" s="2" t="s">
        <v>653</v>
      </c>
      <c r="G130" s="2" t="s">
        <v>654</v>
      </c>
      <c r="H130" s="2" t="s">
        <v>655</v>
      </c>
      <c r="I130" s="2" t="s">
        <v>656</v>
      </c>
      <c r="J130" s="2" t="s">
        <v>185</v>
      </c>
      <c r="K130" s="2" t="s">
        <v>113</v>
      </c>
      <c r="L130" s="7">
        <v>45558.0</v>
      </c>
      <c r="M130" s="2" t="s">
        <v>25</v>
      </c>
      <c r="N130" s="2" t="s">
        <v>186</v>
      </c>
      <c r="O130" s="2" t="s">
        <v>27</v>
      </c>
      <c r="P130" s="2" t="s">
        <v>36</v>
      </c>
    </row>
    <row r="131" ht="14.25" customHeight="1">
      <c r="A131" s="6">
        <v>1.744465E7</v>
      </c>
      <c r="B131" s="2" t="s">
        <v>657</v>
      </c>
      <c r="C131" s="2" t="s">
        <v>17</v>
      </c>
      <c r="D131" s="2" t="s">
        <v>57</v>
      </c>
      <c r="E131" s="2" t="s">
        <v>658</v>
      </c>
      <c r="F131" s="2" t="s">
        <v>658</v>
      </c>
      <c r="G131" s="2" t="s">
        <v>659</v>
      </c>
      <c r="H131" s="2" t="s">
        <v>660</v>
      </c>
      <c r="I131" s="2" t="s">
        <v>105</v>
      </c>
      <c r="J131" s="2" t="s">
        <v>62</v>
      </c>
      <c r="K131" s="2" t="s">
        <v>24</v>
      </c>
      <c r="L131" s="7">
        <v>45938.0</v>
      </c>
      <c r="M131" s="2" t="s">
        <v>25</v>
      </c>
      <c r="N131" s="2" t="s">
        <v>35</v>
      </c>
      <c r="O131" s="2" t="s">
        <v>27</v>
      </c>
      <c r="P131" s="2" t="s">
        <v>28</v>
      </c>
    </row>
    <row r="132" ht="14.25" customHeight="1">
      <c r="A132" s="6">
        <v>1.7232589E7</v>
      </c>
      <c r="B132" s="2" t="s">
        <v>661</v>
      </c>
      <c r="C132" s="2" t="s">
        <v>17</v>
      </c>
      <c r="D132" s="2" t="s">
        <v>57</v>
      </c>
      <c r="E132" s="2" t="s">
        <v>662</v>
      </c>
      <c r="F132" s="2" t="s">
        <v>662</v>
      </c>
      <c r="G132" s="2" t="s">
        <v>663</v>
      </c>
      <c r="H132" s="2" t="s">
        <v>660</v>
      </c>
      <c r="I132" s="2" t="s">
        <v>61</v>
      </c>
      <c r="J132" s="2" t="s">
        <v>62</v>
      </c>
      <c r="K132" s="2" t="s">
        <v>24</v>
      </c>
      <c r="L132" s="7">
        <v>45938.0</v>
      </c>
      <c r="M132" s="2" t="s">
        <v>25</v>
      </c>
      <c r="N132" s="2" t="s">
        <v>35</v>
      </c>
      <c r="O132" s="2" t="s">
        <v>27</v>
      </c>
      <c r="P132" s="2" t="s">
        <v>28</v>
      </c>
    </row>
    <row r="133" ht="14.25" customHeight="1">
      <c r="A133" s="6">
        <v>8978847.0</v>
      </c>
      <c r="B133" s="2" t="s">
        <v>664</v>
      </c>
      <c r="C133" s="2" t="s">
        <v>17</v>
      </c>
      <c r="D133" s="2" t="s">
        <v>18</v>
      </c>
      <c r="E133" s="2" t="s">
        <v>665</v>
      </c>
      <c r="F133" s="2" t="s">
        <v>665</v>
      </c>
      <c r="G133" s="2" t="s">
        <v>666</v>
      </c>
      <c r="H133" s="2" t="s">
        <v>667</v>
      </c>
      <c r="I133" s="2" t="s">
        <v>668</v>
      </c>
      <c r="J133" s="2" t="s">
        <v>537</v>
      </c>
      <c r="K133" s="2" t="s">
        <v>113</v>
      </c>
      <c r="L133" s="7">
        <v>40513.0</v>
      </c>
      <c r="M133" s="2" t="s">
        <v>312</v>
      </c>
      <c r="N133" s="2" t="s">
        <v>26</v>
      </c>
      <c r="O133" s="2" t="s">
        <v>312</v>
      </c>
      <c r="P133" s="2" t="s">
        <v>36</v>
      </c>
    </row>
    <row r="134" ht="14.25" customHeight="1">
      <c r="A134" s="6">
        <v>1.4131725E7</v>
      </c>
      <c r="B134" s="2" t="s">
        <v>669</v>
      </c>
      <c r="C134" s="2" t="s">
        <v>17</v>
      </c>
      <c r="D134" s="2" t="s">
        <v>18</v>
      </c>
      <c r="E134" s="2" t="s">
        <v>670</v>
      </c>
      <c r="F134" s="2" t="s">
        <v>670</v>
      </c>
      <c r="G134" s="2" t="s">
        <v>671</v>
      </c>
      <c r="H134" s="2" t="s">
        <v>667</v>
      </c>
      <c r="I134" s="2" t="s">
        <v>668</v>
      </c>
      <c r="J134" s="2" t="s">
        <v>537</v>
      </c>
      <c r="K134" s="2" t="s">
        <v>113</v>
      </c>
      <c r="L134" s="7">
        <v>44929.0</v>
      </c>
      <c r="M134" s="2" t="s">
        <v>312</v>
      </c>
      <c r="N134" s="2" t="s">
        <v>26</v>
      </c>
      <c r="O134" s="2" t="s">
        <v>312</v>
      </c>
      <c r="P134" s="2" t="s">
        <v>36</v>
      </c>
    </row>
    <row r="135" ht="14.25" customHeight="1">
      <c r="A135" s="6">
        <v>1.4385954E7</v>
      </c>
      <c r="B135" s="2" t="s">
        <v>672</v>
      </c>
      <c r="C135" s="2" t="s">
        <v>17</v>
      </c>
      <c r="D135" s="2" t="s">
        <v>167</v>
      </c>
      <c r="E135" s="2" t="s">
        <v>673</v>
      </c>
      <c r="F135" s="2" t="s">
        <v>673</v>
      </c>
      <c r="G135" s="2" t="s">
        <v>674</v>
      </c>
      <c r="H135" s="2" t="s">
        <v>667</v>
      </c>
      <c r="I135" s="2" t="s">
        <v>668</v>
      </c>
      <c r="J135" s="2" t="s">
        <v>537</v>
      </c>
      <c r="K135" s="2" t="s">
        <v>24</v>
      </c>
      <c r="L135" s="7">
        <v>45761.0</v>
      </c>
      <c r="M135" s="2" t="s">
        <v>312</v>
      </c>
      <c r="N135" s="2" t="s">
        <v>26</v>
      </c>
      <c r="O135" s="2" t="s">
        <v>312</v>
      </c>
      <c r="P135" s="2" t="s">
        <v>36</v>
      </c>
    </row>
    <row r="136" ht="14.25" customHeight="1">
      <c r="A136" s="6">
        <v>1.7624797E7</v>
      </c>
      <c r="B136" s="2" t="s">
        <v>675</v>
      </c>
      <c r="C136" s="2" t="s">
        <v>17</v>
      </c>
      <c r="D136" s="2" t="s">
        <v>18</v>
      </c>
      <c r="E136" s="2" t="s">
        <v>676</v>
      </c>
      <c r="F136" s="2" t="s">
        <v>676</v>
      </c>
      <c r="G136" s="2" t="s">
        <v>677</v>
      </c>
      <c r="H136" s="2" t="s">
        <v>667</v>
      </c>
      <c r="I136" s="2" t="s">
        <v>668</v>
      </c>
      <c r="J136" s="2" t="s">
        <v>537</v>
      </c>
      <c r="K136" s="2" t="s">
        <v>113</v>
      </c>
      <c r="L136" s="7">
        <v>45334.0</v>
      </c>
      <c r="M136" s="2" t="s">
        <v>312</v>
      </c>
      <c r="N136" s="2" t="s">
        <v>26</v>
      </c>
      <c r="O136" s="2" t="s">
        <v>312</v>
      </c>
      <c r="P136" s="2" t="s">
        <v>36</v>
      </c>
    </row>
    <row r="137" ht="14.25" customHeight="1">
      <c r="A137" s="6">
        <v>1.9310405E7</v>
      </c>
      <c r="B137" s="2" t="s">
        <v>678</v>
      </c>
      <c r="C137" s="2" t="s">
        <v>17</v>
      </c>
      <c r="D137" s="2" t="s">
        <v>18</v>
      </c>
      <c r="E137" s="2" t="s">
        <v>679</v>
      </c>
      <c r="F137" s="2" t="s">
        <v>680</v>
      </c>
      <c r="G137" s="2" t="s">
        <v>681</v>
      </c>
      <c r="H137" s="2" t="s">
        <v>682</v>
      </c>
      <c r="I137" s="2" t="s">
        <v>683</v>
      </c>
      <c r="J137" s="2" t="s">
        <v>160</v>
      </c>
      <c r="K137" s="2" t="s">
        <v>113</v>
      </c>
      <c r="L137" s="7">
        <v>44824.0</v>
      </c>
      <c r="M137" s="2" t="s">
        <v>116</v>
      </c>
      <c r="N137" s="2" t="s">
        <v>161</v>
      </c>
      <c r="O137" s="2" t="s">
        <v>116</v>
      </c>
      <c r="P137" s="2" t="s">
        <v>36</v>
      </c>
    </row>
    <row r="138" ht="14.25" customHeight="1">
      <c r="A138" s="6">
        <v>1.6657109E7</v>
      </c>
      <c r="B138" s="2" t="s">
        <v>684</v>
      </c>
      <c r="C138" s="2" t="s">
        <v>107</v>
      </c>
      <c r="D138" s="2" t="s">
        <v>18</v>
      </c>
      <c r="E138" s="2" t="s">
        <v>685</v>
      </c>
      <c r="F138" s="2" t="s">
        <v>686</v>
      </c>
      <c r="G138" s="2" t="s">
        <v>687</v>
      </c>
      <c r="H138" s="2" t="s">
        <v>682</v>
      </c>
      <c r="I138" s="2" t="s">
        <v>159</v>
      </c>
      <c r="J138" s="2" t="s">
        <v>160</v>
      </c>
      <c r="K138" s="2" t="s">
        <v>113</v>
      </c>
      <c r="L138" s="7">
        <v>44578.0</v>
      </c>
      <c r="M138" s="2" t="s">
        <v>154</v>
      </c>
      <c r="N138" s="2" t="s">
        <v>161</v>
      </c>
      <c r="O138" s="2" t="s">
        <v>162</v>
      </c>
      <c r="P138" s="2" t="s">
        <v>36</v>
      </c>
    </row>
    <row r="139" ht="14.25" customHeight="1">
      <c r="A139" s="6">
        <v>1.9076929E7</v>
      </c>
      <c r="B139" s="2" t="s">
        <v>688</v>
      </c>
      <c r="C139" s="2" t="s">
        <v>107</v>
      </c>
      <c r="D139" s="2" t="s">
        <v>18</v>
      </c>
      <c r="E139" s="2" t="s">
        <v>689</v>
      </c>
      <c r="F139" s="2" t="s">
        <v>690</v>
      </c>
      <c r="G139" s="2" t="s">
        <v>691</v>
      </c>
      <c r="H139" s="2" t="s">
        <v>692</v>
      </c>
      <c r="I139" s="2" t="s">
        <v>412</v>
      </c>
      <c r="J139" s="2" t="s">
        <v>413</v>
      </c>
      <c r="K139" s="2" t="s">
        <v>113</v>
      </c>
      <c r="L139" s="7">
        <v>45201.0</v>
      </c>
      <c r="M139" s="2" t="s">
        <v>154</v>
      </c>
      <c r="N139" s="2" t="s">
        <v>161</v>
      </c>
      <c r="O139" s="2" t="s">
        <v>162</v>
      </c>
      <c r="P139" s="2" t="s">
        <v>36</v>
      </c>
    </row>
    <row r="140" ht="14.25" customHeight="1">
      <c r="A140" s="6">
        <v>1.4062615E7</v>
      </c>
      <c r="B140" s="2" t="s">
        <v>693</v>
      </c>
      <c r="C140" s="2" t="s">
        <v>17</v>
      </c>
      <c r="D140" s="2" t="s">
        <v>18</v>
      </c>
      <c r="E140" s="2" t="s">
        <v>694</v>
      </c>
      <c r="F140" s="2" t="s">
        <v>694</v>
      </c>
      <c r="G140" s="2" t="s">
        <v>695</v>
      </c>
      <c r="H140" s="2" t="s">
        <v>170</v>
      </c>
      <c r="I140" s="2" t="s">
        <v>22</v>
      </c>
      <c r="J140" s="2" t="s">
        <v>23</v>
      </c>
      <c r="K140" s="2" t="s">
        <v>113</v>
      </c>
      <c r="L140" s="7">
        <v>45600.0</v>
      </c>
      <c r="M140" s="2" t="s">
        <v>25</v>
      </c>
      <c r="N140" s="2" t="s">
        <v>26</v>
      </c>
      <c r="O140" s="2" t="s">
        <v>27</v>
      </c>
      <c r="P140" s="2" t="s">
        <v>36</v>
      </c>
    </row>
    <row r="141" ht="14.25" customHeight="1">
      <c r="A141" s="6">
        <v>1.9281385E7</v>
      </c>
      <c r="B141" s="2" t="s">
        <v>696</v>
      </c>
      <c r="C141" s="2" t="s">
        <v>17</v>
      </c>
      <c r="D141" s="2" t="s">
        <v>18</v>
      </c>
      <c r="E141" s="2" t="s">
        <v>697</v>
      </c>
      <c r="F141" s="2" t="s">
        <v>697</v>
      </c>
      <c r="G141" s="2" t="s">
        <v>698</v>
      </c>
      <c r="H141" s="2" t="s">
        <v>170</v>
      </c>
      <c r="I141" s="2" t="s">
        <v>22</v>
      </c>
      <c r="J141" s="2" t="s">
        <v>23</v>
      </c>
      <c r="K141" s="2" t="s">
        <v>113</v>
      </c>
      <c r="L141" s="7">
        <v>45275.0</v>
      </c>
      <c r="M141" s="2" t="s">
        <v>25</v>
      </c>
      <c r="N141" s="2" t="s">
        <v>26</v>
      </c>
      <c r="O141" s="2" t="s">
        <v>27</v>
      </c>
      <c r="P141" s="2" t="s">
        <v>36</v>
      </c>
    </row>
    <row r="142" ht="14.25" customHeight="1">
      <c r="A142" s="6">
        <v>1.519412E7</v>
      </c>
      <c r="B142" s="2" t="s">
        <v>699</v>
      </c>
      <c r="C142" s="2" t="s">
        <v>17</v>
      </c>
      <c r="D142" s="2" t="s">
        <v>18</v>
      </c>
      <c r="E142" s="2" t="s">
        <v>700</v>
      </c>
      <c r="F142" s="2" t="s">
        <v>700</v>
      </c>
      <c r="G142" s="2" t="s">
        <v>701</v>
      </c>
      <c r="H142" s="2" t="s">
        <v>170</v>
      </c>
      <c r="I142" s="2" t="s">
        <v>702</v>
      </c>
      <c r="J142" s="2" t="s">
        <v>23</v>
      </c>
      <c r="K142" s="2" t="s">
        <v>113</v>
      </c>
      <c r="L142" s="7">
        <v>43899.0</v>
      </c>
      <c r="M142" s="2" t="s">
        <v>25</v>
      </c>
      <c r="N142" s="2" t="s">
        <v>26</v>
      </c>
      <c r="O142" s="2" t="s">
        <v>76</v>
      </c>
      <c r="P142" s="2" t="s">
        <v>36</v>
      </c>
    </row>
    <row r="143" ht="14.25" customHeight="1">
      <c r="A143" s="6">
        <v>1.7223093E7</v>
      </c>
      <c r="B143" s="2" t="s">
        <v>703</v>
      </c>
      <c r="C143" s="2" t="s">
        <v>17</v>
      </c>
      <c r="D143" s="2" t="s">
        <v>18</v>
      </c>
      <c r="E143" s="2" t="s">
        <v>704</v>
      </c>
      <c r="F143" s="2" t="s">
        <v>704</v>
      </c>
      <c r="G143" s="2" t="s">
        <v>705</v>
      </c>
      <c r="H143" s="2" t="s">
        <v>170</v>
      </c>
      <c r="I143" s="2" t="s">
        <v>702</v>
      </c>
      <c r="J143" s="2" t="s">
        <v>23</v>
      </c>
      <c r="K143" s="2" t="s">
        <v>113</v>
      </c>
      <c r="L143" s="7">
        <v>43617.0</v>
      </c>
      <c r="M143" s="2" t="s">
        <v>25</v>
      </c>
      <c r="N143" s="2" t="s">
        <v>26</v>
      </c>
      <c r="O143" s="2" t="s">
        <v>76</v>
      </c>
      <c r="P143" s="2" t="s">
        <v>36</v>
      </c>
    </row>
    <row r="144" ht="14.25" customHeight="1">
      <c r="A144" s="6">
        <v>1.0759309E7</v>
      </c>
      <c r="B144" s="2" t="s">
        <v>706</v>
      </c>
      <c r="C144" s="2" t="s">
        <v>17</v>
      </c>
      <c r="D144" s="2" t="s">
        <v>18</v>
      </c>
      <c r="E144" s="2" t="s">
        <v>707</v>
      </c>
      <c r="F144" s="2" t="s">
        <v>707</v>
      </c>
      <c r="G144" s="2" t="s">
        <v>708</v>
      </c>
      <c r="H144" s="2" t="s">
        <v>170</v>
      </c>
      <c r="I144" s="2" t="s">
        <v>709</v>
      </c>
      <c r="J144" s="2" t="s">
        <v>23</v>
      </c>
      <c r="K144" s="2" t="s">
        <v>113</v>
      </c>
      <c r="L144" s="7">
        <v>40513.0</v>
      </c>
      <c r="M144" s="2" t="s">
        <v>25</v>
      </c>
      <c r="N144" s="2" t="s">
        <v>26</v>
      </c>
      <c r="O144" s="2" t="s">
        <v>76</v>
      </c>
      <c r="P144" s="2" t="s">
        <v>36</v>
      </c>
    </row>
    <row r="145" ht="14.25" customHeight="1">
      <c r="A145" s="6">
        <v>8236485.0</v>
      </c>
      <c r="B145" s="2" t="s">
        <v>710</v>
      </c>
      <c r="C145" s="2" t="s">
        <v>17</v>
      </c>
      <c r="D145" s="2" t="s">
        <v>18</v>
      </c>
      <c r="E145" s="2" t="s">
        <v>711</v>
      </c>
      <c r="F145" s="2" t="s">
        <v>711</v>
      </c>
      <c r="G145" s="2" t="s">
        <v>712</v>
      </c>
      <c r="H145" s="2" t="s">
        <v>170</v>
      </c>
      <c r="I145" s="2" t="s">
        <v>709</v>
      </c>
      <c r="J145" s="2" t="s">
        <v>23</v>
      </c>
      <c r="K145" s="2" t="s">
        <v>113</v>
      </c>
      <c r="L145" s="7">
        <v>40513.0</v>
      </c>
      <c r="M145" s="2" t="s">
        <v>25</v>
      </c>
      <c r="N145" s="2" t="s">
        <v>26</v>
      </c>
      <c r="O145" s="2" t="s">
        <v>76</v>
      </c>
      <c r="P145" s="2" t="s">
        <v>36</v>
      </c>
    </row>
    <row r="146" ht="14.25" customHeight="1">
      <c r="A146" s="6">
        <v>1.5189977E7</v>
      </c>
      <c r="B146" s="2" t="s">
        <v>713</v>
      </c>
      <c r="C146" s="2" t="s">
        <v>17</v>
      </c>
      <c r="D146" s="2" t="s">
        <v>18</v>
      </c>
      <c r="E146" s="2" t="s">
        <v>714</v>
      </c>
      <c r="F146" s="2" t="s">
        <v>714</v>
      </c>
      <c r="G146" s="2" t="s">
        <v>715</v>
      </c>
      <c r="H146" s="2" t="s">
        <v>170</v>
      </c>
      <c r="I146" s="2" t="s">
        <v>22</v>
      </c>
      <c r="J146" s="2" t="s">
        <v>23</v>
      </c>
      <c r="K146" s="2" t="s">
        <v>113</v>
      </c>
      <c r="L146" s="7">
        <v>45275.0</v>
      </c>
      <c r="M146" s="2" t="s">
        <v>25</v>
      </c>
      <c r="N146" s="2" t="s">
        <v>26</v>
      </c>
      <c r="O146" s="2" t="s">
        <v>27</v>
      </c>
      <c r="P146" s="2" t="s">
        <v>36</v>
      </c>
    </row>
    <row r="147" ht="14.25" customHeight="1">
      <c r="A147" s="6">
        <v>1.2304526E7</v>
      </c>
      <c r="B147" s="2" t="s">
        <v>716</v>
      </c>
      <c r="C147" s="2" t="s">
        <v>17</v>
      </c>
      <c r="D147" s="2" t="s">
        <v>18</v>
      </c>
      <c r="E147" s="2" t="s">
        <v>717</v>
      </c>
      <c r="F147" s="2" t="s">
        <v>717</v>
      </c>
      <c r="G147" s="2" t="s">
        <v>718</v>
      </c>
      <c r="H147" s="2" t="s">
        <v>170</v>
      </c>
      <c r="I147" s="2" t="s">
        <v>22</v>
      </c>
      <c r="J147" s="2" t="s">
        <v>23</v>
      </c>
      <c r="K147" s="2" t="s">
        <v>113</v>
      </c>
      <c r="L147" s="7">
        <v>44896.0</v>
      </c>
      <c r="M147" s="2" t="s">
        <v>25</v>
      </c>
      <c r="N147" s="2" t="s">
        <v>26</v>
      </c>
      <c r="O147" s="2" t="s">
        <v>27</v>
      </c>
      <c r="P147" s="2" t="s">
        <v>36</v>
      </c>
    </row>
    <row r="148" ht="14.25" customHeight="1">
      <c r="A148" s="6">
        <v>1.5529287E7</v>
      </c>
      <c r="B148" s="2" t="s">
        <v>719</v>
      </c>
      <c r="C148" s="2" t="s">
        <v>17</v>
      </c>
      <c r="D148" s="2" t="s">
        <v>18</v>
      </c>
      <c r="E148" s="2" t="s">
        <v>720</v>
      </c>
      <c r="F148" s="2" t="s">
        <v>720</v>
      </c>
      <c r="G148" s="2" t="s">
        <v>721</v>
      </c>
      <c r="H148" s="2" t="s">
        <v>170</v>
      </c>
      <c r="I148" s="2" t="s">
        <v>22</v>
      </c>
      <c r="J148" s="2" t="s">
        <v>23</v>
      </c>
      <c r="K148" s="2" t="s">
        <v>113</v>
      </c>
      <c r="L148" s="7">
        <v>45275.0</v>
      </c>
      <c r="M148" s="2" t="s">
        <v>25</v>
      </c>
      <c r="N148" s="2" t="s">
        <v>26</v>
      </c>
      <c r="O148" s="2" t="s">
        <v>27</v>
      </c>
      <c r="P148" s="2" t="s">
        <v>36</v>
      </c>
    </row>
    <row r="149" ht="14.25" customHeight="1">
      <c r="A149" s="6">
        <v>1.2083031E7</v>
      </c>
      <c r="B149" s="2" t="s">
        <v>722</v>
      </c>
      <c r="C149" s="2" t="s">
        <v>17</v>
      </c>
      <c r="D149" s="2" t="s">
        <v>18</v>
      </c>
      <c r="E149" s="2" t="s">
        <v>723</v>
      </c>
      <c r="F149" s="2" t="s">
        <v>723</v>
      </c>
      <c r="G149" s="2" t="s">
        <v>724</v>
      </c>
      <c r="H149" s="2" t="s">
        <v>170</v>
      </c>
      <c r="I149" s="2" t="s">
        <v>22</v>
      </c>
      <c r="J149" s="2" t="s">
        <v>23</v>
      </c>
      <c r="K149" s="2" t="s">
        <v>113</v>
      </c>
      <c r="L149" s="7">
        <v>45275.0</v>
      </c>
      <c r="M149" s="2" t="s">
        <v>25</v>
      </c>
      <c r="N149" s="2" t="s">
        <v>26</v>
      </c>
      <c r="O149" s="2" t="s">
        <v>27</v>
      </c>
      <c r="P149" s="2" t="s">
        <v>36</v>
      </c>
    </row>
    <row r="150" ht="14.25" customHeight="1">
      <c r="A150" s="6">
        <v>1.8135326E7</v>
      </c>
      <c r="B150" s="2" t="s">
        <v>725</v>
      </c>
      <c r="C150" s="2" t="s">
        <v>17</v>
      </c>
      <c r="D150" s="2" t="s">
        <v>18</v>
      </c>
      <c r="E150" s="2" t="s">
        <v>726</v>
      </c>
      <c r="F150" s="2" t="s">
        <v>726</v>
      </c>
      <c r="G150" s="2" t="s">
        <v>727</v>
      </c>
      <c r="H150" s="2" t="s">
        <v>170</v>
      </c>
      <c r="I150" s="2" t="s">
        <v>22</v>
      </c>
      <c r="J150" s="2" t="s">
        <v>23</v>
      </c>
      <c r="K150" s="2" t="s">
        <v>113</v>
      </c>
      <c r="L150" s="7">
        <v>45600.0</v>
      </c>
      <c r="M150" s="2" t="s">
        <v>25</v>
      </c>
      <c r="N150" s="2" t="s">
        <v>26</v>
      </c>
      <c r="O150" s="2" t="s">
        <v>27</v>
      </c>
      <c r="P150" s="2" t="s">
        <v>36</v>
      </c>
    </row>
    <row r="151" ht="14.25" customHeight="1">
      <c r="A151" s="6">
        <v>1.9916041E7</v>
      </c>
      <c r="B151" s="2" t="s">
        <v>728</v>
      </c>
      <c r="C151" s="2" t="s">
        <v>17</v>
      </c>
      <c r="D151" s="2" t="s">
        <v>18</v>
      </c>
      <c r="E151" s="2" t="s">
        <v>729</v>
      </c>
      <c r="F151" s="2" t="s">
        <v>729</v>
      </c>
      <c r="G151" s="2" t="s">
        <v>730</v>
      </c>
      <c r="H151" s="2" t="s">
        <v>170</v>
      </c>
      <c r="I151" s="2" t="s">
        <v>22</v>
      </c>
      <c r="J151" s="2" t="s">
        <v>23</v>
      </c>
      <c r="K151" s="2" t="s">
        <v>113</v>
      </c>
      <c r="L151" s="7">
        <v>44805.0</v>
      </c>
      <c r="M151" s="2" t="s">
        <v>25</v>
      </c>
      <c r="N151" s="2" t="s">
        <v>26</v>
      </c>
      <c r="O151" s="2" t="s">
        <v>27</v>
      </c>
      <c r="P151" s="2" t="s">
        <v>36</v>
      </c>
    </row>
    <row r="152" ht="14.25" customHeight="1">
      <c r="A152" s="6">
        <v>1.813735E7</v>
      </c>
      <c r="B152" s="2" t="s">
        <v>731</v>
      </c>
      <c r="C152" s="2" t="s">
        <v>17</v>
      </c>
      <c r="D152" s="2" t="s">
        <v>88</v>
      </c>
      <c r="E152" s="2" t="s">
        <v>732</v>
      </c>
      <c r="F152" s="2" t="s">
        <v>732</v>
      </c>
      <c r="G152" s="2" t="s">
        <v>733</v>
      </c>
      <c r="H152" s="2" t="s">
        <v>170</v>
      </c>
      <c r="I152" s="2" t="s">
        <v>41</v>
      </c>
      <c r="J152" s="2" t="s">
        <v>23</v>
      </c>
      <c r="K152" s="2" t="s">
        <v>24</v>
      </c>
      <c r="L152" s="7">
        <v>45936.0</v>
      </c>
      <c r="M152" s="2" t="s">
        <v>25</v>
      </c>
      <c r="N152" s="2" t="s">
        <v>26</v>
      </c>
      <c r="O152" s="2" t="s">
        <v>76</v>
      </c>
      <c r="P152" s="2" t="s">
        <v>28</v>
      </c>
    </row>
    <row r="153" ht="14.25" customHeight="1">
      <c r="A153" s="6">
        <v>2.6506303E7</v>
      </c>
      <c r="B153" s="2" t="s">
        <v>734</v>
      </c>
      <c r="C153" s="2" t="s">
        <v>17</v>
      </c>
      <c r="D153" s="2" t="s">
        <v>18</v>
      </c>
      <c r="E153" s="2" t="s">
        <v>735</v>
      </c>
      <c r="F153" s="2" t="s">
        <v>735</v>
      </c>
      <c r="G153" s="2" t="s">
        <v>736</v>
      </c>
      <c r="H153" s="2" t="s">
        <v>170</v>
      </c>
      <c r="I153" s="2" t="s">
        <v>41</v>
      </c>
      <c r="J153" s="2" t="s">
        <v>23</v>
      </c>
      <c r="K153" s="2" t="s">
        <v>24</v>
      </c>
      <c r="L153" s="7">
        <v>45936.0</v>
      </c>
      <c r="M153" s="2" t="s">
        <v>25</v>
      </c>
      <c r="N153" s="2" t="s">
        <v>26</v>
      </c>
      <c r="O153" s="2" t="s">
        <v>76</v>
      </c>
      <c r="P153" s="2" t="s">
        <v>28</v>
      </c>
    </row>
    <row r="154" ht="14.25" customHeight="1">
      <c r="A154" s="6">
        <v>1.850045E7</v>
      </c>
      <c r="B154" s="2" t="s">
        <v>737</v>
      </c>
      <c r="C154" s="2" t="s">
        <v>17</v>
      </c>
      <c r="D154" s="2" t="s">
        <v>88</v>
      </c>
      <c r="E154" s="2" t="s">
        <v>738</v>
      </c>
      <c r="F154" s="2" t="s">
        <v>738</v>
      </c>
      <c r="G154" s="2" t="s">
        <v>739</v>
      </c>
      <c r="H154" s="2" t="s">
        <v>170</v>
      </c>
      <c r="I154" s="2" t="s">
        <v>41</v>
      </c>
      <c r="J154" s="2" t="s">
        <v>23</v>
      </c>
      <c r="K154" s="2" t="s">
        <v>24</v>
      </c>
      <c r="L154" s="7">
        <v>45936.0</v>
      </c>
      <c r="M154" s="2" t="s">
        <v>25</v>
      </c>
      <c r="N154" s="2" t="s">
        <v>26</v>
      </c>
      <c r="O154" s="2" t="s">
        <v>27</v>
      </c>
      <c r="P154" s="2" t="s">
        <v>28</v>
      </c>
    </row>
    <row r="155" ht="14.25" customHeight="1">
      <c r="A155" s="6">
        <v>1.8746139E7</v>
      </c>
      <c r="B155" s="2" t="s">
        <v>740</v>
      </c>
      <c r="C155" s="2" t="s">
        <v>17</v>
      </c>
      <c r="D155" s="2" t="s">
        <v>38</v>
      </c>
      <c r="E155" s="2" t="s">
        <v>741</v>
      </c>
      <c r="F155" s="2" t="s">
        <v>741</v>
      </c>
      <c r="G155" s="2" t="s">
        <v>742</v>
      </c>
      <c r="H155" s="2" t="s">
        <v>170</v>
      </c>
      <c r="I155" s="2" t="s">
        <v>22</v>
      </c>
      <c r="J155" s="2" t="s">
        <v>23</v>
      </c>
      <c r="K155" s="2" t="s">
        <v>24</v>
      </c>
      <c r="L155" s="7">
        <v>45936.0</v>
      </c>
      <c r="M155" s="2" t="s">
        <v>25</v>
      </c>
      <c r="N155" s="2" t="s">
        <v>26</v>
      </c>
      <c r="O155" s="2" t="s">
        <v>27</v>
      </c>
      <c r="P155" s="2" t="s">
        <v>28</v>
      </c>
    </row>
    <row r="156" ht="14.25" customHeight="1">
      <c r="A156" s="6">
        <v>1.7044366E7</v>
      </c>
      <c r="B156" s="2" t="s">
        <v>743</v>
      </c>
      <c r="C156" s="2" t="s">
        <v>17</v>
      </c>
      <c r="D156" s="2" t="s">
        <v>88</v>
      </c>
      <c r="E156" s="2" t="s">
        <v>744</v>
      </c>
      <c r="F156" s="2" t="s">
        <v>744</v>
      </c>
      <c r="G156" s="2" t="s">
        <v>745</v>
      </c>
      <c r="H156" s="2" t="s">
        <v>170</v>
      </c>
      <c r="I156" s="2" t="s">
        <v>22</v>
      </c>
      <c r="J156" s="2" t="s">
        <v>23</v>
      </c>
      <c r="K156" s="2" t="s">
        <v>24</v>
      </c>
      <c r="L156" s="7">
        <v>45936.0</v>
      </c>
      <c r="M156" s="2" t="s">
        <v>25</v>
      </c>
      <c r="N156" s="2" t="s">
        <v>26</v>
      </c>
      <c r="O156" s="2" t="s">
        <v>27</v>
      </c>
      <c r="P156" s="2" t="s">
        <v>28</v>
      </c>
    </row>
    <row r="157" ht="14.25" customHeight="1">
      <c r="A157" s="6">
        <v>1.985374E7</v>
      </c>
      <c r="B157" s="2" t="s">
        <v>746</v>
      </c>
      <c r="C157" s="2" t="s">
        <v>17</v>
      </c>
      <c r="D157" s="2" t="s">
        <v>167</v>
      </c>
      <c r="E157" s="2" t="s">
        <v>747</v>
      </c>
      <c r="F157" s="2" t="s">
        <v>747</v>
      </c>
      <c r="G157" s="2" t="s">
        <v>748</v>
      </c>
      <c r="H157" s="2" t="s">
        <v>170</v>
      </c>
      <c r="I157" s="2" t="s">
        <v>22</v>
      </c>
      <c r="J157" s="2" t="s">
        <v>23</v>
      </c>
      <c r="K157" s="2" t="s">
        <v>24</v>
      </c>
      <c r="L157" s="7">
        <v>45936.0</v>
      </c>
      <c r="M157" s="2" t="s">
        <v>25</v>
      </c>
      <c r="N157" s="2" t="s">
        <v>26</v>
      </c>
      <c r="O157" s="2" t="s">
        <v>27</v>
      </c>
      <c r="P157" s="2" t="s">
        <v>28</v>
      </c>
    </row>
    <row r="158" ht="14.25" customHeight="1">
      <c r="A158" s="6">
        <v>1.6513558E7</v>
      </c>
      <c r="B158" s="2" t="s">
        <v>749</v>
      </c>
      <c r="C158" s="2" t="s">
        <v>17</v>
      </c>
      <c r="D158" s="2" t="s">
        <v>88</v>
      </c>
      <c r="E158" s="2" t="s">
        <v>750</v>
      </c>
      <c r="F158" s="2" t="s">
        <v>750</v>
      </c>
      <c r="G158" s="2" t="s">
        <v>751</v>
      </c>
      <c r="H158" s="2" t="s">
        <v>170</v>
      </c>
      <c r="I158" s="2" t="s">
        <v>22</v>
      </c>
      <c r="J158" s="2" t="s">
        <v>23</v>
      </c>
      <c r="K158" s="2" t="s">
        <v>24</v>
      </c>
      <c r="L158" s="7">
        <v>45936.0</v>
      </c>
      <c r="M158" s="2" t="s">
        <v>25</v>
      </c>
      <c r="N158" s="2" t="s">
        <v>26</v>
      </c>
      <c r="O158" s="2" t="s">
        <v>27</v>
      </c>
      <c r="P158" s="2" t="s">
        <v>28</v>
      </c>
    </row>
    <row r="159" ht="14.25" customHeight="1">
      <c r="A159" s="6">
        <v>1.8821221E7</v>
      </c>
      <c r="B159" s="2" t="s">
        <v>752</v>
      </c>
      <c r="C159" s="2" t="s">
        <v>17</v>
      </c>
      <c r="D159" s="2" t="s">
        <v>38</v>
      </c>
      <c r="E159" s="2" t="s">
        <v>753</v>
      </c>
      <c r="F159" s="2" t="s">
        <v>753</v>
      </c>
      <c r="G159" s="2" t="s">
        <v>754</v>
      </c>
      <c r="H159" s="2" t="s">
        <v>170</v>
      </c>
      <c r="I159" s="2" t="s">
        <v>22</v>
      </c>
      <c r="J159" s="2" t="s">
        <v>23</v>
      </c>
      <c r="K159" s="2" t="s">
        <v>24</v>
      </c>
      <c r="L159" s="7">
        <v>45936.0</v>
      </c>
      <c r="M159" s="2" t="s">
        <v>25</v>
      </c>
      <c r="N159" s="2" t="s">
        <v>26</v>
      </c>
      <c r="O159" s="2" t="s">
        <v>27</v>
      </c>
      <c r="P159" s="2" t="s">
        <v>28</v>
      </c>
    </row>
    <row r="160" ht="14.25" customHeight="1">
      <c r="A160" s="6">
        <v>1.7947008E7</v>
      </c>
      <c r="B160" s="2" t="s">
        <v>755</v>
      </c>
      <c r="C160" s="2" t="s">
        <v>17</v>
      </c>
      <c r="D160" s="2" t="s">
        <v>38</v>
      </c>
      <c r="E160" s="2" t="s">
        <v>756</v>
      </c>
      <c r="F160" s="2" t="s">
        <v>756</v>
      </c>
      <c r="G160" s="2" t="s">
        <v>757</v>
      </c>
      <c r="H160" s="2" t="s">
        <v>170</v>
      </c>
      <c r="I160" s="2" t="s">
        <v>22</v>
      </c>
      <c r="J160" s="2" t="s">
        <v>23</v>
      </c>
      <c r="K160" s="2" t="s">
        <v>24</v>
      </c>
      <c r="L160" s="7">
        <v>45936.0</v>
      </c>
      <c r="M160" s="2" t="s">
        <v>25</v>
      </c>
      <c r="N160" s="2" t="s">
        <v>26</v>
      </c>
      <c r="O160" s="2" t="s">
        <v>27</v>
      </c>
      <c r="P160" s="2" t="s">
        <v>28</v>
      </c>
    </row>
    <row r="161" ht="14.25" customHeight="1">
      <c r="A161" s="6">
        <v>1.9816674E7</v>
      </c>
      <c r="B161" s="2" t="s">
        <v>758</v>
      </c>
      <c r="C161" s="2" t="s">
        <v>17</v>
      </c>
      <c r="D161" s="2" t="s">
        <v>88</v>
      </c>
      <c r="E161" s="2" t="s">
        <v>759</v>
      </c>
      <c r="F161" s="2" t="s">
        <v>759</v>
      </c>
      <c r="G161" s="2" t="s">
        <v>760</v>
      </c>
      <c r="H161" s="2" t="s">
        <v>170</v>
      </c>
      <c r="I161" s="2" t="s">
        <v>22</v>
      </c>
      <c r="J161" s="2" t="s">
        <v>23</v>
      </c>
      <c r="K161" s="2" t="s">
        <v>24</v>
      </c>
      <c r="L161" s="7">
        <v>45936.0</v>
      </c>
      <c r="M161" s="2" t="s">
        <v>25</v>
      </c>
      <c r="N161" s="2" t="s">
        <v>26</v>
      </c>
      <c r="O161" s="2" t="s">
        <v>27</v>
      </c>
      <c r="P161" s="2" t="s">
        <v>28</v>
      </c>
    </row>
    <row r="162" ht="14.25" customHeight="1">
      <c r="A162" s="6">
        <v>1.8419696E7</v>
      </c>
      <c r="B162" s="2" t="s">
        <v>761</v>
      </c>
      <c r="C162" s="2" t="s">
        <v>17</v>
      </c>
      <c r="D162" s="2" t="s">
        <v>18</v>
      </c>
      <c r="E162" s="2" t="s">
        <v>762</v>
      </c>
      <c r="F162" s="2" t="s">
        <v>762</v>
      </c>
      <c r="G162" s="2" t="s">
        <v>763</v>
      </c>
      <c r="H162" s="2" t="s">
        <v>170</v>
      </c>
      <c r="I162" s="2" t="s">
        <v>22</v>
      </c>
      <c r="J162" s="2" t="s">
        <v>23</v>
      </c>
      <c r="K162" s="2" t="s">
        <v>24</v>
      </c>
      <c r="L162" s="7">
        <v>45936.0</v>
      </c>
      <c r="M162" s="2" t="s">
        <v>25</v>
      </c>
      <c r="N162" s="2" t="s">
        <v>26</v>
      </c>
      <c r="O162" s="2" t="s">
        <v>27</v>
      </c>
      <c r="P162" s="2" t="s">
        <v>28</v>
      </c>
    </row>
    <row r="163" ht="14.25" customHeight="1">
      <c r="A163" s="6">
        <v>2.0915006E7</v>
      </c>
      <c r="B163" s="2" t="s">
        <v>764</v>
      </c>
      <c r="C163" s="2" t="s">
        <v>17</v>
      </c>
      <c r="D163" s="2" t="s">
        <v>18</v>
      </c>
      <c r="E163" s="2" t="s">
        <v>765</v>
      </c>
      <c r="F163" s="2" t="s">
        <v>765</v>
      </c>
      <c r="G163" s="2" t="s">
        <v>766</v>
      </c>
      <c r="H163" s="2" t="s">
        <v>170</v>
      </c>
      <c r="I163" s="2" t="s">
        <v>22</v>
      </c>
      <c r="J163" s="2" t="s">
        <v>23</v>
      </c>
      <c r="K163" s="2" t="s">
        <v>24</v>
      </c>
      <c r="L163" s="7">
        <v>45936.0</v>
      </c>
      <c r="M163" s="2" t="s">
        <v>25</v>
      </c>
      <c r="N163" s="2" t="s">
        <v>26</v>
      </c>
      <c r="O163" s="2" t="s">
        <v>27</v>
      </c>
      <c r="P163" s="2" t="s">
        <v>28</v>
      </c>
    </row>
    <row r="164" ht="14.25" customHeight="1">
      <c r="A164" s="6">
        <v>1.0842158E7</v>
      </c>
      <c r="B164" s="2" t="s">
        <v>767</v>
      </c>
      <c r="C164" s="2" t="s">
        <v>17</v>
      </c>
      <c r="D164" s="2" t="s">
        <v>18</v>
      </c>
      <c r="E164" s="2" t="s">
        <v>768</v>
      </c>
      <c r="F164" s="2" t="s">
        <v>769</v>
      </c>
      <c r="G164" s="2" t="s">
        <v>770</v>
      </c>
      <c r="H164" s="2" t="s">
        <v>771</v>
      </c>
      <c r="I164" s="2" t="s">
        <v>524</v>
      </c>
      <c r="J164" s="2" t="s">
        <v>93</v>
      </c>
      <c r="K164" s="2" t="s">
        <v>113</v>
      </c>
      <c r="L164" s="7">
        <v>40513.0</v>
      </c>
      <c r="M164" s="2" t="s">
        <v>94</v>
      </c>
      <c r="N164" s="2" t="s">
        <v>35</v>
      </c>
      <c r="O164" s="2" t="s">
        <v>27</v>
      </c>
      <c r="P164" s="2" t="s">
        <v>36</v>
      </c>
    </row>
    <row r="165" ht="14.25" customHeight="1">
      <c r="A165" s="6">
        <v>7448220.0</v>
      </c>
      <c r="B165" s="2" t="s">
        <v>772</v>
      </c>
      <c r="C165" s="2" t="s">
        <v>17</v>
      </c>
      <c r="D165" s="2" t="s">
        <v>18</v>
      </c>
      <c r="E165" s="2" t="s">
        <v>773</v>
      </c>
      <c r="F165" s="2" t="s">
        <v>774</v>
      </c>
      <c r="G165" s="2" t="s">
        <v>775</v>
      </c>
      <c r="H165" s="2" t="s">
        <v>771</v>
      </c>
      <c r="I165" s="2" t="s">
        <v>524</v>
      </c>
      <c r="J165" s="2" t="s">
        <v>93</v>
      </c>
      <c r="K165" s="2" t="s">
        <v>113</v>
      </c>
      <c r="L165" s="7">
        <v>40513.0</v>
      </c>
      <c r="M165" s="2" t="s">
        <v>94</v>
      </c>
      <c r="N165" s="2" t="s">
        <v>35</v>
      </c>
      <c r="O165" s="2" t="s">
        <v>27</v>
      </c>
      <c r="P165" s="2" t="s">
        <v>36</v>
      </c>
    </row>
    <row r="166" ht="14.25" customHeight="1">
      <c r="A166" s="6">
        <v>8284012.0</v>
      </c>
      <c r="B166" s="2" t="s">
        <v>776</v>
      </c>
      <c r="C166" s="2" t="s">
        <v>17</v>
      </c>
      <c r="D166" s="2" t="s">
        <v>18</v>
      </c>
      <c r="E166" s="2" t="s">
        <v>777</v>
      </c>
      <c r="F166" s="2" t="s">
        <v>778</v>
      </c>
      <c r="G166" s="2" t="s">
        <v>779</v>
      </c>
      <c r="H166" s="2" t="s">
        <v>771</v>
      </c>
      <c r="I166" s="2" t="s">
        <v>524</v>
      </c>
      <c r="J166" s="2" t="s">
        <v>93</v>
      </c>
      <c r="K166" s="2" t="s">
        <v>113</v>
      </c>
      <c r="L166" s="7">
        <v>40513.0</v>
      </c>
      <c r="M166" s="2" t="s">
        <v>94</v>
      </c>
      <c r="N166" s="2" t="s">
        <v>35</v>
      </c>
      <c r="O166" s="2" t="s">
        <v>27</v>
      </c>
      <c r="P166" s="2" t="s">
        <v>36</v>
      </c>
    </row>
    <row r="167" ht="14.25" customHeight="1">
      <c r="A167" s="6">
        <v>8628737.0</v>
      </c>
      <c r="B167" s="2" t="s">
        <v>780</v>
      </c>
      <c r="C167" s="2" t="s">
        <v>17</v>
      </c>
      <c r="D167" s="2" t="s">
        <v>18</v>
      </c>
      <c r="E167" s="2" t="s">
        <v>781</v>
      </c>
      <c r="F167" s="2" t="s">
        <v>782</v>
      </c>
      <c r="G167" s="2" t="s">
        <v>783</v>
      </c>
      <c r="H167" s="2" t="s">
        <v>771</v>
      </c>
      <c r="I167" s="2" t="s">
        <v>524</v>
      </c>
      <c r="J167" s="2" t="s">
        <v>93</v>
      </c>
      <c r="K167" s="2" t="s">
        <v>113</v>
      </c>
      <c r="L167" s="7">
        <v>40513.0</v>
      </c>
      <c r="M167" s="2" t="s">
        <v>94</v>
      </c>
      <c r="N167" s="2" t="s">
        <v>35</v>
      </c>
      <c r="O167" s="2" t="s">
        <v>27</v>
      </c>
      <c r="P167" s="2" t="s">
        <v>36</v>
      </c>
    </row>
    <row r="168" ht="14.25" customHeight="1">
      <c r="A168" s="6">
        <v>8831968.0</v>
      </c>
      <c r="B168" s="2" t="s">
        <v>784</v>
      </c>
      <c r="C168" s="2" t="s">
        <v>17</v>
      </c>
      <c r="D168" s="2" t="s">
        <v>18</v>
      </c>
      <c r="E168" s="2" t="s">
        <v>785</v>
      </c>
      <c r="F168" s="2" t="s">
        <v>786</v>
      </c>
      <c r="G168" s="2" t="s">
        <v>787</v>
      </c>
      <c r="H168" s="2" t="s">
        <v>771</v>
      </c>
      <c r="I168" s="2" t="s">
        <v>524</v>
      </c>
      <c r="J168" s="2" t="s">
        <v>93</v>
      </c>
      <c r="K168" s="2" t="s">
        <v>113</v>
      </c>
      <c r="L168" s="7">
        <v>40513.0</v>
      </c>
      <c r="M168" s="2" t="s">
        <v>94</v>
      </c>
      <c r="N168" s="2" t="s">
        <v>35</v>
      </c>
      <c r="O168" s="2" t="s">
        <v>27</v>
      </c>
      <c r="P168" s="2" t="s">
        <v>36</v>
      </c>
    </row>
    <row r="169" ht="14.25" customHeight="1">
      <c r="A169" s="6">
        <v>9450434.0</v>
      </c>
      <c r="B169" s="2" t="s">
        <v>788</v>
      </c>
      <c r="C169" s="2" t="s">
        <v>17</v>
      </c>
      <c r="D169" s="2" t="s">
        <v>18</v>
      </c>
      <c r="E169" s="2" t="s">
        <v>789</v>
      </c>
      <c r="F169" s="2" t="s">
        <v>789</v>
      </c>
      <c r="G169" s="2" t="s">
        <v>790</v>
      </c>
      <c r="H169" s="2" t="s">
        <v>771</v>
      </c>
      <c r="I169" s="2" t="s">
        <v>524</v>
      </c>
      <c r="J169" s="2" t="s">
        <v>93</v>
      </c>
      <c r="K169" s="2" t="s">
        <v>113</v>
      </c>
      <c r="L169" s="7">
        <v>40513.0</v>
      </c>
      <c r="M169" s="2" t="s">
        <v>94</v>
      </c>
      <c r="N169" s="2" t="s">
        <v>35</v>
      </c>
      <c r="O169" s="2" t="s">
        <v>27</v>
      </c>
      <c r="P169" s="2" t="s">
        <v>36</v>
      </c>
    </row>
    <row r="170" ht="14.25" customHeight="1">
      <c r="A170" s="6">
        <v>6146371.0</v>
      </c>
      <c r="B170" s="2" t="s">
        <v>791</v>
      </c>
      <c r="C170" s="2" t="s">
        <v>17</v>
      </c>
      <c r="D170" s="2" t="s">
        <v>18</v>
      </c>
      <c r="E170" s="2" t="s">
        <v>792</v>
      </c>
      <c r="F170" s="2" t="s">
        <v>793</v>
      </c>
      <c r="G170" s="2" t="s">
        <v>794</v>
      </c>
      <c r="H170" s="2" t="s">
        <v>771</v>
      </c>
      <c r="I170" s="2" t="s">
        <v>524</v>
      </c>
      <c r="J170" s="2" t="s">
        <v>93</v>
      </c>
      <c r="K170" s="2" t="s">
        <v>113</v>
      </c>
      <c r="L170" s="7">
        <v>40533.0</v>
      </c>
      <c r="M170" s="2" t="s">
        <v>94</v>
      </c>
      <c r="N170" s="2" t="s">
        <v>35</v>
      </c>
      <c r="O170" s="2" t="s">
        <v>27</v>
      </c>
      <c r="P170" s="2" t="s">
        <v>36</v>
      </c>
    </row>
    <row r="171" ht="14.25" customHeight="1">
      <c r="A171" s="6">
        <v>1.9139317E7</v>
      </c>
      <c r="B171" s="2" t="s">
        <v>795</v>
      </c>
      <c r="C171" s="2" t="s">
        <v>107</v>
      </c>
      <c r="D171" s="2" t="s">
        <v>88</v>
      </c>
      <c r="E171" s="2" t="s">
        <v>796</v>
      </c>
      <c r="F171" s="2" t="s">
        <v>797</v>
      </c>
      <c r="G171" s="2" t="s">
        <v>798</v>
      </c>
      <c r="H171" s="2" t="s">
        <v>799</v>
      </c>
      <c r="I171" s="2" t="s">
        <v>800</v>
      </c>
      <c r="J171" s="2" t="s">
        <v>801</v>
      </c>
      <c r="K171" s="2" t="s">
        <v>113</v>
      </c>
      <c r="L171" s="7">
        <v>45005.0</v>
      </c>
      <c r="M171" s="2" t="s">
        <v>154</v>
      </c>
      <c r="N171" s="2" t="s">
        <v>26</v>
      </c>
      <c r="O171" s="2" t="s">
        <v>27</v>
      </c>
      <c r="P171" s="2" t="s">
        <v>36</v>
      </c>
    </row>
    <row r="172" ht="14.25" customHeight="1">
      <c r="A172" s="6">
        <v>1.6286387E7</v>
      </c>
      <c r="B172" s="2" t="s">
        <v>802</v>
      </c>
      <c r="C172" s="2" t="s">
        <v>107</v>
      </c>
      <c r="D172" s="2" t="s">
        <v>18</v>
      </c>
      <c r="E172" s="2" t="s">
        <v>803</v>
      </c>
      <c r="F172" s="2" t="s">
        <v>804</v>
      </c>
      <c r="G172" s="2" t="s">
        <v>805</v>
      </c>
      <c r="H172" s="2" t="s">
        <v>799</v>
      </c>
      <c r="I172" s="2" t="s">
        <v>806</v>
      </c>
      <c r="J172" s="2" t="s">
        <v>801</v>
      </c>
      <c r="K172" s="2" t="s">
        <v>113</v>
      </c>
      <c r="L172" s="7">
        <v>45721.0</v>
      </c>
      <c r="M172" s="2" t="s">
        <v>154</v>
      </c>
      <c r="N172" s="2" t="s">
        <v>26</v>
      </c>
      <c r="O172" s="2" t="s">
        <v>200</v>
      </c>
      <c r="P172" s="2" t="s">
        <v>36</v>
      </c>
    </row>
    <row r="173" ht="14.25" customHeight="1">
      <c r="A173" s="6">
        <v>1.8405846E7</v>
      </c>
      <c r="B173" s="2" t="s">
        <v>807</v>
      </c>
      <c r="C173" s="2" t="s">
        <v>107</v>
      </c>
      <c r="D173" s="2" t="s">
        <v>18</v>
      </c>
      <c r="E173" s="2" t="s">
        <v>808</v>
      </c>
      <c r="F173" s="2" t="s">
        <v>809</v>
      </c>
      <c r="G173" s="2" t="s">
        <v>810</v>
      </c>
      <c r="H173" s="2" t="s">
        <v>799</v>
      </c>
      <c r="I173" s="2" t="s">
        <v>806</v>
      </c>
      <c r="J173" s="2" t="s">
        <v>801</v>
      </c>
      <c r="K173" s="2" t="s">
        <v>113</v>
      </c>
      <c r="L173" s="7">
        <v>45740.0</v>
      </c>
      <c r="M173" s="2" t="s">
        <v>154</v>
      </c>
      <c r="N173" s="2" t="s">
        <v>26</v>
      </c>
      <c r="O173" s="2" t="s">
        <v>200</v>
      </c>
      <c r="P173" s="2" t="s">
        <v>36</v>
      </c>
    </row>
    <row r="174" ht="14.25" customHeight="1">
      <c r="A174" s="6">
        <v>1.9334148E7</v>
      </c>
      <c r="B174" s="2" t="s">
        <v>811</v>
      </c>
      <c r="C174" s="2" t="s">
        <v>107</v>
      </c>
      <c r="D174" s="2" t="s">
        <v>18</v>
      </c>
      <c r="E174" s="2" t="s">
        <v>812</v>
      </c>
      <c r="F174" s="2" t="s">
        <v>813</v>
      </c>
      <c r="G174" s="2" t="s">
        <v>814</v>
      </c>
      <c r="H174" s="2" t="s">
        <v>799</v>
      </c>
      <c r="I174" s="2" t="s">
        <v>800</v>
      </c>
      <c r="J174" s="2" t="s">
        <v>801</v>
      </c>
      <c r="K174" s="2" t="s">
        <v>113</v>
      </c>
      <c r="L174" s="7">
        <v>45782.0</v>
      </c>
      <c r="M174" s="2" t="s">
        <v>154</v>
      </c>
      <c r="N174" s="2" t="s">
        <v>26</v>
      </c>
      <c r="O174" s="2" t="s">
        <v>200</v>
      </c>
      <c r="P174" s="2" t="s">
        <v>36</v>
      </c>
    </row>
    <row r="175" ht="14.25" customHeight="1">
      <c r="A175" s="6">
        <v>2.5197702E7</v>
      </c>
      <c r="B175" s="2" t="s">
        <v>815</v>
      </c>
      <c r="C175" s="2" t="s">
        <v>17</v>
      </c>
      <c r="D175" s="2" t="s">
        <v>18</v>
      </c>
      <c r="E175" s="2" t="s">
        <v>816</v>
      </c>
      <c r="F175" s="2" t="s">
        <v>817</v>
      </c>
      <c r="G175" s="2" t="s">
        <v>818</v>
      </c>
      <c r="H175" s="2" t="s">
        <v>819</v>
      </c>
      <c r="I175" s="2" t="s">
        <v>820</v>
      </c>
      <c r="J175" s="2" t="s">
        <v>160</v>
      </c>
      <c r="K175" s="2" t="s">
        <v>113</v>
      </c>
      <c r="L175" s="7">
        <v>45474.0</v>
      </c>
      <c r="M175" s="2" t="s">
        <v>116</v>
      </c>
      <c r="N175" s="2" t="s">
        <v>161</v>
      </c>
      <c r="O175" s="2" t="s">
        <v>116</v>
      </c>
      <c r="P175" s="2" t="s">
        <v>36</v>
      </c>
    </row>
    <row r="176" ht="14.25" customHeight="1">
      <c r="A176" s="6">
        <v>1.0472799E7</v>
      </c>
      <c r="B176" s="2" t="s">
        <v>821</v>
      </c>
      <c r="C176" s="2" t="s">
        <v>17</v>
      </c>
      <c r="D176" s="2" t="s">
        <v>18</v>
      </c>
      <c r="E176" s="2" t="s">
        <v>822</v>
      </c>
      <c r="F176" s="2" t="s">
        <v>822</v>
      </c>
      <c r="G176" s="2" t="s">
        <v>823</v>
      </c>
      <c r="H176" s="2" t="s">
        <v>824</v>
      </c>
      <c r="I176" s="2" t="s">
        <v>825</v>
      </c>
      <c r="J176" s="2" t="s">
        <v>93</v>
      </c>
      <c r="K176" s="2" t="s">
        <v>113</v>
      </c>
      <c r="L176" s="7">
        <v>44136.0</v>
      </c>
      <c r="M176" s="2" t="s">
        <v>25</v>
      </c>
      <c r="N176" s="2" t="s">
        <v>35</v>
      </c>
      <c r="O176" s="2" t="s">
        <v>27</v>
      </c>
      <c r="P176" s="2" t="s">
        <v>36</v>
      </c>
    </row>
    <row r="177" ht="14.25" customHeight="1">
      <c r="A177" s="6">
        <v>8132678.0</v>
      </c>
      <c r="B177" s="2" t="s">
        <v>826</v>
      </c>
      <c r="C177" s="2" t="s">
        <v>17</v>
      </c>
      <c r="D177" s="2" t="s">
        <v>18</v>
      </c>
      <c r="E177" s="2" t="s">
        <v>827</v>
      </c>
      <c r="F177" s="2" t="s">
        <v>827</v>
      </c>
      <c r="G177" s="2" t="s">
        <v>828</v>
      </c>
      <c r="H177" s="2" t="s">
        <v>824</v>
      </c>
      <c r="I177" s="2" t="s">
        <v>829</v>
      </c>
      <c r="J177" s="2" t="s">
        <v>185</v>
      </c>
      <c r="K177" s="2" t="s">
        <v>113</v>
      </c>
      <c r="L177" s="7">
        <v>40513.0</v>
      </c>
      <c r="M177" s="2" t="s">
        <v>25</v>
      </c>
      <c r="N177" s="2" t="s">
        <v>186</v>
      </c>
      <c r="O177" s="2" t="s">
        <v>27</v>
      </c>
      <c r="P177" s="2" t="s">
        <v>36</v>
      </c>
    </row>
    <row r="178" ht="14.25" customHeight="1">
      <c r="A178" s="6">
        <v>6952996.0</v>
      </c>
      <c r="B178" s="2" t="s">
        <v>830</v>
      </c>
      <c r="C178" s="2" t="s">
        <v>17</v>
      </c>
      <c r="D178" s="2" t="s">
        <v>831</v>
      </c>
      <c r="E178" s="2" t="s">
        <v>832</v>
      </c>
      <c r="F178" s="2" t="s">
        <v>832</v>
      </c>
      <c r="G178" s="2" t="s">
        <v>833</v>
      </c>
      <c r="H178" s="2" t="s">
        <v>824</v>
      </c>
      <c r="I178" s="2" t="s">
        <v>825</v>
      </c>
      <c r="J178" s="2" t="s">
        <v>93</v>
      </c>
      <c r="K178" s="2" t="s">
        <v>24</v>
      </c>
      <c r="L178" s="7">
        <v>45916.0</v>
      </c>
      <c r="M178" s="2" t="s">
        <v>25</v>
      </c>
      <c r="N178" s="2" t="s">
        <v>35</v>
      </c>
      <c r="O178" s="2" t="s">
        <v>27</v>
      </c>
      <c r="P178" s="2" t="s">
        <v>194</v>
      </c>
    </row>
    <row r="179" ht="14.25" customHeight="1">
      <c r="A179" s="6">
        <v>1.6999638E7</v>
      </c>
      <c r="B179" s="2" t="s">
        <v>834</v>
      </c>
      <c r="C179" s="2" t="s">
        <v>107</v>
      </c>
      <c r="D179" s="2" t="s">
        <v>88</v>
      </c>
      <c r="E179" s="2" t="s">
        <v>835</v>
      </c>
      <c r="F179" s="2" t="s">
        <v>836</v>
      </c>
      <c r="G179" s="2" t="s">
        <v>837</v>
      </c>
      <c r="H179" s="2" t="s">
        <v>838</v>
      </c>
      <c r="I179" s="2" t="s">
        <v>800</v>
      </c>
      <c r="J179" s="2" t="s">
        <v>801</v>
      </c>
      <c r="K179" s="2" t="s">
        <v>113</v>
      </c>
      <c r="L179" s="7">
        <v>44200.0</v>
      </c>
      <c r="M179" s="2" t="s">
        <v>154</v>
      </c>
      <c r="N179" s="2" t="s">
        <v>26</v>
      </c>
      <c r="O179" s="2" t="s">
        <v>27</v>
      </c>
      <c r="P179" s="2" t="s">
        <v>36</v>
      </c>
    </row>
    <row r="180" ht="14.25" customHeight="1">
      <c r="A180" s="6">
        <v>1.7955739E7</v>
      </c>
      <c r="B180" s="2" t="s">
        <v>839</v>
      </c>
      <c r="C180" s="2" t="s">
        <v>107</v>
      </c>
      <c r="D180" s="2" t="s">
        <v>88</v>
      </c>
      <c r="E180" s="2" t="s">
        <v>840</v>
      </c>
      <c r="F180" s="2" t="s">
        <v>841</v>
      </c>
      <c r="G180" s="2" t="s">
        <v>842</v>
      </c>
      <c r="H180" s="2" t="s">
        <v>843</v>
      </c>
      <c r="I180" s="2" t="s">
        <v>844</v>
      </c>
      <c r="J180" s="2" t="s">
        <v>801</v>
      </c>
      <c r="K180" s="2" t="s">
        <v>113</v>
      </c>
      <c r="L180" s="7">
        <v>44671.0</v>
      </c>
      <c r="M180" s="2" t="s">
        <v>154</v>
      </c>
      <c r="N180" s="2" t="s">
        <v>26</v>
      </c>
      <c r="O180" s="2" t="s">
        <v>27</v>
      </c>
      <c r="P180" s="2" t="s">
        <v>36</v>
      </c>
    </row>
    <row r="181" ht="14.25" customHeight="1">
      <c r="A181" s="6">
        <v>1.3510666E7</v>
      </c>
      <c r="B181" s="2" t="s">
        <v>845</v>
      </c>
      <c r="C181" s="2" t="s">
        <v>107</v>
      </c>
      <c r="D181" s="2" t="s">
        <v>88</v>
      </c>
      <c r="E181" s="2" t="s">
        <v>846</v>
      </c>
      <c r="F181" s="2" t="s">
        <v>847</v>
      </c>
      <c r="G181" s="2" t="s">
        <v>848</v>
      </c>
      <c r="H181" s="2" t="s">
        <v>843</v>
      </c>
      <c r="I181" s="2" t="s">
        <v>844</v>
      </c>
      <c r="J181" s="2" t="s">
        <v>801</v>
      </c>
      <c r="K181" s="2" t="s">
        <v>113</v>
      </c>
      <c r="L181" s="7">
        <v>40513.0</v>
      </c>
      <c r="M181" s="2" t="s">
        <v>154</v>
      </c>
      <c r="N181" s="2" t="s">
        <v>26</v>
      </c>
      <c r="O181" s="2" t="s">
        <v>27</v>
      </c>
      <c r="P181" s="2" t="s">
        <v>36</v>
      </c>
    </row>
    <row r="182" ht="14.25" customHeight="1">
      <c r="A182" s="6">
        <v>1.0875609E7</v>
      </c>
      <c r="B182" s="2" t="s">
        <v>849</v>
      </c>
      <c r="C182" s="2" t="s">
        <v>107</v>
      </c>
      <c r="D182" s="2" t="s">
        <v>18</v>
      </c>
      <c r="E182" s="2" t="s">
        <v>850</v>
      </c>
      <c r="F182" s="2" t="s">
        <v>851</v>
      </c>
      <c r="G182" s="2" t="s">
        <v>852</v>
      </c>
      <c r="H182" s="2" t="s">
        <v>843</v>
      </c>
      <c r="I182" s="2" t="s">
        <v>844</v>
      </c>
      <c r="J182" s="2" t="s">
        <v>801</v>
      </c>
      <c r="K182" s="2" t="s">
        <v>113</v>
      </c>
      <c r="L182" s="7">
        <v>45719.0</v>
      </c>
      <c r="M182" s="2" t="s">
        <v>154</v>
      </c>
      <c r="N182" s="2" t="s">
        <v>26</v>
      </c>
      <c r="O182" s="2" t="s">
        <v>27</v>
      </c>
      <c r="P182" s="2" t="s">
        <v>36</v>
      </c>
    </row>
    <row r="183" ht="14.25" customHeight="1">
      <c r="A183" s="6">
        <v>1.2871421E7</v>
      </c>
      <c r="B183" s="2" t="s">
        <v>853</v>
      </c>
      <c r="C183" s="2" t="s">
        <v>107</v>
      </c>
      <c r="D183" s="2" t="s">
        <v>88</v>
      </c>
      <c r="E183" s="2" t="s">
        <v>854</v>
      </c>
      <c r="F183" s="2" t="s">
        <v>855</v>
      </c>
      <c r="G183" s="2" t="s">
        <v>856</v>
      </c>
      <c r="H183" s="2" t="s">
        <v>843</v>
      </c>
      <c r="I183" s="2" t="s">
        <v>844</v>
      </c>
      <c r="J183" s="2" t="s">
        <v>801</v>
      </c>
      <c r="K183" s="2" t="s">
        <v>113</v>
      </c>
      <c r="L183" s="7">
        <v>45717.0</v>
      </c>
      <c r="M183" s="2" t="s">
        <v>154</v>
      </c>
      <c r="N183" s="2" t="s">
        <v>26</v>
      </c>
      <c r="O183" s="2" t="s">
        <v>27</v>
      </c>
      <c r="P183" s="2" t="s">
        <v>36</v>
      </c>
    </row>
    <row r="184" ht="14.25" customHeight="1">
      <c r="A184" s="6">
        <v>1.5923435E7</v>
      </c>
      <c r="B184" s="2" t="s">
        <v>857</v>
      </c>
      <c r="C184" s="2" t="s">
        <v>107</v>
      </c>
      <c r="D184" s="2" t="s">
        <v>18</v>
      </c>
      <c r="E184" s="2" t="s">
        <v>858</v>
      </c>
      <c r="F184" s="2" t="s">
        <v>859</v>
      </c>
      <c r="G184" s="2" t="s">
        <v>860</v>
      </c>
      <c r="H184" s="2" t="s">
        <v>843</v>
      </c>
      <c r="I184" s="2" t="s">
        <v>861</v>
      </c>
      <c r="J184" s="2" t="s">
        <v>801</v>
      </c>
      <c r="K184" s="2" t="s">
        <v>113</v>
      </c>
      <c r="L184" s="7">
        <v>45070.0</v>
      </c>
      <c r="M184" s="2" t="s">
        <v>154</v>
      </c>
      <c r="N184" s="2" t="s">
        <v>26</v>
      </c>
      <c r="O184" s="2" t="s">
        <v>162</v>
      </c>
      <c r="P184" s="2" t="s">
        <v>36</v>
      </c>
    </row>
    <row r="185" ht="14.25" customHeight="1">
      <c r="A185" s="6">
        <v>1.8413121E7</v>
      </c>
      <c r="B185" s="2" t="s">
        <v>862</v>
      </c>
      <c r="C185" s="2" t="s">
        <v>107</v>
      </c>
      <c r="D185" s="2" t="s">
        <v>18</v>
      </c>
      <c r="E185" s="2" t="s">
        <v>863</v>
      </c>
      <c r="F185" s="2" t="s">
        <v>864</v>
      </c>
      <c r="G185" s="2" t="s">
        <v>865</v>
      </c>
      <c r="H185" s="2" t="s">
        <v>843</v>
      </c>
      <c r="I185" s="2" t="s">
        <v>861</v>
      </c>
      <c r="J185" s="2" t="s">
        <v>801</v>
      </c>
      <c r="K185" s="2" t="s">
        <v>113</v>
      </c>
      <c r="L185" s="7">
        <v>45726.0</v>
      </c>
      <c r="M185" s="2" t="s">
        <v>154</v>
      </c>
      <c r="N185" s="2" t="s">
        <v>26</v>
      </c>
      <c r="O185" s="2" t="s">
        <v>200</v>
      </c>
      <c r="P185" s="2" t="s">
        <v>36</v>
      </c>
    </row>
    <row r="186" ht="14.25" customHeight="1">
      <c r="A186" s="6">
        <v>1.1347977E7</v>
      </c>
      <c r="B186" s="2" t="s">
        <v>866</v>
      </c>
      <c r="C186" s="2" t="s">
        <v>107</v>
      </c>
      <c r="D186" s="2" t="s">
        <v>88</v>
      </c>
      <c r="E186" s="2" t="s">
        <v>867</v>
      </c>
      <c r="F186" s="2" t="s">
        <v>868</v>
      </c>
      <c r="G186" s="2" t="s">
        <v>869</v>
      </c>
      <c r="H186" s="2" t="s">
        <v>870</v>
      </c>
      <c r="I186" s="2" t="s">
        <v>871</v>
      </c>
      <c r="J186" s="2" t="s">
        <v>872</v>
      </c>
      <c r="K186" s="2" t="s">
        <v>113</v>
      </c>
      <c r="L186" s="7">
        <v>44998.0</v>
      </c>
      <c r="M186" s="2" t="s">
        <v>154</v>
      </c>
      <c r="N186" s="2" t="s">
        <v>161</v>
      </c>
      <c r="O186" s="2" t="s">
        <v>873</v>
      </c>
      <c r="P186" s="2" t="s">
        <v>36</v>
      </c>
    </row>
    <row r="187" ht="14.25" customHeight="1">
      <c r="A187" s="6">
        <v>2.6125254E7</v>
      </c>
      <c r="B187" s="2" t="s">
        <v>874</v>
      </c>
      <c r="C187" s="2" t="s">
        <v>107</v>
      </c>
      <c r="D187" s="2" t="s">
        <v>18</v>
      </c>
      <c r="E187" s="2" t="s">
        <v>875</v>
      </c>
      <c r="F187" s="2" t="s">
        <v>876</v>
      </c>
      <c r="G187" s="2" t="s">
        <v>877</v>
      </c>
      <c r="H187" s="2" t="s">
        <v>870</v>
      </c>
      <c r="I187" s="2" t="s">
        <v>871</v>
      </c>
      <c r="J187" s="2" t="s">
        <v>872</v>
      </c>
      <c r="K187" s="2" t="s">
        <v>113</v>
      </c>
      <c r="L187" s="7">
        <v>45145.0</v>
      </c>
      <c r="M187" s="2" t="s">
        <v>154</v>
      </c>
      <c r="N187" s="2" t="s">
        <v>161</v>
      </c>
      <c r="O187" s="2" t="s">
        <v>162</v>
      </c>
      <c r="P187" s="2" t="s">
        <v>36</v>
      </c>
    </row>
    <row r="188" ht="14.25" customHeight="1">
      <c r="A188" s="6">
        <v>1.9893777E7</v>
      </c>
      <c r="B188" s="2" t="s">
        <v>878</v>
      </c>
      <c r="C188" s="2" t="s">
        <v>107</v>
      </c>
      <c r="D188" s="2" t="s">
        <v>18</v>
      </c>
      <c r="E188" s="2" t="s">
        <v>879</v>
      </c>
      <c r="F188" s="2" t="s">
        <v>880</v>
      </c>
      <c r="G188" s="2" t="s">
        <v>881</v>
      </c>
      <c r="H188" s="2" t="s">
        <v>870</v>
      </c>
      <c r="I188" s="2" t="s">
        <v>871</v>
      </c>
      <c r="J188" s="2" t="s">
        <v>872</v>
      </c>
      <c r="K188" s="2" t="s">
        <v>113</v>
      </c>
      <c r="L188" s="7">
        <v>45873.0</v>
      </c>
      <c r="M188" s="2" t="s">
        <v>154</v>
      </c>
      <c r="N188" s="2" t="s">
        <v>161</v>
      </c>
      <c r="O188" s="2" t="s">
        <v>162</v>
      </c>
      <c r="P188" s="2" t="s">
        <v>36</v>
      </c>
    </row>
    <row r="189" ht="14.25" customHeight="1">
      <c r="A189" s="6">
        <v>1.9963738E7</v>
      </c>
      <c r="B189" s="2" t="s">
        <v>882</v>
      </c>
      <c r="C189" s="2" t="s">
        <v>107</v>
      </c>
      <c r="D189" s="2" t="s">
        <v>18</v>
      </c>
      <c r="E189" s="2" t="s">
        <v>883</v>
      </c>
      <c r="F189" s="2" t="s">
        <v>884</v>
      </c>
      <c r="G189" s="2" t="s">
        <v>885</v>
      </c>
      <c r="H189" s="2" t="s">
        <v>870</v>
      </c>
      <c r="I189" s="2" t="s">
        <v>871</v>
      </c>
      <c r="J189" s="2" t="s">
        <v>872</v>
      </c>
      <c r="K189" s="2" t="s">
        <v>113</v>
      </c>
      <c r="L189" s="7">
        <v>45108.0</v>
      </c>
      <c r="M189" s="2" t="s">
        <v>154</v>
      </c>
      <c r="N189" s="2" t="s">
        <v>161</v>
      </c>
      <c r="O189" s="2" t="s">
        <v>162</v>
      </c>
      <c r="P189" s="2" t="s">
        <v>36</v>
      </c>
    </row>
    <row r="190" ht="14.25" customHeight="1">
      <c r="A190" s="6">
        <v>1.0410861E7</v>
      </c>
      <c r="B190" s="2" t="s">
        <v>886</v>
      </c>
      <c r="C190" s="2" t="s">
        <v>17</v>
      </c>
      <c r="D190" s="2" t="s">
        <v>18</v>
      </c>
      <c r="E190" s="2" t="s">
        <v>887</v>
      </c>
      <c r="F190" s="2" t="s">
        <v>887</v>
      </c>
      <c r="G190" s="2" t="s">
        <v>888</v>
      </c>
      <c r="H190" s="2" t="s">
        <v>889</v>
      </c>
      <c r="I190" s="2" t="s">
        <v>890</v>
      </c>
      <c r="J190" s="2" t="s">
        <v>93</v>
      </c>
      <c r="K190" s="2" t="s">
        <v>113</v>
      </c>
      <c r="L190" s="7">
        <v>40513.0</v>
      </c>
      <c r="M190" s="2" t="s">
        <v>94</v>
      </c>
      <c r="N190" s="2" t="s">
        <v>35</v>
      </c>
      <c r="O190" s="2" t="s">
        <v>27</v>
      </c>
      <c r="P190" s="2" t="s">
        <v>36</v>
      </c>
    </row>
    <row r="191" ht="14.25" customHeight="1">
      <c r="A191" s="6">
        <v>1.2302841E7</v>
      </c>
      <c r="B191" s="2" t="s">
        <v>891</v>
      </c>
      <c r="C191" s="2" t="s">
        <v>17</v>
      </c>
      <c r="D191" s="2" t="s">
        <v>18</v>
      </c>
      <c r="E191" s="2" t="s">
        <v>892</v>
      </c>
      <c r="F191" s="2" t="s">
        <v>892</v>
      </c>
      <c r="G191" s="2" t="s">
        <v>893</v>
      </c>
      <c r="H191" s="2" t="s">
        <v>889</v>
      </c>
      <c r="I191" s="2" t="s">
        <v>894</v>
      </c>
      <c r="J191" s="2" t="s">
        <v>93</v>
      </c>
      <c r="K191" s="2" t="s">
        <v>113</v>
      </c>
      <c r="L191" s="7">
        <v>40513.0</v>
      </c>
      <c r="M191" s="2" t="s">
        <v>94</v>
      </c>
      <c r="N191" s="2" t="s">
        <v>35</v>
      </c>
      <c r="O191" s="2" t="s">
        <v>27</v>
      </c>
      <c r="P191" s="2" t="s">
        <v>36</v>
      </c>
    </row>
    <row r="192" ht="14.25" customHeight="1">
      <c r="A192" s="6">
        <v>1.2530332E7</v>
      </c>
      <c r="B192" s="2" t="s">
        <v>895</v>
      </c>
      <c r="C192" s="2" t="s">
        <v>17</v>
      </c>
      <c r="D192" s="2" t="s">
        <v>18</v>
      </c>
      <c r="E192" s="2" t="s">
        <v>896</v>
      </c>
      <c r="F192" s="2" t="s">
        <v>896</v>
      </c>
      <c r="G192" s="2" t="s">
        <v>897</v>
      </c>
      <c r="H192" s="2" t="s">
        <v>889</v>
      </c>
      <c r="I192" s="2" t="s">
        <v>898</v>
      </c>
      <c r="J192" s="2" t="s">
        <v>93</v>
      </c>
      <c r="K192" s="2" t="s">
        <v>113</v>
      </c>
      <c r="L192" s="7">
        <v>40513.0</v>
      </c>
      <c r="M192" s="2" t="s">
        <v>94</v>
      </c>
      <c r="N192" s="2" t="s">
        <v>35</v>
      </c>
      <c r="O192" s="2" t="s">
        <v>27</v>
      </c>
      <c r="P192" s="2" t="s">
        <v>36</v>
      </c>
    </row>
    <row r="193" ht="14.25" customHeight="1">
      <c r="A193" s="6">
        <v>1.5647757E7</v>
      </c>
      <c r="B193" s="2" t="s">
        <v>899</v>
      </c>
      <c r="C193" s="2" t="s">
        <v>17</v>
      </c>
      <c r="D193" s="2" t="s">
        <v>18</v>
      </c>
      <c r="E193" s="2" t="s">
        <v>900</v>
      </c>
      <c r="F193" s="2" t="s">
        <v>900</v>
      </c>
      <c r="G193" s="2" t="s">
        <v>901</v>
      </c>
      <c r="H193" s="2" t="s">
        <v>889</v>
      </c>
      <c r="I193" s="2" t="s">
        <v>120</v>
      </c>
      <c r="J193" s="2" t="s">
        <v>93</v>
      </c>
      <c r="K193" s="2" t="s">
        <v>113</v>
      </c>
      <c r="L193" s="7">
        <v>40513.0</v>
      </c>
      <c r="M193" s="2" t="s">
        <v>94</v>
      </c>
      <c r="N193" s="2" t="s">
        <v>35</v>
      </c>
      <c r="O193" s="2" t="s">
        <v>27</v>
      </c>
      <c r="P193" s="2" t="s">
        <v>36</v>
      </c>
    </row>
    <row r="194" ht="14.25" customHeight="1">
      <c r="A194" s="6">
        <v>9274433.0</v>
      </c>
      <c r="B194" s="2" t="s">
        <v>902</v>
      </c>
      <c r="C194" s="2" t="s">
        <v>17</v>
      </c>
      <c r="D194" s="2" t="s">
        <v>18</v>
      </c>
      <c r="E194" s="2" t="s">
        <v>903</v>
      </c>
      <c r="F194" s="2" t="s">
        <v>903</v>
      </c>
      <c r="G194" s="2" t="s">
        <v>904</v>
      </c>
      <c r="H194" s="2" t="s">
        <v>889</v>
      </c>
      <c r="I194" s="2" t="s">
        <v>178</v>
      </c>
      <c r="J194" s="2" t="s">
        <v>93</v>
      </c>
      <c r="K194" s="2" t="s">
        <v>113</v>
      </c>
      <c r="L194" s="7">
        <v>40513.0</v>
      </c>
      <c r="M194" s="2" t="s">
        <v>94</v>
      </c>
      <c r="N194" s="2" t="s">
        <v>35</v>
      </c>
      <c r="O194" s="2" t="s">
        <v>27</v>
      </c>
      <c r="P194" s="2" t="s">
        <v>36</v>
      </c>
    </row>
    <row r="195" ht="14.25" customHeight="1">
      <c r="A195" s="6">
        <v>9310987.0</v>
      </c>
      <c r="B195" s="2" t="s">
        <v>905</v>
      </c>
      <c r="C195" s="2" t="s">
        <v>17</v>
      </c>
      <c r="D195" s="2" t="s">
        <v>18</v>
      </c>
      <c r="E195" s="2" t="s">
        <v>906</v>
      </c>
      <c r="F195" s="2" t="s">
        <v>906</v>
      </c>
      <c r="G195" s="2" t="s">
        <v>907</v>
      </c>
      <c r="H195" s="2" t="s">
        <v>889</v>
      </c>
      <c r="I195" s="2" t="s">
        <v>120</v>
      </c>
      <c r="J195" s="2" t="s">
        <v>93</v>
      </c>
      <c r="K195" s="2" t="s">
        <v>113</v>
      </c>
      <c r="L195" s="7">
        <v>40513.0</v>
      </c>
      <c r="M195" s="2" t="s">
        <v>94</v>
      </c>
      <c r="N195" s="2" t="s">
        <v>35</v>
      </c>
      <c r="O195" s="2" t="s">
        <v>27</v>
      </c>
      <c r="P195" s="2" t="s">
        <v>36</v>
      </c>
    </row>
    <row r="196" ht="14.25" customHeight="1">
      <c r="A196" s="6">
        <v>9753137.0</v>
      </c>
      <c r="B196" s="2" t="s">
        <v>908</v>
      </c>
      <c r="C196" s="2" t="s">
        <v>17</v>
      </c>
      <c r="D196" s="2" t="s">
        <v>18</v>
      </c>
      <c r="E196" s="2" t="s">
        <v>909</v>
      </c>
      <c r="F196" s="2" t="s">
        <v>909</v>
      </c>
      <c r="G196" s="2" t="s">
        <v>910</v>
      </c>
      <c r="H196" s="2" t="s">
        <v>889</v>
      </c>
      <c r="I196" s="2" t="s">
        <v>890</v>
      </c>
      <c r="J196" s="2" t="s">
        <v>93</v>
      </c>
      <c r="K196" s="2" t="s">
        <v>113</v>
      </c>
      <c r="L196" s="7">
        <v>40513.0</v>
      </c>
      <c r="M196" s="2" t="s">
        <v>94</v>
      </c>
      <c r="N196" s="2" t="s">
        <v>35</v>
      </c>
      <c r="O196" s="2" t="s">
        <v>27</v>
      </c>
      <c r="P196" s="2" t="s">
        <v>36</v>
      </c>
    </row>
    <row r="197" ht="14.25" customHeight="1">
      <c r="A197" s="6">
        <v>7729555.0</v>
      </c>
      <c r="B197" s="2" t="s">
        <v>911</v>
      </c>
      <c r="C197" s="2" t="s">
        <v>17</v>
      </c>
      <c r="D197" s="2" t="s">
        <v>18</v>
      </c>
      <c r="E197" s="2" t="s">
        <v>912</v>
      </c>
      <c r="F197" s="2" t="s">
        <v>912</v>
      </c>
      <c r="G197" s="2" t="s">
        <v>913</v>
      </c>
      <c r="H197" s="2" t="s">
        <v>889</v>
      </c>
      <c r="I197" s="2" t="s">
        <v>92</v>
      </c>
      <c r="J197" s="2" t="s">
        <v>93</v>
      </c>
      <c r="K197" s="2" t="s">
        <v>113</v>
      </c>
      <c r="L197" s="7">
        <v>40513.0</v>
      </c>
      <c r="M197" s="2" t="s">
        <v>94</v>
      </c>
      <c r="N197" s="2" t="s">
        <v>35</v>
      </c>
      <c r="O197" s="2" t="s">
        <v>27</v>
      </c>
      <c r="P197" s="2" t="s">
        <v>36</v>
      </c>
    </row>
    <row r="198" ht="14.25" customHeight="1">
      <c r="A198" s="6">
        <v>1.7899581E7</v>
      </c>
      <c r="B198" s="2" t="s">
        <v>914</v>
      </c>
      <c r="C198" s="2" t="s">
        <v>17</v>
      </c>
      <c r="D198" s="2" t="s">
        <v>18</v>
      </c>
      <c r="E198" s="2" t="s">
        <v>915</v>
      </c>
      <c r="F198" s="2" t="s">
        <v>916</v>
      </c>
      <c r="G198" s="2" t="s">
        <v>917</v>
      </c>
      <c r="H198" s="2" t="s">
        <v>918</v>
      </c>
      <c r="I198" s="2" t="s">
        <v>192</v>
      </c>
      <c r="J198" s="2" t="s">
        <v>193</v>
      </c>
      <c r="K198" s="2" t="s">
        <v>113</v>
      </c>
      <c r="L198" s="7">
        <v>45139.0</v>
      </c>
      <c r="M198" s="2" t="s">
        <v>25</v>
      </c>
      <c r="N198" s="2" t="s">
        <v>186</v>
      </c>
      <c r="O198" s="2" t="s">
        <v>27</v>
      </c>
      <c r="P198" s="2" t="s">
        <v>36</v>
      </c>
    </row>
    <row r="199" ht="14.25" customHeight="1">
      <c r="A199" s="6">
        <v>1.8388328E7</v>
      </c>
      <c r="B199" s="2" t="s">
        <v>919</v>
      </c>
      <c r="C199" s="2" t="s">
        <v>17</v>
      </c>
      <c r="D199" s="2" t="s">
        <v>18</v>
      </c>
      <c r="E199" s="2" t="s">
        <v>920</v>
      </c>
      <c r="F199" s="2" t="s">
        <v>921</v>
      </c>
      <c r="G199" s="2" t="s">
        <v>922</v>
      </c>
      <c r="H199" s="2" t="s">
        <v>918</v>
      </c>
      <c r="I199" s="2" t="s">
        <v>192</v>
      </c>
      <c r="J199" s="2" t="s">
        <v>193</v>
      </c>
      <c r="K199" s="2" t="s">
        <v>113</v>
      </c>
      <c r="L199" s="7">
        <v>45139.0</v>
      </c>
      <c r="M199" s="2" t="s">
        <v>25</v>
      </c>
      <c r="N199" s="2" t="s">
        <v>186</v>
      </c>
      <c r="O199" s="2" t="s">
        <v>27</v>
      </c>
      <c r="P199" s="2" t="s">
        <v>36</v>
      </c>
    </row>
    <row r="200" ht="14.25" customHeight="1">
      <c r="A200" s="6">
        <v>1.8390137E7</v>
      </c>
      <c r="B200" s="2" t="s">
        <v>923</v>
      </c>
      <c r="C200" s="2" t="s">
        <v>17</v>
      </c>
      <c r="D200" s="2" t="s">
        <v>18</v>
      </c>
      <c r="E200" s="2" t="s">
        <v>924</v>
      </c>
      <c r="F200" s="2" t="s">
        <v>925</v>
      </c>
      <c r="G200" s="2" t="s">
        <v>926</v>
      </c>
      <c r="H200" s="2" t="s">
        <v>918</v>
      </c>
      <c r="I200" s="2" t="s">
        <v>192</v>
      </c>
      <c r="J200" s="2" t="s">
        <v>193</v>
      </c>
      <c r="K200" s="2" t="s">
        <v>113</v>
      </c>
      <c r="L200" s="7">
        <v>45782.0</v>
      </c>
      <c r="M200" s="2" t="s">
        <v>25</v>
      </c>
      <c r="N200" s="2" t="s">
        <v>186</v>
      </c>
      <c r="O200" s="2" t="s">
        <v>27</v>
      </c>
      <c r="P200" s="2" t="s">
        <v>28</v>
      </c>
    </row>
    <row r="201" ht="14.25" customHeight="1">
      <c r="A201" s="6">
        <v>1.8069794E7</v>
      </c>
      <c r="B201" s="2" t="s">
        <v>927</v>
      </c>
      <c r="C201" s="2" t="s">
        <v>17</v>
      </c>
      <c r="D201" s="2" t="s">
        <v>88</v>
      </c>
      <c r="E201" s="2" t="s">
        <v>928</v>
      </c>
      <c r="F201" s="2" t="s">
        <v>929</v>
      </c>
      <c r="G201" s="2" t="s">
        <v>930</v>
      </c>
      <c r="H201" s="2" t="s">
        <v>918</v>
      </c>
      <c r="I201" s="2" t="s">
        <v>192</v>
      </c>
      <c r="J201" s="2" t="s">
        <v>193</v>
      </c>
      <c r="K201" s="2" t="s">
        <v>24</v>
      </c>
      <c r="L201" s="7">
        <v>45931.0</v>
      </c>
      <c r="M201" s="2" t="s">
        <v>25</v>
      </c>
      <c r="N201" s="2" t="s">
        <v>186</v>
      </c>
      <c r="O201" s="2" t="s">
        <v>27</v>
      </c>
      <c r="P201" s="2" t="s">
        <v>28</v>
      </c>
    </row>
    <row r="202" ht="14.25" customHeight="1">
      <c r="A202" s="6">
        <v>1.7454067E7</v>
      </c>
      <c r="B202" s="2" t="s">
        <v>931</v>
      </c>
      <c r="C202" s="2" t="s">
        <v>107</v>
      </c>
      <c r="D202" s="2" t="s">
        <v>88</v>
      </c>
      <c r="E202" s="2" t="s">
        <v>932</v>
      </c>
      <c r="F202" s="2" t="s">
        <v>933</v>
      </c>
      <c r="G202" s="2" t="s">
        <v>934</v>
      </c>
      <c r="H202" s="2" t="s">
        <v>935</v>
      </c>
      <c r="I202" s="2" t="s">
        <v>806</v>
      </c>
      <c r="J202" s="2" t="s">
        <v>801</v>
      </c>
      <c r="K202" s="2" t="s">
        <v>113</v>
      </c>
      <c r="L202" s="7">
        <v>44896.0</v>
      </c>
      <c r="M202" s="2" t="s">
        <v>154</v>
      </c>
      <c r="N202" s="2" t="s">
        <v>26</v>
      </c>
      <c r="O202" s="2" t="s">
        <v>27</v>
      </c>
      <c r="P202" s="2" t="s">
        <v>36</v>
      </c>
    </row>
    <row r="203" ht="14.25" customHeight="1">
      <c r="A203" s="6">
        <v>9331924.0</v>
      </c>
      <c r="B203" s="2" t="s">
        <v>936</v>
      </c>
      <c r="C203" s="2" t="s">
        <v>17</v>
      </c>
      <c r="D203" s="2" t="s">
        <v>18</v>
      </c>
      <c r="E203" s="2" t="s">
        <v>937</v>
      </c>
      <c r="F203" s="2" t="s">
        <v>938</v>
      </c>
      <c r="G203" s="2" t="s">
        <v>939</v>
      </c>
      <c r="H203" s="2" t="s">
        <v>940</v>
      </c>
      <c r="I203" s="2" t="s">
        <v>941</v>
      </c>
      <c r="J203" s="2" t="s">
        <v>801</v>
      </c>
      <c r="K203" s="2" t="s">
        <v>113</v>
      </c>
      <c r="L203" s="7">
        <v>40513.0</v>
      </c>
      <c r="M203" s="2" t="s">
        <v>25</v>
      </c>
      <c r="N203" s="2" t="s">
        <v>26</v>
      </c>
      <c r="O203" s="2" t="s">
        <v>27</v>
      </c>
      <c r="P203" s="2" t="s">
        <v>36</v>
      </c>
    </row>
    <row r="204" ht="14.25" customHeight="1">
      <c r="A204" s="6">
        <v>1.9714286E7</v>
      </c>
      <c r="B204" s="2" t="s">
        <v>942</v>
      </c>
      <c r="C204" s="2" t="s">
        <v>17</v>
      </c>
      <c r="D204" s="2" t="s">
        <v>18</v>
      </c>
      <c r="E204" s="2" t="s">
        <v>943</v>
      </c>
      <c r="F204" s="2" t="s">
        <v>944</v>
      </c>
      <c r="G204" s="2" t="s">
        <v>945</v>
      </c>
      <c r="H204" s="2" t="s">
        <v>946</v>
      </c>
      <c r="I204" s="2" t="s">
        <v>947</v>
      </c>
      <c r="J204" s="2" t="s">
        <v>948</v>
      </c>
      <c r="K204" s="2" t="s">
        <v>113</v>
      </c>
      <c r="L204" s="7">
        <v>44760.0</v>
      </c>
      <c r="M204" s="2" t="s">
        <v>25</v>
      </c>
      <c r="N204" s="2" t="s">
        <v>367</v>
      </c>
      <c r="O204" s="2" t="s">
        <v>27</v>
      </c>
      <c r="P204" s="2" t="s">
        <v>36</v>
      </c>
    </row>
    <row r="205" ht="14.25" customHeight="1">
      <c r="A205" s="6">
        <v>2.0901811E7</v>
      </c>
      <c r="B205" s="2" t="s">
        <v>949</v>
      </c>
      <c r="C205" s="2" t="s">
        <v>107</v>
      </c>
      <c r="D205" s="2" t="s">
        <v>18</v>
      </c>
      <c r="E205" s="2" t="s">
        <v>950</v>
      </c>
      <c r="F205" s="2" t="s">
        <v>951</v>
      </c>
      <c r="G205" s="2" t="s">
        <v>952</v>
      </c>
      <c r="H205" s="2" t="s">
        <v>953</v>
      </c>
      <c r="I205" s="2" t="s">
        <v>425</v>
      </c>
      <c r="J205" s="2" t="s">
        <v>401</v>
      </c>
      <c r="K205" s="2" t="s">
        <v>113</v>
      </c>
      <c r="L205" s="7">
        <v>44655.0</v>
      </c>
      <c r="M205" s="2" t="s">
        <v>154</v>
      </c>
      <c r="N205" s="2" t="s">
        <v>208</v>
      </c>
      <c r="O205" s="2" t="s">
        <v>116</v>
      </c>
      <c r="P205" s="2" t="s">
        <v>36</v>
      </c>
    </row>
    <row r="206" ht="14.25" customHeight="1">
      <c r="A206" s="6">
        <v>1.5412817E7</v>
      </c>
      <c r="B206" s="2" t="s">
        <v>954</v>
      </c>
      <c r="C206" s="2" t="s">
        <v>107</v>
      </c>
      <c r="D206" s="2" t="s">
        <v>18</v>
      </c>
      <c r="E206" s="2" t="s">
        <v>955</v>
      </c>
      <c r="F206" s="2" t="s">
        <v>956</v>
      </c>
      <c r="G206" s="2" t="s">
        <v>957</v>
      </c>
      <c r="H206" s="2" t="s">
        <v>958</v>
      </c>
      <c r="I206" s="2" t="s">
        <v>959</v>
      </c>
      <c r="J206" s="2" t="s">
        <v>559</v>
      </c>
      <c r="K206" s="2" t="s">
        <v>113</v>
      </c>
      <c r="L206" s="7">
        <v>44977.0</v>
      </c>
      <c r="M206" s="2" t="s">
        <v>154</v>
      </c>
      <c r="N206" s="2" t="s">
        <v>26</v>
      </c>
      <c r="O206" s="2" t="s">
        <v>162</v>
      </c>
      <c r="P206" s="2" t="s">
        <v>36</v>
      </c>
    </row>
    <row r="207" ht="14.25" customHeight="1">
      <c r="A207" s="6">
        <v>1.9110255E7</v>
      </c>
      <c r="B207" s="2" t="s">
        <v>960</v>
      </c>
      <c r="C207" s="2" t="s">
        <v>17</v>
      </c>
      <c r="D207" s="2" t="s">
        <v>18</v>
      </c>
      <c r="E207" s="2" t="s">
        <v>961</v>
      </c>
      <c r="F207" s="2" t="s">
        <v>962</v>
      </c>
      <c r="G207" s="2" t="s">
        <v>963</v>
      </c>
      <c r="H207" s="2" t="s">
        <v>964</v>
      </c>
      <c r="I207" s="2" t="s">
        <v>588</v>
      </c>
      <c r="J207" s="2" t="s">
        <v>23</v>
      </c>
      <c r="K207" s="2" t="s">
        <v>113</v>
      </c>
      <c r="L207" s="7">
        <v>44949.0</v>
      </c>
      <c r="M207" s="2" t="s">
        <v>25</v>
      </c>
      <c r="N207" s="2" t="s">
        <v>26</v>
      </c>
      <c r="O207" s="2" t="s">
        <v>200</v>
      </c>
      <c r="P207" s="2" t="s">
        <v>36</v>
      </c>
    </row>
    <row r="208" ht="14.25" customHeight="1">
      <c r="A208" s="6">
        <v>1.613801E7</v>
      </c>
      <c r="B208" s="2" t="s">
        <v>965</v>
      </c>
      <c r="C208" s="2" t="s">
        <v>17</v>
      </c>
      <c r="D208" s="2" t="s">
        <v>18</v>
      </c>
      <c r="E208" s="2" t="s">
        <v>966</v>
      </c>
      <c r="F208" s="2" t="s">
        <v>967</v>
      </c>
      <c r="G208" s="2" t="s">
        <v>968</v>
      </c>
      <c r="H208" s="2" t="s">
        <v>964</v>
      </c>
      <c r="I208" s="2" t="s">
        <v>536</v>
      </c>
      <c r="J208" s="2" t="s">
        <v>537</v>
      </c>
      <c r="K208" s="2" t="s">
        <v>113</v>
      </c>
      <c r="L208" s="7">
        <v>44896.0</v>
      </c>
      <c r="M208" s="2" t="s">
        <v>25</v>
      </c>
      <c r="N208" s="2" t="s">
        <v>26</v>
      </c>
      <c r="O208" s="2" t="s">
        <v>200</v>
      </c>
      <c r="P208" s="2" t="s">
        <v>36</v>
      </c>
    </row>
    <row r="209" ht="14.25" customHeight="1">
      <c r="A209" s="6">
        <v>1.844523E7</v>
      </c>
      <c r="B209" s="2" t="s">
        <v>969</v>
      </c>
      <c r="C209" s="2" t="s">
        <v>17</v>
      </c>
      <c r="D209" s="2" t="s">
        <v>18</v>
      </c>
      <c r="E209" s="2" t="s">
        <v>970</v>
      </c>
      <c r="F209" s="2" t="s">
        <v>971</v>
      </c>
      <c r="G209" s="2" t="s">
        <v>972</v>
      </c>
      <c r="H209" s="2" t="s">
        <v>964</v>
      </c>
      <c r="I209" s="2" t="s">
        <v>536</v>
      </c>
      <c r="J209" s="2" t="s">
        <v>537</v>
      </c>
      <c r="K209" s="2" t="s">
        <v>113</v>
      </c>
      <c r="L209" s="7">
        <v>45281.0</v>
      </c>
      <c r="M209" s="2" t="s">
        <v>25</v>
      </c>
      <c r="N209" s="2" t="s">
        <v>26</v>
      </c>
      <c r="O209" s="2" t="s">
        <v>200</v>
      </c>
      <c r="P209" s="2" t="s">
        <v>36</v>
      </c>
    </row>
    <row r="210" ht="14.25" customHeight="1">
      <c r="A210" s="6">
        <v>1.9156449E7</v>
      </c>
      <c r="B210" s="2" t="s">
        <v>973</v>
      </c>
      <c r="C210" s="2" t="s">
        <v>17</v>
      </c>
      <c r="D210" s="2" t="s">
        <v>88</v>
      </c>
      <c r="E210" s="2" t="s">
        <v>974</v>
      </c>
      <c r="F210" s="2" t="s">
        <v>974</v>
      </c>
      <c r="G210" s="2" t="s">
        <v>975</v>
      </c>
      <c r="H210" s="2" t="s">
        <v>964</v>
      </c>
      <c r="I210" s="2" t="s">
        <v>588</v>
      </c>
      <c r="J210" s="2" t="s">
        <v>537</v>
      </c>
      <c r="K210" s="2" t="s">
        <v>24</v>
      </c>
      <c r="L210" s="7">
        <v>45950.0</v>
      </c>
      <c r="M210" s="2" t="s">
        <v>25</v>
      </c>
      <c r="N210" s="2" t="s">
        <v>26</v>
      </c>
      <c r="O210" s="2" t="s">
        <v>976</v>
      </c>
      <c r="P210" s="2" t="s">
        <v>28</v>
      </c>
    </row>
    <row r="211" ht="14.25" customHeight="1">
      <c r="A211" s="6">
        <v>8083416.0</v>
      </c>
      <c r="B211" s="2" t="s">
        <v>977</v>
      </c>
      <c r="C211" s="2" t="s">
        <v>17</v>
      </c>
      <c r="D211" s="2" t="s">
        <v>18</v>
      </c>
      <c r="E211" s="2" t="s">
        <v>978</v>
      </c>
      <c r="F211" s="2" t="s">
        <v>978</v>
      </c>
      <c r="G211" s="2" t="s">
        <v>979</v>
      </c>
      <c r="H211" s="2" t="s">
        <v>980</v>
      </c>
      <c r="I211" s="2" t="s">
        <v>588</v>
      </c>
      <c r="J211" s="2" t="s">
        <v>23</v>
      </c>
      <c r="K211" s="2" t="s">
        <v>113</v>
      </c>
      <c r="L211" s="7">
        <v>40513.0</v>
      </c>
      <c r="M211" s="2" t="s">
        <v>25</v>
      </c>
      <c r="N211" s="2" t="s">
        <v>26</v>
      </c>
      <c r="O211" s="2" t="s">
        <v>200</v>
      </c>
      <c r="P211" s="2" t="s">
        <v>36</v>
      </c>
    </row>
    <row r="212" ht="14.25" customHeight="1">
      <c r="A212" s="6">
        <v>8139707.0</v>
      </c>
      <c r="B212" s="2" t="s">
        <v>981</v>
      </c>
      <c r="C212" s="2" t="s">
        <v>17</v>
      </c>
      <c r="D212" s="2" t="s">
        <v>18</v>
      </c>
      <c r="E212" s="2" t="s">
        <v>982</v>
      </c>
      <c r="F212" s="2" t="s">
        <v>982</v>
      </c>
      <c r="G212" s="2" t="s">
        <v>983</v>
      </c>
      <c r="H212" s="2" t="s">
        <v>980</v>
      </c>
      <c r="I212" s="2" t="s">
        <v>588</v>
      </c>
      <c r="J212" s="2" t="s">
        <v>23</v>
      </c>
      <c r="K212" s="2" t="s">
        <v>113</v>
      </c>
      <c r="L212" s="7">
        <v>40513.0</v>
      </c>
      <c r="M212" s="2" t="s">
        <v>25</v>
      </c>
      <c r="N212" s="2" t="s">
        <v>26</v>
      </c>
      <c r="O212" s="2" t="s">
        <v>27</v>
      </c>
      <c r="P212" s="2" t="s">
        <v>36</v>
      </c>
    </row>
    <row r="213" ht="14.25" customHeight="1">
      <c r="A213" s="6">
        <v>1.668766E7</v>
      </c>
      <c r="B213" s="2" t="s">
        <v>984</v>
      </c>
      <c r="C213" s="2" t="s">
        <v>17</v>
      </c>
      <c r="D213" s="2" t="s">
        <v>18</v>
      </c>
      <c r="E213" s="2" t="s">
        <v>985</v>
      </c>
      <c r="F213" s="2" t="s">
        <v>986</v>
      </c>
      <c r="G213" s="2" t="s">
        <v>987</v>
      </c>
      <c r="H213" s="2" t="s">
        <v>980</v>
      </c>
      <c r="I213" s="2" t="s">
        <v>668</v>
      </c>
      <c r="J213" s="2" t="s">
        <v>537</v>
      </c>
      <c r="K213" s="2" t="s">
        <v>113</v>
      </c>
      <c r="L213" s="7">
        <v>40513.0</v>
      </c>
      <c r="M213" s="2" t="s">
        <v>312</v>
      </c>
      <c r="N213" s="2" t="s">
        <v>26</v>
      </c>
      <c r="O213" s="2" t="s">
        <v>312</v>
      </c>
      <c r="P213" s="2" t="s">
        <v>36</v>
      </c>
    </row>
    <row r="214" ht="14.25" customHeight="1">
      <c r="A214" s="6">
        <v>1.9813145E7</v>
      </c>
      <c r="B214" s="2" t="s">
        <v>988</v>
      </c>
      <c r="C214" s="2" t="s">
        <v>17</v>
      </c>
      <c r="D214" s="2" t="s">
        <v>18</v>
      </c>
      <c r="E214" s="2" t="s">
        <v>989</v>
      </c>
      <c r="F214" s="2" t="s">
        <v>990</v>
      </c>
      <c r="G214" s="2" t="s">
        <v>991</v>
      </c>
      <c r="H214" s="2" t="s">
        <v>980</v>
      </c>
      <c r="I214" s="2" t="s">
        <v>536</v>
      </c>
      <c r="J214" s="2" t="s">
        <v>537</v>
      </c>
      <c r="K214" s="2" t="s">
        <v>113</v>
      </c>
      <c r="L214" s="7">
        <v>45261.0</v>
      </c>
      <c r="M214" s="2" t="s">
        <v>25</v>
      </c>
      <c r="N214" s="2" t="s">
        <v>26</v>
      </c>
      <c r="O214" s="2" t="s">
        <v>200</v>
      </c>
      <c r="P214" s="2" t="s">
        <v>36</v>
      </c>
    </row>
    <row r="215" ht="14.25" customHeight="1">
      <c r="A215" s="6">
        <v>7954805.0</v>
      </c>
      <c r="B215" s="2" t="s">
        <v>992</v>
      </c>
      <c r="C215" s="2" t="s">
        <v>17</v>
      </c>
      <c r="D215" s="2" t="s">
        <v>18</v>
      </c>
      <c r="E215" s="2" t="s">
        <v>993</v>
      </c>
      <c r="F215" s="2" t="s">
        <v>994</v>
      </c>
      <c r="G215" s="2" t="s">
        <v>995</v>
      </c>
      <c r="H215" s="2" t="s">
        <v>980</v>
      </c>
      <c r="I215" s="2" t="s">
        <v>536</v>
      </c>
      <c r="J215" s="2" t="s">
        <v>537</v>
      </c>
      <c r="K215" s="2" t="s">
        <v>113</v>
      </c>
      <c r="L215" s="7">
        <v>40513.0</v>
      </c>
      <c r="M215" s="2" t="s">
        <v>25</v>
      </c>
      <c r="N215" s="2" t="s">
        <v>26</v>
      </c>
      <c r="O215" s="2" t="s">
        <v>200</v>
      </c>
      <c r="P215" s="2" t="s">
        <v>36</v>
      </c>
    </row>
    <row r="216" ht="14.25" customHeight="1">
      <c r="A216" s="6">
        <v>9467546.0</v>
      </c>
      <c r="B216" s="2" t="s">
        <v>996</v>
      </c>
      <c r="C216" s="2" t="s">
        <v>17</v>
      </c>
      <c r="D216" s="2" t="s">
        <v>18</v>
      </c>
      <c r="E216" s="2" t="s">
        <v>997</v>
      </c>
      <c r="F216" s="2" t="s">
        <v>998</v>
      </c>
      <c r="G216" s="2" t="s">
        <v>999</v>
      </c>
      <c r="H216" s="2" t="s">
        <v>980</v>
      </c>
      <c r="I216" s="2" t="s">
        <v>588</v>
      </c>
      <c r="J216" s="2" t="s">
        <v>23</v>
      </c>
      <c r="K216" s="2" t="s">
        <v>113</v>
      </c>
      <c r="L216" s="7">
        <v>41589.0</v>
      </c>
      <c r="M216" s="2" t="s">
        <v>25</v>
      </c>
      <c r="N216" s="2" t="s">
        <v>26</v>
      </c>
      <c r="O216" s="2" t="s">
        <v>200</v>
      </c>
      <c r="P216" s="2" t="s">
        <v>36</v>
      </c>
    </row>
    <row r="217" ht="14.25" customHeight="1">
      <c r="A217" s="6">
        <v>1.8731249E7</v>
      </c>
      <c r="B217" s="2" t="s">
        <v>1000</v>
      </c>
      <c r="C217" s="2" t="s">
        <v>107</v>
      </c>
      <c r="D217" s="2" t="s">
        <v>18</v>
      </c>
      <c r="E217" s="2" t="s">
        <v>1001</v>
      </c>
      <c r="F217" s="2" t="s">
        <v>1002</v>
      </c>
      <c r="G217" s="2" t="s">
        <v>1003</v>
      </c>
      <c r="H217" s="2" t="s">
        <v>1004</v>
      </c>
      <c r="I217" s="2" t="s">
        <v>159</v>
      </c>
      <c r="J217" s="2" t="s">
        <v>160</v>
      </c>
      <c r="K217" s="2" t="s">
        <v>113</v>
      </c>
      <c r="L217" s="7">
        <v>45355.0</v>
      </c>
      <c r="M217" s="2" t="s">
        <v>154</v>
      </c>
      <c r="N217" s="2" t="s">
        <v>161</v>
      </c>
      <c r="O217" s="2" t="s">
        <v>162</v>
      </c>
      <c r="P217" s="2" t="s">
        <v>36</v>
      </c>
    </row>
    <row r="218" ht="14.25" customHeight="1">
      <c r="A218" s="6">
        <v>1.8966639E7</v>
      </c>
      <c r="B218" s="2" t="s">
        <v>1005</v>
      </c>
      <c r="C218" s="2" t="s">
        <v>107</v>
      </c>
      <c r="D218" s="2" t="s">
        <v>18</v>
      </c>
      <c r="E218" s="2" t="s">
        <v>1006</v>
      </c>
      <c r="F218" s="2" t="s">
        <v>1007</v>
      </c>
      <c r="G218" s="2" t="s">
        <v>1008</v>
      </c>
      <c r="H218" s="2" t="s">
        <v>1009</v>
      </c>
      <c r="I218" s="2" t="s">
        <v>464</v>
      </c>
      <c r="J218" s="2" t="s">
        <v>23</v>
      </c>
      <c r="K218" s="2" t="s">
        <v>113</v>
      </c>
      <c r="L218" s="7">
        <v>45054.0</v>
      </c>
      <c r="M218" s="2" t="s">
        <v>154</v>
      </c>
      <c r="N218" s="2" t="s">
        <v>26</v>
      </c>
      <c r="O218" s="2" t="s">
        <v>465</v>
      </c>
      <c r="P218" s="2" t="s">
        <v>36</v>
      </c>
    </row>
    <row r="219" ht="14.25" customHeight="1">
      <c r="A219" s="6">
        <v>1.7188462E7</v>
      </c>
      <c r="B219" s="2" t="s">
        <v>1010</v>
      </c>
      <c r="C219" s="2" t="s">
        <v>107</v>
      </c>
      <c r="D219" s="2" t="s">
        <v>18</v>
      </c>
      <c r="E219" s="2" t="s">
        <v>1011</v>
      </c>
      <c r="F219" s="2" t="s">
        <v>1011</v>
      </c>
      <c r="G219" s="2" t="s">
        <v>1012</v>
      </c>
      <c r="H219" s="2" t="s">
        <v>1013</v>
      </c>
      <c r="I219" s="2" t="s">
        <v>1014</v>
      </c>
      <c r="J219" s="2" t="s">
        <v>458</v>
      </c>
      <c r="K219" s="2" t="s">
        <v>113</v>
      </c>
      <c r="L219" s="7">
        <v>45799.0</v>
      </c>
      <c r="M219" s="2" t="s">
        <v>154</v>
      </c>
      <c r="N219" s="2" t="s">
        <v>26</v>
      </c>
      <c r="O219" s="2" t="s">
        <v>200</v>
      </c>
      <c r="P219" s="2" t="s">
        <v>36</v>
      </c>
    </row>
    <row r="220" ht="14.25" customHeight="1">
      <c r="A220" s="6">
        <v>1.0803779E7</v>
      </c>
      <c r="B220" s="2" t="s">
        <v>1015</v>
      </c>
      <c r="C220" s="2" t="s">
        <v>17</v>
      </c>
      <c r="D220" s="2" t="s">
        <v>18</v>
      </c>
      <c r="E220" s="2" t="s">
        <v>1016</v>
      </c>
      <c r="F220" s="2" t="s">
        <v>1017</v>
      </c>
      <c r="G220" s="2" t="s">
        <v>1018</v>
      </c>
      <c r="H220" s="2" t="s">
        <v>1019</v>
      </c>
      <c r="I220" s="2" t="s">
        <v>1020</v>
      </c>
      <c r="J220" s="2" t="s">
        <v>34</v>
      </c>
      <c r="K220" s="2" t="s">
        <v>113</v>
      </c>
      <c r="L220" s="7">
        <v>44204.0</v>
      </c>
      <c r="M220" s="2" t="s">
        <v>25</v>
      </c>
      <c r="N220" s="2" t="s">
        <v>35</v>
      </c>
      <c r="O220" s="2" t="s">
        <v>27</v>
      </c>
      <c r="P220" s="2" t="s">
        <v>36</v>
      </c>
    </row>
    <row r="221" ht="14.25" customHeight="1">
      <c r="A221" s="6">
        <v>7702999.0</v>
      </c>
      <c r="B221" s="2" t="s">
        <v>1021</v>
      </c>
      <c r="C221" s="2" t="s">
        <v>17</v>
      </c>
      <c r="D221" s="2" t="s">
        <v>18</v>
      </c>
      <c r="E221" s="2" t="s">
        <v>1022</v>
      </c>
      <c r="F221" s="2" t="s">
        <v>1022</v>
      </c>
      <c r="G221" s="2" t="s">
        <v>1023</v>
      </c>
      <c r="H221" s="2" t="s">
        <v>1019</v>
      </c>
      <c r="I221" s="2" t="s">
        <v>1020</v>
      </c>
      <c r="J221" s="2" t="s">
        <v>34</v>
      </c>
      <c r="K221" s="2" t="s">
        <v>113</v>
      </c>
      <c r="L221" s="7">
        <v>40513.0</v>
      </c>
      <c r="M221" s="2" t="s">
        <v>25</v>
      </c>
      <c r="N221" s="2" t="s">
        <v>35</v>
      </c>
      <c r="O221" s="2" t="s">
        <v>27</v>
      </c>
      <c r="P221" s="2" t="s">
        <v>36</v>
      </c>
    </row>
    <row r="222" ht="14.25" customHeight="1">
      <c r="A222" s="6">
        <v>1.1569886E7</v>
      </c>
      <c r="B222" s="2" t="s">
        <v>1024</v>
      </c>
      <c r="C222" s="2" t="s">
        <v>17</v>
      </c>
      <c r="D222" s="2" t="s">
        <v>18</v>
      </c>
      <c r="E222" s="2" t="s">
        <v>1025</v>
      </c>
      <c r="F222" s="2" t="s">
        <v>1026</v>
      </c>
      <c r="G222" s="2" t="s">
        <v>1027</v>
      </c>
      <c r="H222" s="2" t="s">
        <v>1019</v>
      </c>
      <c r="I222" s="2" t="s">
        <v>1028</v>
      </c>
      <c r="J222" s="2" t="s">
        <v>34</v>
      </c>
      <c r="K222" s="2" t="s">
        <v>113</v>
      </c>
      <c r="L222" s="7">
        <v>40513.0</v>
      </c>
      <c r="M222" s="2" t="s">
        <v>25</v>
      </c>
      <c r="N222" s="2" t="s">
        <v>35</v>
      </c>
      <c r="O222" s="2" t="s">
        <v>27</v>
      </c>
      <c r="P222" s="2" t="s">
        <v>36</v>
      </c>
    </row>
    <row r="223" ht="14.25" customHeight="1">
      <c r="A223" s="6">
        <v>1.010997E7</v>
      </c>
      <c r="B223" s="2" t="s">
        <v>1029</v>
      </c>
      <c r="C223" s="2" t="s">
        <v>17</v>
      </c>
      <c r="D223" s="2" t="s">
        <v>18</v>
      </c>
      <c r="E223" s="2" t="s">
        <v>1030</v>
      </c>
      <c r="F223" s="2" t="s">
        <v>1030</v>
      </c>
      <c r="G223" s="2" t="s">
        <v>1031</v>
      </c>
      <c r="H223" s="2" t="s">
        <v>1019</v>
      </c>
      <c r="I223" s="2" t="s">
        <v>1028</v>
      </c>
      <c r="J223" s="2" t="s">
        <v>34</v>
      </c>
      <c r="K223" s="2" t="s">
        <v>113</v>
      </c>
      <c r="L223" s="7">
        <v>40513.0</v>
      </c>
      <c r="M223" s="2" t="s">
        <v>25</v>
      </c>
      <c r="N223" s="2" t="s">
        <v>35</v>
      </c>
      <c r="O223" s="2" t="s">
        <v>27</v>
      </c>
      <c r="P223" s="2" t="s">
        <v>36</v>
      </c>
    </row>
    <row r="224" ht="14.25" customHeight="1">
      <c r="A224" s="6">
        <v>1.7348936E7</v>
      </c>
      <c r="B224" s="2" t="s">
        <v>1032</v>
      </c>
      <c r="C224" s="2" t="s">
        <v>17</v>
      </c>
      <c r="D224" s="2" t="s">
        <v>18</v>
      </c>
      <c r="E224" s="2" t="s">
        <v>1033</v>
      </c>
      <c r="F224" s="2" t="s">
        <v>1034</v>
      </c>
      <c r="G224" s="2" t="s">
        <v>1035</v>
      </c>
      <c r="H224" s="2" t="s">
        <v>1019</v>
      </c>
      <c r="I224" s="2" t="s">
        <v>1028</v>
      </c>
      <c r="J224" s="2" t="s">
        <v>34</v>
      </c>
      <c r="K224" s="2" t="s">
        <v>113</v>
      </c>
      <c r="L224" s="7">
        <v>45271.0</v>
      </c>
      <c r="M224" s="2" t="s">
        <v>25</v>
      </c>
      <c r="N224" s="2" t="s">
        <v>35</v>
      </c>
      <c r="O224" s="2" t="s">
        <v>27</v>
      </c>
      <c r="P224" s="2" t="s">
        <v>36</v>
      </c>
    </row>
    <row r="225" ht="14.25" customHeight="1">
      <c r="A225" s="6">
        <v>1.1986122E7</v>
      </c>
      <c r="B225" s="2" t="s">
        <v>1036</v>
      </c>
      <c r="C225" s="2" t="s">
        <v>17</v>
      </c>
      <c r="D225" s="2" t="s">
        <v>18</v>
      </c>
      <c r="E225" s="2" t="s">
        <v>1037</v>
      </c>
      <c r="F225" s="2" t="s">
        <v>1037</v>
      </c>
      <c r="G225" s="2" t="s">
        <v>1038</v>
      </c>
      <c r="H225" s="2" t="s">
        <v>1019</v>
      </c>
      <c r="I225" s="2" t="s">
        <v>1028</v>
      </c>
      <c r="J225" s="2" t="s">
        <v>34</v>
      </c>
      <c r="K225" s="2" t="s">
        <v>113</v>
      </c>
      <c r="L225" s="7">
        <v>42736.0</v>
      </c>
      <c r="M225" s="2" t="s">
        <v>25</v>
      </c>
      <c r="N225" s="2" t="s">
        <v>35</v>
      </c>
      <c r="O225" s="2" t="s">
        <v>27</v>
      </c>
      <c r="P225" s="2" t="s">
        <v>36</v>
      </c>
    </row>
    <row r="226" ht="14.25" customHeight="1">
      <c r="A226" s="6">
        <v>1.9139733E7</v>
      </c>
      <c r="B226" s="2" t="s">
        <v>1039</v>
      </c>
      <c r="C226" s="2" t="s">
        <v>17</v>
      </c>
      <c r="D226" s="2" t="s">
        <v>18</v>
      </c>
      <c r="E226" s="2" t="s">
        <v>1040</v>
      </c>
      <c r="F226" s="2" t="s">
        <v>1041</v>
      </c>
      <c r="G226" s="2" t="s">
        <v>1042</v>
      </c>
      <c r="H226" s="2" t="s">
        <v>1019</v>
      </c>
      <c r="I226" s="2" t="s">
        <v>1028</v>
      </c>
      <c r="J226" s="2" t="s">
        <v>34</v>
      </c>
      <c r="K226" s="2" t="s">
        <v>113</v>
      </c>
      <c r="L226" s="7">
        <v>45271.0</v>
      </c>
      <c r="M226" s="2" t="s">
        <v>25</v>
      </c>
      <c r="N226" s="2" t="s">
        <v>35</v>
      </c>
      <c r="O226" s="2" t="s">
        <v>27</v>
      </c>
      <c r="P226" s="2" t="s">
        <v>36</v>
      </c>
    </row>
    <row r="227" ht="14.25" customHeight="1">
      <c r="A227" s="6">
        <v>1.0187034E7</v>
      </c>
      <c r="B227" s="2" t="s">
        <v>1043</v>
      </c>
      <c r="C227" s="2" t="s">
        <v>17</v>
      </c>
      <c r="D227" s="2" t="s">
        <v>18</v>
      </c>
      <c r="E227" s="2" t="s">
        <v>1044</v>
      </c>
      <c r="F227" s="2" t="s">
        <v>1044</v>
      </c>
      <c r="G227" s="2" t="s">
        <v>1045</v>
      </c>
      <c r="H227" s="2" t="s">
        <v>1019</v>
      </c>
      <c r="I227" s="2" t="s">
        <v>1020</v>
      </c>
      <c r="J227" s="2" t="s">
        <v>34</v>
      </c>
      <c r="K227" s="2" t="s">
        <v>113</v>
      </c>
      <c r="L227" s="7">
        <v>40513.0</v>
      </c>
      <c r="M227" s="2" t="s">
        <v>25</v>
      </c>
      <c r="N227" s="2" t="s">
        <v>35</v>
      </c>
      <c r="O227" s="2" t="s">
        <v>27</v>
      </c>
      <c r="P227" s="2" t="s">
        <v>36</v>
      </c>
    </row>
    <row r="228" ht="14.25" customHeight="1">
      <c r="A228" s="6">
        <v>1.0360909E7</v>
      </c>
      <c r="B228" s="2" t="s">
        <v>1046</v>
      </c>
      <c r="C228" s="2" t="s">
        <v>17</v>
      </c>
      <c r="D228" s="2" t="s">
        <v>18</v>
      </c>
      <c r="E228" s="2" t="s">
        <v>1047</v>
      </c>
      <c r="F228" s="2" t="s">
        <v>1047</v>
      </c>
      <c r="G228" s="2" t="s">
        <v>1048</v>
      </c>
      <c r="H228" s="2" t="s">
        <v>1019</v>
      </c>
      <c r="I228" s="2" t="s">
        <v>1049</v>
      </c>
      <c r="J228" s="2" t="s">
        <v>34</v>
      </c>
      <c r="K228" s="2" t="s">
        <v>113</v>
      </c>
      <c r="L228" s="7">
        <v>41564.0</v>
      </c>
      <c r="M228" s="2" t="s">
        <v>312</v>
      </c>
      <c r="N228" s="2" t="s">
        <v>35</v>
      </c>
      <c r="O228" s="2" t="s">
        <v>312</v>
      </c>
      <c r="P228" s="2" t="s">
        <v>36</v>
      </c>
    </row>
    <row r="229" ht="14.25" customHeight="1">
      <c r="A229" s="6">
        <v>9433951.0</v>
      </c>
      <c r="B229" s="2" t="s">
        <v>1050</v>
      </c>
      <c r="C229" s="2" t="s">
        <v>17</v>
      </c>
      <c r="D229" s="2" t="s">
        <v>18</v>
      </c>
      <c r="E229" s="2" t="s">
        <v>1051</v>
      </c>
      <c r="F229" s="2" t="s">
        <v>1051</v>
      </c>
      <c r="G229" s="2" t="s">
        <v>1052</v>
      </c>
      <c r="H229" s="2" t="s">
        <v>1019</v>
      </c>
      <c r="I229" s="2" t="s">
        <v>1049</v>
      </c>
      <c r="J229" s="2" t="s">
        <v>34</v>
      </c>
      <c r="K229" s="2" t="s">
        <v>113</v>
      </c>
      <c r="L229" s="7">
        <v>40513.0</v>
      </c>
      <c r="M229" s="2" t="s">
        <v>312</v>
      </c>
      <c r="N229" s="2" t="s">
        <v>35</v>
      </c>
      <c r="O229" s="2" t="s">
        <v>312</v>
      </c>
      <c r="P229" s="2" t="s">
        <v>36</v>
      </c>
    </row>
    <row r="230" ht="14.25" customHeight="1">
      <c r="A230" s="6">
        <v>2.0406997E7</v>
      </c>
      <c r="B230" s="2" t="s">
        <v>1053</v>
      </c>
      <c r="C230" s="2" t="s">
        <v>17</v>
      </c>
      <c r="D230" s="2" t="s">
        <v>18</v>
      </c>
      <c r="E230" s="2" t="s">
        <v>1054</v>
      </c>
      <c r="F230" s="2" t="s">
        <v>1054</v>
      </c>
      <c r="G230" s="2" t="s">
        <v>1055</v>
      </c>
      <c r="H230" s="2" t="s">
        <v>1019</v>
      </c>
      <c r="I230" s="2" t="s">
        <v>1049</v>
      </c>
      <c r="J230" s="2" t="s">
        <v>34</v>
      </c>
      <c r="K230" s="2" t="s">
        <v>113</v>
      </c>
      <c r="L230" s="7">
        <v>45000.0</v>
      </c>
      <c r="M230" s="2" t="s">
        <v>312</v>
      </c>
      <c r="N230" s="2" t="s">
        <v>35</v>
      </c>
      <c r="O230" s="2" t="s">
        <v>312</v>
      </c>
      <c r="P230" s="2" t="s">
        <v>36</v>
      </c>
    </row>
    <row r="231" ht="14.25" customHeight="1">
      <c r="A231" s="6">
        <v>1.86319E7</v>
      </c>
      <c r="B231" s="2" t="s">
        <v>1056</v>
      </c>
      <c r="C231" s="2" t="s">
        <v>17</v>
      </c>
      <c r="D231" s="2" t="s">
        <v>18</v>
      </c>
      <c r="E231" s="2" t="s">
        <v>1057</v>
      </c>
      <c r="F231" s="2" t="s">
        <v>1057</v>
      </c>
      <c r="G231" s="2" t="s">
        <v>1058</v>
      </c>
      <c r="H231" s="2" t="s">
        <v>1019</v>
      </c>
      <c r="I231" s="2" t="s">
        <v>1049</v>
      </c>
      <c r="J231" s="2" t="s">
        <v>34</v>
      </c>
      <c r="K231" s="2" t="s">
        <v>113</v>
      </c>
      <c r="L231" s="7">
        <v>43832.0</v>
      </c>
      <c r="M231" s="2" t="s">
        <v>312</v>
      </c>
      <c r="N231" s="2" t="s">
        <v>35</v>
      </c>
      <c r="O231" s="2" t="s">
        <v>312</v>
      </c>
      <c r="P231" s="2" t="s">
        <v>36</v>
      </c>
    </row>
    <row r="232" ht="14.25" customHeight="1">
      <c r="A232" s="6">
        <v>1.3393559E7</v>
      </c>
      <c r="B232" s="2" t="s">
        <v>1059</v>
      </c>
      <c r="C232" s="2" t="s">
        <v>17</v>
      </c>
      <c r="D232" s="2" t="s">
        <v>18</v>
      </c>
      <c r="E232" s="2" t="s">
        <v>1060</v>
      </c>
      <c r="F232" s="2" t="s">
        <v>1060</v>
      </c>
      <c r="G232" s="2" t="s">
        <v>1061</v>
      </c>
      <c r="H232" s="2" t="s">
        <v>1062</v>
      </c>
      <c r="I232" s="2" t="s">
        <v>1063</v>
      </c>
      <c r="J232" s="2" t="s">
        <v>93</v>
      </c>
      <c r="K232" s="2" t="s">
        <v>113</v>
      </c>
      <c r="L232" s="7">
        <v>40513.0</v>
      </c>
      <c r="M232" s="2" t="s">
        <v>25</v>
      </c>
      <c r="N232" s="2" t="s">
        <v>35</v>
      </c>
      <c r="O232" s="2" t="s">
        <v>27</v>
      </c>
      <c r="P232" s="2" t="s">
        <v>36</v>
      </c>
    </row>
    <row r="233" ht="14.25" customHeight="1">
      <c r="A233" s="6">
        <v>1.1569964E7</v>
      </c>
      <c r="B233" s="2" t="s">
        <v>1064</v>
      </c>
      <c r="C233" s="2" t="s">
        <v>17</v>
      </c>
      <c r="D233" s="2" t="s">
        <v>18</v>
      </c>
      <c r="E233" s="2" t="s">
        <v>1065</v>
      </c>
      <c r="F233" s="2" t="s">
        <v>1066</v>
      </c>
      <c r="G233" s="2" t="s">
        <v>1067</v>
      </c>
      <c r="H233" s="2" t="s">
        <v>1068</v>
      </c>
      <c r="I233" s="2" t="s">
        <v>1028</v>
      </c>
      <c r="J233" s="2" t="s">
        <v>34</v>
      </c>
      <c r="K233" s="2" t="s">
        <v>113</v>
      </c>
      <c r="L233" s="7">
        <v>40513.0</v>
      </c>
      <c r="M233" s="2" t="s">
        <v>25</v>
      </c>
      <c r="N233" s="2" t="s">
        <v>35</v>
      </c>
      <c r="O233" s="2" t="s">
        <v>27</v>
      </c>
      <c r="P233" s="2" t="s">
        <v>36</v>
      </c>
    </row>
    <row r="234" ht="14.25" customHeight="1">
      <c r="A234" s="6">
        <v>1.7182598E7</v>
      </c>
      <c r="B234" s="2" t="s">
        <v>1069</v>
      </c>
      <c r="C234" s="2" t="s">
        <v>17</v>
      </c>
      <c r="D234" s="2" t="s">
        <v>18</v>
      </c>
      <c r="E234" s="2" t="s">
        <v>1070</v>
      </c>
      <c r="F234" s="2" t="s">
        <v>1070</v>
      </c>
      <c r="G234" s="2" t="s">
        <v>1071</v>
      </c>
      <c r="H234" s="2" t="s">
        <v>1068</v>
      </c>
      <c r="I234" s="2" t="s">
        <v>1028</v>
      </c>
      <c r="J234" s="2" t="s">
        <v>34</v>
      </c>
      <c r="K234" s="2" t="s">
        <v>113</v>
      </c>
      <c r="L234" s="7">
        <v>43486.0</v>
      </c>
      <c r="M234" s="2" t="s">
        <v>25</v>
      </c>
      <c r="N234" s="2" t="s">
        <v>35</v>
      </c>
      <c r="O234" s="2" t="s">
        <v>27</v>
      </c>
      <c r="P234" s="2" t="s">
        <v>36</v>
      </c>
    </row>
    <row r="235" ht="14.25" customHeight="1">
      <c r="A235" s="6">
        <v>9330963.0</v>
      </c>
      <c r="B235" s="2" t="s">
        <v>1072</v>
      </c>
      <c r="C235" s="2" t="s">
        <v>17</v>
      </c>
      <c r="D235" s="2" t="s">
        <v>18</v>
      </c>
      <c r="E235" s="2" t="s">
        <v>1073</v>
      </c>
      <c r="F235" s="2" t="s">
        <v>1073</v>
      </c>
      <c r="G235" s="2" t="s">
        <v>1074</v>
      </c>
      <c r="H235" s="2" t="s">
        <v>1068</v>
      </c>
      <c r="I235" s="2" t="s">
        <v>1028</v>
      </c>
      <c r="J235" s="2" t="s">
        <v>34</v>
      </c>
      <c r="K235" s="2" t="s">
        <v>113</v>
      </c>
      <c r="L235" s="7">
        <v>40513.0</v>
      </c>
      <c r="M235" s="2" t="s">
        <v>25</v>
      </c>
      <c r="N235" s="2" t="s">
        <v>35</v>
      </c>
      <c r="O235" s="2" t="s">
        <v>27</v>
      </c>
      <c r="P235" s="2" t="s">
        <v>36</v>
      </c>
    </row>
    <row r="236" ht="14.25" customHeight="1">
      <c r="A236" s="6">
        <v>1.8592512E7</v>
      </c>
      <c r="B236" s="2" t="s">
        <v>1075</v>
      </c>
      <c r="C236" s="2" t="s">
        <v>17</v>
      </c>
      <c r="D236" s="2" t="s">
        <v>18</v>
      </c>
      <c r="E236" s="2" t="s">
        <v>1076</v>
      </c>
      <c r="F236" s="2" t="s">
        <v>1076</v>
      </c>
      <c r="G236" s="2" t="s">
        <v>1077</v>
      </c>
      <c r="H236" s="2" t="s">
        <v>1078</v>
      </c>
      <c r="I236" s="2" t="s">
        <v>1028</v>
      </c>
      <c r="J236" s="2" t="s">
        <v>34</v>
      </c>
      <c r="K236" s="2" t="s">
        <v>113</v>
      </c>
      <c r="L236" s="7">
        <v>44354.0</v>
      </c>
      <c r="M236" s="2" t="s">
        <v>25</v>
      </c>
      <c r="N236" s="2" t="s">
        <v>35</v>
      </c>
      <c r="O236" s="2" t="s">
        <v>27</v>
      </c>
      <c r="P236" s="2" t="s">
        <v>36</v>
      </c>
    </row>
    <row r="237" ht="14.25" customHeight="1">
      <c r="A237" s="6">
        <v>1.9595663E7</v>
      </c>
      <c r="B237" s="2" t="s">
        <v>1079</v>
      </c>
      <c r="C237" s="2" t="s">
        <v>17</v>
      </c>
      <c r="D237" s="2" t="s">
        <v>18</v>
      </c>
      <c r="E237" s="2" t="s">
        <v>1080</v>
      </c>
      <c r="F237" s="2" t="s">
        <v>1081</v>
      </c>
      <c r="G237" s="2" t="s">
        <v>1082</v>
      </c>
      <c r="H237" s="2" t="s">
        <v>1083</v>
      </c>
      <c r="I237" s="2" t="s">
        <v>285</v>
      </c>
      <c r="J237" s="2" t="s">
        <v>62</v>
      </c>
      <c r="K237" s="2" t="s">
        <v>113</v>
      </c>
      <c r="L237" s="7">
        <v>44466.0</v>
      </c>
      <c r="M237" s="2" t="s">
        <v>25</v>
      </c>
      <c r="N237" s="2" t="s">
        <v>35</v>
      </c>
      <c r="O237" s="2" t="s">
        <v>27</v>
      </c>
      <c r="P237" s="2" t="s">
        <v>36</v>
      </c>
    </row>
    <row r="238" ht="14.25" customHeight="1">
      <c r="A238" s="6">
        <v>1.634851E7</v>
      </c>
      <c r="B238" s="2" t="s">
        <v>1084</v>
      </c>
      <c r="C238" s="2" t="s">
        <v>17</v>
      </c>
      <c r="D238" s="2" t="s">
        <v>18</v>
      </c>
      <c r="E238" s="2" t="s">
        <v>1085</v>
      </c>
      <c r="F238" s="2" t="s">
        <v>1086</v>
      </c>
      <c r="G238" s="2" t="s">
        <v>1087</v>
      </c>
      <c r="H238" s="2" t="s">
        <v>1088</v>
      </c>
      <c r="I238" s="2" t="s">
        <v>285</v>
      </c>
      <c r="J238" s="2" t="s">
        <v>62</v>
      </c>
      <c r="K238" s="2" t="s">
        <v>113</v>
      </c>
      <c r="L238" s="7">
        <v>41659.0</v>
      </c>
      <c r="M238" s="2" t="s">
        <v>25</v>
      </c>
      <c r="N238" s="2" t="s">
        <v>35</v>
      </c>
      <c r="O238" s="2" t="s">
        <v>27</v>
      </c>
      <c r="P238" s="2" t="s">
        <v>36</v>
      </c>
    </row>
    <row r="239" ht="14.25" customHeight="1">
      <c r="A239" s="6">
        <v>1.0574565E7</v>
      </c>
      <c r="B239" s="2" t="s">
        <v>1089</v>
      </c>
      <c r="C239" s="2" t="s">
        <v>17</v>
      </c>
      <c r="D239" s="2" t="s">
        <v>18</v>
      </c>
      <c r="E239" s="2" t="s">
        <v>1090</v>
      </c>
      <c r="F239" s="2" t="s">
        <v>1091</v>
      </c>
      <c r="G239" s="2" t="s">
        <v>1092</v>
      </c>
      <c r="H239" s="2" t="s">
        <v>1093</v>
      </c>
      <c r="I239" s="2" t="s">
        <v>941</v>
      </c>
      <c r="J239" s="2" t="s">
        <v>801</v>
      </c>
      <c r="K239" s="2" t="s">
        <v>113</v>
      </c>
      <c r="L239" s="7">
        <v>42728.0</v>
      </c>
      <c r="M239" s="2" t="s">
        <v>312</v>
      </c>
      <c r="N239" s="2" t="s">
        <v>26</v>
      </c>
      <c r="O239" s="2" t="s">
        <v>312</v>
      </c>
      <c r="P239" s="2" t="s">
        <v>36</v>
      </c>
    </row>
    <row r="240" ht="14.25" customHeight="1">
      <c r="A240" s="6">
        <v>1.8433415E7</v>
      </c>
      <c r="B240" s="2" t="s">
        <v>1094</v>
      </c>
      <c r="C240" s="2" t="s">
        <v>17</v>
      </c>
      <c r="D240" s="2" t="s">
        <v>18</v>
      </c>
      <c r="E240" s="2" t="s">
        <v>1095</v>
      </c>
      <c r="F240" s="2" t="s">
        <v>1096</v>
      </c>
      <c r="G240" s="2" t="s">
        <v>1097</v>
      </c>
      <c r="H240" s="2" t="s">
        <v>1098</v>
      </c>
      <c r="I240" s="2" t="s">
        <v>1099</v>
      </c>
      <c r="J240" s="2" t="s">
        <v>47</v>
      </c>
      <c r="K240" s="2" t="s">
        <v>113</v>
      </c>
      <c r="L240" s="7">
        <v>44592.0</v>
      </c>
      <c r="M240" s="2" t="s">
        <v>312</v>
      </c>
      <c r="N240" s="2" t="s">
        <v>35</v>
      </c>
      <c r="O240" s="2" t="s">
        <v>312</v>
      </c>
      <c r="P240" s="2" t="s">
        <v>36</v>
      </c>
    </row>
    <row r="241" ht="14.25" customHeight="1">
      <c r="A241" s="6">
        <v>1.4422968E7</v>
      </c>
      <c r="B241" s="2" t="s">
        <v>1100</v>
      </c>
      <c r="C241" s="2" t="s">
        <v>17</v>
      </c>
      <c r="D241" s="2" t="s">
        <v>18</v>
      </c>
      <c r="E241" s="2" t="s">
        <v>1101</v>
      </c>
      <c r="F241" s="2" t="s">
        <v>1102</v>
      </c>
      <c r="G241" s="2" t="s">
        <v>1103</v>
      </c>
      <c r="H241" s="2" t="s">
        <v>1104</v>
      </c>
      <c r="I241" s="2" t="s">
        <v>214</v>
      </c>
      <c r="J241" s="2" t="s">
        <v>215</v>
      </c>
      <c r="K241" s="2" t="s">
        <v>113</v>
      </c>
      <c r="L241" s="7">
        <v>40513.0</v>
      </c>
      <c r="M241" s="2" t="s">
        <v>25</v>
      </c>
      <c r="N241" s="2" t="s">
        <v>216</v>
      </c>
      <c r="O241" s="2" t="s">
        <v>27</v>
      </c>
      <c r="P241" s="2" t="s">
        <v>36</v>
      </c>
    </row>
    <row r="242" ht="14.25" customHeight="1">
      <c r="A242" s="6">
        <v>9751808.0</v>
      </c>
      <c r="B242" s="2" t="s">
        <v>1105</v>
      </c>
      <c r="C242" s="2" t="s">
        <v>17</v>
      </c>
      <c r="D242" s="2" t="s">
        <v>18</v>
      </c>
      <c r="E242" s="2" t="s">
        <v>1106</v>
      </c>
      <c r="F242" s="2" t="s">
        <v>1107</v>
      </c>
      <c r="G242" s="2" t="s">
        <v>1108</v>
      </c>
      <c r="H242" s="2" t="s">
        <v>1109</v>
      </c>
      <c r="I242" s="2" t="s">
        <v>656</v>
      </c>
      <c r="J242" s="2" t="s">
        <v>185</v>
      </c>
      <c r="K242" s="2" t="s">
        <v>113</v>
      </c>
      <c r="L242" s="7">
        <v>40513.0</v>
      </c>
      <c r="M242" s="2" t="s">
        <v>25</v>
      </c>
      <c r="N242" s="2" t="s">
        <v>186</v>
      </c>
      <c r="O242" s="2" t="s">
        <v>27</v>
      </c>
      <c r="P242" s="2" t="s">
        <v>36</v>
      </c>
    </row>
    <row r="243" ht="14.25" customHeight="1">
      <c r="A243" s="6">
        <v>1.3694815E7</v>
      </c>
      <c r="B243" s="2" t="s">
        <v>1110</v>
      </c>
      <c r="C243" s="2" t="s">
        <v>107</v>
      </c>
      <c r="D243" s="2" t="s">
        <v>88</v>
      </c>
      <c r="E243" s="2" t="s">
        <v>1111</v>
      </c>
      <c r="F243" s="2" t="s">
        <v>1112</v>
      </c>
      <c r="G243" s="2" t="s">
        <v>1113</v>
      </c>
      <c r="H243" s="2" t="s">
        <v>1114</v>
      </c>
      <c r="I243" s="2" t="s">
        <v>295</v>
      </c>
      <c r="J243" s="2" t="s">
        <v>296</v>
      </c>
      <c r="K243" s="2" t="s">
        <v>113</v>
      </c>
      <c r="L243" s="7">
        <v>41030.0</v>
      </c>
      <c r="M243" s="2" t="s">
        <v>154</v>
      </c>
      <c r="N243" s="2" t="s">
        <v>216</v>
      </c>
      <c r="O243" s="2" t="s">
        <v>116</v>
      </c>
      <c r="P243" s="2" t="s">
        <v>36</v>
      </c>
    </row>
    <row r="244" ht="14.25" customHeight="1">
      <c r="A244" s="6">
        <v>8656070.0</v>
      </c>
      <c r="B244" s="2" t="s">
        <v>1115</v>
      </c>
      <c r="C244" s="2" t="s">
        <v>17</v>
      </c>
      <c r="D244" s="2" t="s">
        <v>18</v>
      </c>
      <c r="E244" s="2" t="s">
        <v>1116</v>
      </c>
      <c r="F244" s="2" t="s">
        <v>1117</v>
      </c>
      <c r="G244" s="2" t="s">
        <v>1118</v>
      </c>
      <c r="H244" s="2" t="s">
        <v>1119</v>
      </c>
      <c r="I244" s="2" t="s">
        <v>1120</v>
      </c>
      <c r="J244" s="2" t="s">
        <v>193</v>
      </c>
      <c r="K244" s="2" t="s">
        <v>113</v>
      </c>
      <c r="L244" s="7">
        <v>45019.0</v>
      </c>
      <c r="M244" s="2" t="s">
        <v>25</v>
      </c>
      <c r="N244" s="2" t="s">
        <v>186</v>
      </c>
      <c r="O244" s="2" t="s">
        <v>27</v>
      </c>
      <c r="P244" s="2" t="s">
        <v>36</v>
      </c>
    </row>
    <row r="245" ht="14.25" customHeight="1">
      <c r="A245" s="6">
        <v>1.9812895E7</v>
      </c>
      <c r="B245" s="2" t="s">
        <v>1121</v>
      </c>
      <c r="C245" s="2" t="s">
        <v>17</v>
      </c>
      <c r="D245" s="2" t="s">
        <v>18</v>
      </c>
      <c r="E245" s="2" t="s">
        <v>1122</v>
      </c>
      <c r="F245" s="2" t="s">
        <v>1123</v>
      </c>
      <c r="G245" s="2" t="s">
        <v>1124</v>
      </c>
      <c r="H245" s="2" t="s">
        <v>1125</v>
      </c>
      <c r="I245" s="2" t="s">
        <v>1126</v>
      </c>
      <c r="J245" s="2" t="s">
        <v>193</v>
      </c>
      <c r="K245" s="2" t="s">
        <v>113</v>
      </c>
      <c r="L245" s="7">
        <v>44585.0</v>
      </c>
      <c r="M245" s="2" t="s">
        <v>25</v>
      </c>
      <c r="N245" s="2" t="s">
        <v>186</v>
      </c>
      <c r="O245" s="2" t="s">
        <v>27</v>
      </c>
      <c r="P245" s="2" t="s">
        <v>36</v>
      </c>
    </row>
    <row r="246" ht="14.25" customHeight="1">
      <c r="A246" s="6">
        <v>8076844.0</v>
      </c>
      <c r="B246" s="2" t="s">
        <v>1127</v>
      </c>
      <c r="C246" s="2" t="s">
        <v>107</v>
      </c>
      <c r="D246" s="2" t="s">
        <v>88</v>
      </c>
      <c r="E246" s="2" t="s">
        <v>1128</v>
      </c>
      <c r="F246" s="2" t="s">
        <v>1129</v>
      </c>
      <c r="G246" s="2" t="s">
        <v>1130</v>
      </c>
      <c r="H246" s="2" t="s">
        <v>1131</v>
      </c>
      <c r="I246" s="2" t="s">
        <v>1132</v>
      </c>
      <c r="J246" s="2" t="s">
        <v>296</v>
      </c>
      <c r="K246" s="2" t="s">
        <v>113</v>
      </c>
      <c r="L246" s="7">
        <v>40513.0</v>
      </c>
      <c r="M246" s="2" t="s">
        <v>154</v>
      </c>
      <c r="N246" s="2" t="s">
        <v>216</v>
      </c>
      <c r="O246" s="2" t="s">
        <v>27</v>
      </c>
      <c r="P246" s="2" t="s">
        <v>36</v>
      </c>
    </row>
    <row r="247" ht="14.25" customHeight="1">
      <c r="A247" s="6">
        <v>1.558273E7</v>
      </c>
      <c r="B247" s="2" t="s">
        <v>1133</v>
      </c>
      <c r="C247" s="2" t="s">
        <v>17</v>
      </c>
      <c r="D247" s="2" t="s">
        <v>18</v>
      </c>
      <c r="E247" s="2" t="s">
        <v>1134</v>
      </c>
      <c r="F247" s="2" t="s">
        <v>1135</v>
      </c>
      <c r="G247" s="2" t="s">
        <v>1136</v>
      </c>
      <c r="H247" s="2" t="s">
        <v>1137</v>
      </c>
      <c r="I247" s="2" t="s">
        <v>829</v>
      </c>
      <c r="J247" s="2" t="s">
        <v>185</v>
      </c>
      <c r="K247" s="2" t="s">
        <v>113</v>
      </c>
      <c r="L247" s="7">
        <v>45201.0</v>
      </c>
      <c r="M247" s="2" t="s">
        <v>25</v>
      </c>
      <c r="N247" s="2" t="s">
        <v>186</v>
      </c>
      <c r="O247" s="2" t="s">
        <v>27</v>
      </c>
      <c r="P247" s="2" t="s">
        <v>36</v>
      </c>
    </row>
    <row r="248" ht="14.25" customHeight="1">
      <c r="A248" s="6">
        <v>1.5188877E7</v>
      </c>
      <c r="B248" s="2" t="s">
        <v>1138</v>
      </c>
      <c r="C248" s="2" t="s">
        <v>107</v>
      </c>
      <c r="D248" s="2" t="s">
        <v>88</v>
      </c>
      <c r="E248" s="2" t="s">
        <v>1139</v>
      </c>
      <c r="F248" s="2" t="s">
        <v>1140</v>
      </c>
      <c r="G248" s="2" t="s">
        <v>1141</v>
      </c>
      <c r="H248" s="2" t="s">
        <v>1142</v>
      </c>
      <c r="I248" s="2" t="s">
        <v>1143</v>
      </c>
      <c r="J248" s="2" t="s">
        <v>801</v>
      </c>
      <c r="K248" s="2" t="s">
        <v>113</v>
      </c>
      <c r="L248" s="7">
        <v>45397.0</v>
      </c>
      <c r="M248" s="2" t="s">
        <v>154</v>
      </c>
      <c r="N248" s="2" t="s">
        <v>26</v>
      </c>
      <c r="O248" s="2" t="s">
        <v>27</v>
      </c>
      <c r="P248" s="2" t="s">
        <v>36</v>
      </c>
    </row>
    <row r="249" ht="14.25" customHeight="1">
      <c r="A249" s="6">
        <v>1.6764577E7</v>
      </c>
      <c r="B249" s="2" t="s">
        <v>1144</v>
      </c>
      <c r="C249" s="2" t="s">
        <v>107</v>
      </c>
      <c r="D249" s="2" t="s">
        <v>18</v>
      </c>
      <c r="E249" s="2" t="s">
        <v>1145</v>
      </c>
      <c r="F249" s="2" t="s">
        <v>1146</v>
      </c>
      <c r="G249" s="2" t="s">
        <v>1147</v>
      </c>
      <c r="H249" s="2" t="s">
        <v>1142</v>
      </c>
      <c r="I249" s="2" t="s">
        <v>1143</v>
      </c>
      <c r="J249" s="2" t="s">
        <v>801</v>
      </c>
      <c r="K249" s="2" t="s">
        <v>113</v>
      </c>
      <c r="L249" s="7">
        <v>45733.0</v>
      </c>
      <c r="M249" s="2" t="s">
        <v>154</v>
      </c>
      <c r="N249" s="2" t="s">
        <v>26</v>
      </c>
      <c r="O249" s="2" t="s">
        <v>200</v>
      </c>
      <c r="P249" s="2" t="s">
        <v>36</v>
      </c>
    </row>
    <row r="250" ht="14.25" customHeight="1">
      <c r="A250" s="6">
        <v>1.8723775E7</v>
      </c>
      <c r="B250" s="2" t="s">
        <v>1148</v>
      </c>
      <c r="C250" s="2" t="s">
        <v>107</v>
      </c>
      <c r="D250" s="2" t="s">
        <v>18</v>
      </c>
      <c r="E250" s="2" t="s">
        <v>1149</v>
      </c>
      <c r="F250" s="2" t="s">
        <v>1150</v>
      </c>
      <c r="G250" s="2" t="s">
        <v>1151</v>
      </c>
      <c r="H250" s="2" t="s">
        <v>1142</v>
      </c>
      <c r="I250" s="2" t="s">
        <v>1143</v>
      </c>
      <c r="J250" s="2" t="s">
        <v>801</v>
      </c>
      <c r="K250" s="2" t="s">
        <v>113</v>
      </c>
      <c r="L250" s="7">
        <v>45352.0</v>
      </c>
      <c r="M250" s="2" t="s">
        <v>154</v>
      </c>
      <c r="N250" s="2" t="s">
        <v>26</v>
      </c>
      <c r="O250" s="2" t="s">
        <v>162</v>
      </c>
      <c r="P250" s="2" t="s">
        <v>36</v>
      </c>
    </row>
    <row r="251" ht="14.25" customHeight="1">
      <c r="A251" s="6">
        <v>1.9078376E7</v>
      </c>
      <c r="B251" s="2" t="s">
        <v>1152</v>
      </c>
      <c r="C251" s="2" t="s">
        <v>17</v>
      </c>
      <c r="D251" s="2" t="s">
        <v>18</v>
      </c>
      <c r="E251" s="2" t="s">
        <v>1153</v>
      </c>
      <c r="F251" s="2" t="s">
        <v>1154</v>
      </c>
      <c r="G251" s="2" t="s">
        <v>1155</v>
      </c>
      <c r="H251" s="2" t="s">
        <v>1156</v>
      </c>
      <c r="I251" s="2" t="s">
        <v>365</v>
      </c>
      <c r="J251" s="2" t="s">
        <v>366</v>
      </c>
      <c r="K251" s="2" t="s">
        <v>113</v>
      </c>
      <c r="L251" s="7">
        <v>44873.0</v>
      </c>
      <c r="M251" s="2" t="s">
        <v>312</v>
      </c>
      <c r="N251" s="2" t="s">
        <v>367</v>
      </c>
      <c r="O251" s="2" t="s">
        <v>312</v>
      </c>
      <c r="P251" s="2" t="s">
        <v>36</v>
      </c>
    </row>
    <row r="252" ht="14.25" customHeight="1">
      <c r="A252" s="6">
        <v>1.4165187E7</v>
      </c>
      <c r="B252" s="2" t="s">
        <v>1157</v>
      </c>
      <c r="C252" s="2" t="s">
        <v>17</v>
      </c>
      <c r="D252" s="2" t="s">
        <v>18</v>
      </c>
      <c r="E252" s="2" t="s">
        <v>1158</v>
      </c>
      <c r="F252" s="2" t="s">
        <v>1159</v>
      </c>
      <c r="G252" s="2" t="s">
        <v>1160</v>
      </c>
      <c r="H252" s="2" t="s">
        <v>1161</v>
      </c>
      <c r="I252" s="2" t="s">
        <v>425</v>
      </c>
      <c r="J252" s="2" t="s">
        <v>420</v>
      </c>
      <c r="K252" s="2" t="s">
        <v>113</v>
      </c>
      <c r="L252" s="7">
        <v>44970.0</v>
      </c>
      <c r="M252" s="2" t="s">
        <v>116</v>
      </c>
      <c r="N252" s="2" t="s">
        <v>208</v>
      </c>
      <c r="O252" s="2" t="s">
        <v>116</v>
      </c>
      <c r="P252" s="2" t="s">
        <v>36</v>
      </c>
    </row>
    <row r="253" ht="14.25" customHeight="1">
      <c r="A253" s="6">
        <v>1.3308557E7</v>
      </c>
      <c r="B253" s="2" t="s">
        <v>1162</v>
      </c>
      <c r="C253" s="2" t="s">
        <v>17</v>
      </c>
      <c r="D253" s="2" t="s">
        <v>18</v>
      </c>
      <c r="E253" s="2" t="s">
        <v>1163</v>
      </c>
      <c r="F253" s="2" t="s">
        <v>1164</v>
      </c>
      <c r="G253" s="2" t="s">
        <v>1165</v>
      </c>
      <c r="H253" s="2" t="s">
        <v>1166</v>
      </c>
      <c r="I253" s="2" t="s">
        <v>1120</v>
      </c>
      <c r="J253" s="2" t="s">
        <v>193</v>
      </c>
      <c r="K253" s="2" t="s">
        <v>113</v>
      </c>
      <c r="L253" s="7">
        <v>44837.0</v>
      </c>
      <c r="M253" s="2" t="s">
        <v>25</v>
      </c>
      <c r="N253" s="2" t="s">
        <v>186</v>
      </c>
      <c r="O253" s="2" t="s">
        <v>27</v>
      </c>
      <c r="P253" s="2" t="s">
        <v>36</v>
      </c>
    </row>
    <row r="254" ht="14.25" customHeight="1">
      <c r="A254" s="6">
        <v>1.0848422E7</v>
      </c>
      <c r="B254" s="2" t="s">
        <v>1167</v>
      </c>
      <c r="C254" s="2" t="s">
        <v>17</v>
      </c>
      <c r="D254" s="2" t="s">
        <v>18</v>
      </c>
      <c r="E254" s="2" t="s">
        <v>1168</v>
      </c>
      <c r="F254" s="2" t="s">
        <v>1169</v>
      </c>
      <c r="G254" s="2" t="s">
        <v>1170</v>
      </c>
      <c r="H254" s="2" t="s">
        <v>1171</v>
      </c>
      <c r="I254" s="2" t="s">
        <v>61</v>
      </c>
      <c r="J254" s="2" t="s">
        <v>62</v>
      </c>
      <c r="K254" s="2" t="s">
        <v>113</v>
      </c>
      <c r="L254" s="7">
        <v>40513.0</v>
      </c>
      <c r="M254" s="2" t="s">
        <v>25</v>
      </c>
      <c r="N254" s="2" t="s">
        <v>35</v>
      </c>
      <c r="O254" s="2" t="s">
        <v>200</v>
      </c>
      <c r="P254" s="2" t="s">
        <v>36</v>
      </c>
    </row>
    <row r="255" ht="14.25" customHeight="1">
      <c r="A255" s="6">
        <v>1.9156476E7</v>
      </c>
      <c r="B255" s="2" t="s">
        <v>1172</v>
      </c>
      <c r="C255" s="2" t="s">
        <v>107</v>
      </c>
      <c r="D255" s="2" t="s">
        <v>88</v>
      </c>
      <c r="E255" s="2" t="s">
        <v>1173</v>
      </c>
      <c r="F255" s="2" t="s">
        <v>1174</v>
      </c>
      <c r="G255" s="2" t="s">
        <v>1175</v>
      </c>
      <c r="H255" s="2" t="s">
        <v>1176</v>
      </c>
      <c r="I255" s="2" t="s">
        <v>1126</v>
      </c>
      <c r="J255" s="2" t="s">
        <v>193</v>
      </c>
      <c r="K255" s="2" t="s">
        <v>113</v>
      </c>
      <c r="L255" s="7">
        <v>45017.0</v>
      </c>
      <c r="M255" s="2" t="s">
        <v>154</v>
      </c>
      <c r="N255" s="2" t="s">
        <v>186</v>
      </c>
      <c r="O255" s="2" t="s">
        <v>27</v>
      </c>
      <c r="P255" s="2" t="s">
        <v>36</v>
      </c>
    </row>
    <row r="256" ht="14.25" customHeight="1">
      <c r="A256" s="6">
        <v>1.9346322E7</v>
      </c>
      <c r="B256" s="2" t="s">
        <v>1177</v>
      </c>
      <c r="C256" s="2" t="s">
        <v>17</v>
      </c>
      <c r="D256" s="2" t="s">
        <v>18</v>
      </c>
      <c r="E256" s="2" t="s">
        <v>1178</v>
      </c>
      <c r="F256" s="2" t="s">
        <v>1179</v>
      </c>
      <c r="G256" s="2" t="s">
        <v>1180</v>
      </c>
      <c r="H256" s="2" t="s">
        <v>1181</v>
      </c>
      <c r="I256" s="2" t="s">
        <v>829</v>
      </c>
      <c r="J256" s="2" t="s">
        <v>185</v>
      </c>
      <c r="K256" s="2" t="s">
        <v>113</v>
      </c>
      <c r="L256" s="7">
        <v>45572.0</v>
      </c>
      <c r="M256" s="2" t="s">
        <v>25</v>
      </c>
      <c r="N256" s="2" t="s">
        <v>186</v>
      </c>
      <c r="O256" s="2" t="s">
        <v>27</v>
      </c>
      <c r="P256" s="2" t="s">
        <v>36</v>
      </c>
    </row>
    <row r="257" ht="14.25" customHeight="1">
      <c r="A257" s="6">
        <v>1.3380569E7</v>
      </c>
      <c r="B257" s="2" t="s">
        <v>1182</v>
      </c>
      <c r="C257" s="2" t="s">
        <v>17</v>
      </c>
      <c r="D257" s="2" t="s">
        <v>18</v>
      </c>
      <c r="E257" s="2" t="s">
        <v>1183</v>
      </c>
      <c r="F257" s="2" t="s">
        <v>1184</v>
      </c>
      <c r="G257" s="2" t="s">
        <v>1185</v>
      </c>
      <c r="H257" s="2" t="s">
        <v>1186</v>
      </c>
      <c r="I257" s="2" t="s">
        <v>1187</v>
      </c>
      <c r="J257" s="2" t="s">
        <v>34</v>
      </c>
      <c r="K257" s="2" t="s">
        <v>113</v>
      </c>
      <c r="L257" s="7">
        <v>45566.0</v>
      </c>
      <c r="M257" s="2" t="s">
        <v>25</v>
      </c>
      <c r="N257" s="2" t="s">
        <v>35</v>
      </c>
      <c r="O257" s="2" t="s">
        <v>27</v>
      </c>
      <c r="P257" s="2" t="s">
        <v>36</v>
      </c>
    </row>
    <row r="258" ht="14.25" customHeight="1">
      <c r="A258" s="6">
        <v>2.7003552E7</v>
      </c>
      <c r="B258" s="2" t="s">
        <v>1188</v>
      </c>
      <c r="C258" s="2" t="s">
        <v>17</v>
      </c>
      <c r="D258" s="2" t="s">
        <v>18</v>
      </c>
      <c r="E258" s="2" t="s">
        <v>1189</v>
      </c>
      <c r="F258" s="2" t="s">
        <v>1190</v>
      </c>
      <c r="G258" s="2" t="s">
        <v>1191</v>
      </c>
      <c r="H258" s="2" t="s">
        <v>1192</v>
      </c>
      <c r="I258" s="2" t="s">
        <v>1193</v>
      </c>
      <c r="J258" s="2" t="s">
        <v>420</v>
      </c>
      <c r="K258" s="2" t="s">
        <v>113</v>
      </c>
      <c r="L258" s="7">
        <v>44075.0</v>
      </c>
      <c r="M258" s="2" t="s">
        <v>25</v>
      </c>
      <c r="N258" s="2" t="s">
        <v>208</v>
      </c>
      <c r="O258" s="2" t="s">
        <v>27</v>
      </c>
      <c r="P258" s="2" t="s">
        <v>36</v>
      </c>
    </row>
    <row r="259" ht="14.25" customHeight="1">
      <c r="A259" s="6">
        <v>1.0036514E7</v>
      </c>
      <c r="B259" s="2" t="s">
        <v>1194</v>
      </c>
      <c r="C259" s="2" t="s">
        <v>17</v>
      </c>
      <c r="D259" s="2" t="s">
        <v>18</v>
      </c>
      <c r="E259" s="2" t="s">
        <v>1195</v>
      </c>
      <c r="F259" s="2" t="s">
        <v>1196</v>
      </c>
      <c r="G259" s="2" t="s">
        <v>1197</v>
      </c>
      <c r="H259" s="2" t="s">
        <v>1198</v>
      </c>
      <c r="I259" s="2" t="s">
        <v>1199</v>
      </c>
      <c r="J259" s="2" t="s">
        <v>537</v>
      </c>
      <c r="K259" s="2" t="s">
        <v>113</v>
      </c>
      <c r="L259" s="7">
        <v>40513.0</v>
      </c>
      <c r="M259" s="2" t="s">
        <v>25</v>
      </c>
      <c r="N259" s="2" t="s">
        <v>26</v>
      </c>
      <c r="O259" s="2" t="s">
        <v>200</v>
      </c>
      <c r="P259" s="2" t="s">
        <v>36</v>
      </c>
    </row>
    <row r="260" ht="14.25" customHeight="1">
      <c r="A260" s="6">
        <v>1.7690284E7</v>
      </c>
      <c r="B260" s="2" t="s">
        <v>1200</v>
      </c>
      <c r="C260" s="2" t="s">
        <v>17</v>
      </c>
      <c r="D260" s="2" t="s">
        <v>18</v>
      </c>
      <c r="E260" s="2" t="s">
        <v>1201</v>
      </c>
      <c r="F260" s="2" t="s">
        <v>1202</v>
      </c>
      <c r="G260" s="2" t="s">
        <v>1203</v>
      </c>
      <c r="H260" s="2" t="s">
        <v>1198</v>
      </c>
      <c r="I260" s="2" t="s">
        <v>1204</v>
      </c>
      <c r="J260" s="2" t="s">
        <v>23</v>
      </c>
      <c r="K260" s="2" t="s">
        <v>113</v>
      </c>
      <c r="L260" s="7">
        <v>42736.0</v>
      </c>
      <c r="M260" s="2" t="s">
        <v>25</v>
      </c>
      <c r="N260" s="2" t="s">
        <v>26</v>
      </c>
      <c r="O260" s="2" t="s">
        <v>27</v>
      </c>
      <c r="P260" s="2" t="s">
        <v>36</v>
      </c>
    </row>
    <row r="261" ht="14.25" customHeight="1">
      <c r="A261" s="6">
        <v>1.2770556E7</v>
      </c>
      <c r="B261" s="2" t="s">
        <v>1205</v>
      </c>
      <c r="C261" s="2" t="s">
        <v>17</v>
      </c>
      <c r="D261" s="2" t="s">
        <v>18</v>
      </c>
      <c r="E261" s="2" t="s">
        <v>1206</v>
      </c>
      <c r="F261" s="2" t="s">
        <v>1207</v>
      </c>
      <c r="G261" s="2" t="s">
        <v>1208</v>
      </c>
      <c r="H261" s="2" t="s">
        <v>1198</v>
      </c>
      <c r="I261" s="2" t="s">
        <v>1199</v>
      </c>
      <c r="J261" s="2" t="s">
        <v>537</v>
      </c>
      <c r="K261" s="2" t="s">
        <v>113</v>
      </c>
      <c r="L261" s="7">
        <v>40513.0</v>
      </c>
      <c r="M261" s="2" t="s">
        <v>312</v>
      </c>
      <c r="N261" s="2" t="s">
        <v>26</v>
      </c>
      <c r="O261" s="2" t="s">
        <v>312</v>
      </c>
      <c r="P261" s="2" t="s">
        <v>36</v>
      </c>
    </row>
    <row r="262" ht="14.25" customHeight="1">
      <c r="A262" s="6">
        <v>8360410.0</v>
      </c>
      <c r="B262" s="2" t="s">
        <v>1209</v>
      </c>
      <c r="C262" s="2" t="s">
        <v>17</v>
      </c>
      <c r="D262" s="2" t="s">
        <v>18</v>
      </c>
      <c r="E262" s="2" t="s">
        <v>1210</v>
      </c>
      <c r="F262" s="2" t="s">
        <v>1211</v>
      </c>
      <c r="G262" s="2" t="s">
        <v>1212</v>
      </c>
      <c r="H262" s="2" t="s">
        <v>1213</v>
      </c>
      <c r="I262" s="2" t="s">
        <v>1204</v>
      </c>
      <c r="J262" s="2" t="s">
        <v>23</v>
      </c>
      <c r="K262" s="2" t="s">
        <v>113</v>
      </c>
      <c r="L262" s="7">
        <v>44075.0</v>
      </c>
      <c r="M262" s="2" t="s">
        <v>25</v>
      </c>
      <c r="N262" s="2" t="s">
        <v>26</v>
      </c>
      <c r="O262" s="2" t="s">
        <v>76</v>
      </c>
      <c r="P262" s="2" t="s">
        <v>36</v>
      </c>
    </row>
    <row r="263" ht="14.25" customHeight="1">
      <c r="A263" s="6">
        <v>1.9108626E7</v>
      </c>
      <c r="B263" s="2" t="s">
        <v>1214</v>
      </c>
      <c r="C263" s="2" t="s">
        <v>17</v>
      </c>
      <c r="D263" s="2" t="s">
        <v>18</v>
      </c>
      <c r="E263" s="2" t="s">
        <v>1215</v>
      </c>
      <c r="F263" s="2" t="s">
        <v>1216</v>
      </c>
      <c r="G263" s="2" t="s">
        <v>1217</v>
      </c>
      <c r="H263" s="2" t="s">
        <v>1218</v>
      </c>
      <c r="I263" s="2" t="s">
        <v>1199</v>
      </c>
      <c r="J263" s="2" t="s">
        <v>23</v>
      </c>
      <c r="K263" s="2" t="s">
        <v>113</v>
      </c>
      <c r="L263" s="7">
        <v>44652.0</v>
      </c>
      <c r="M263" s="2" t="s">
        <v>25</v>
      </c>
      <c r="N263" s="2" t="s">
        <v>26</v>
      </c>
      <c r="O263" s="2" t="s">
        <v>200</v>
      </c>
      <c r="P263" s="2" t="s">
        <v>36</v>
      </c>
    </row>
    <row r="264" ht="14.25" customHeight="1">
      <c r="A264" s="6">
        <v>1.2527269E7</v>
      </c>
      <c r="B264" s="2" t="s">
        <v>1219</v>
      </c>
      <c r="C264" s="2" t="s">
        <v>17</v>
      </c>
      <c r="D264" s="2" t="s">
        <v>18</v>
      </c>
      <c r="E264" s="2" t="s">
        <v>1220</v>
      </c>
      <c r="F264" s="2" t="s">
        <v>1221</v>
      </c>
      <c r="G264" s="2" t="s">
        <v>1222</v>
      </c>
      <c r="H264" s="2" t="s">
        <v>1223</v>
      </c>
      <c r="I264" s="2" t="s">
        <v>622</v>
      </c>
      <c r="J264" s="2" t="s">
        <v>62</v>
      </c>
      <c r="K264" s="2" t="s">
        <v>113</v>
      </c>
      <c r="L264" s="7">
        <v>43587.0</v>
      </c>
      <c r="M264" s="2" t="s">
        <v>25</v>
      </c>
      <c r="N264" s="2" t="s">
        <v>35</v>
      </c>
      <c r="O264" s="2" t="s">
        <v>27</v>
      </c>
      <c r="P264" s="2" t="s">
        <v>36</v>
      </c>
    </row>
    <row r="265" ht="14.25" customHeight="1">
      <c r="A265" s="6">
        <v>1.3726269E7</v>
      </c>
      <c r="B265" s="2" t="s">
        <v>1224</v>
      </c>
      <c r="C265" s="2" t="s">
        <v>17</v>
      </c>
      <c r="D265" s="2" t="s">
        <v>18</v>
      </c>
      <c r="E265" s="2" t="s">
        <v>1225</v>
      </c>
      <c r="F265" s="2" t="s">
        <v>1226</v>
      </c>
      <c r="G265" s="2" t="s">
        <v>1227</v>
      </c>
      <c r="H265" s="2" t="s">
        <v>1228</v>
      </c>
      <c r="I265" s="2" t="s">
        <v>1099</v>
      </c>
      <c r="J265" s="2" t="s">
        <v>47</v>
      </c>
      <c r="K265" s="2" t="s">
        <v>113</v>
      </c>
      <c r="L265" s="7">
        <v>40513.0</v>
      </c>
      <c r="M265" s="2" t="s">
        <v>25</v>
      </c>
      <c r="N265" s="2" t="s">
        <v>35</v>
      </c>
      <c r="O265" s="2" t="s">
        <v>27</v>
      </c>
      <c r="P265" s="2" t="s">
        <v>36</v>
      </c>
    </row>
    <row r="266" ht="14.25" customHeight="1">
      <c r="A266" s="6">
        <v>1.3513483E7</v>
      </c>
      <c r="B266" s="2" t="s">
        <v>1229</v>
      </c>
      <c r="C266" s="2" t="s">
        <v>17</v>
      </c>
      <c r="D266" s="2" t="s">
        <v>18</v>
      </c>
      <c r="E266" s="2" t="s">
        <v>1230</v>
      </c>
      <c r="F266" s="2" t="s">
        <v>1230</v>
      </c>
      <c r="G266" s="2" t="s">
        <v>1231</v>
      </c>
      <c r="H266" s="2" t="s">
        <v>1232</v>
      </c>
      <c r="I266" s="2" t="s">
        <v>1233</v>
      </c>
      <c r="J266" s="2" t="s">
        <v>34</v>
      </c>
      <c r="K266" s="2" t="s">
        <v>113</v>
      </c>
      <c r="L266" s="7">
        <v>43586.0</v>
      </c>
      <c r="M266" s="2" t="s">
        <v>25</v>
      </c>
      <c r="N266" s="2" t="s">
        <v>35</v>
      </c>
      <c r="O266" s="2" t="s">
        <v>27</v>
      </c>
      <c r="P266" s="2" t="s">
        <v>36</v>
      </c>
    </row>
    <row r="267" ht="14.25" customHeight="1">
      <c r="A267" s="6">
        <v>5851300.0</v>
      </c>
      <c r="B267" s="2" t="s">
        <v>1234</v>
      </c>
      <c r="C267" s="2" t="s">
        <v>17</v>
      </c>
      <c r="D267" s="2" t="s">
        <v>18</v>
      </c>
      <c r="E267" s="2" t="s">
        <v>1235</v>
      </c>
      <c r="F267" s="2" t="s">
        <v>1235</v>
      </c>
      <c r="G267" s="2" t="s">
        <v>1236</v>
      </c>
      <c r="H267" s="2" t="s">
        <v>1237</v>
      </c>
      <c r="I267" s="2" t="s">
        <v>514</v>
      </c>
      <c r="J267" s="2" t="s">
        <v>62</v>
      </c>
      <c r="K267" s="2" t="s">
        <v>113</v>
      </c>
      <c r="L267" s="7">
        <v>40513.0</v>
      </c>
      <c r="M267" s="2" t="s">
        <v>312</v>
      </c>
      <c r="N267" s="2" t="s">
        <v>35</v>
      </c>
      <c r="O267" s="2" t="s">
        <v>312</v>
      </c>
      <c r="P267" s="2" t="s">
        <v>36</v>
      </c>
    </row>
    <row r="268" ht="14.25" customHeight="1">
      <c r="A268" s="6">
        <v>1.3510825E7</v>
      </c>
      <c r="B268" s="2" t="s">
        <v>1238</v>
      </c>
      <c r="C268" s="2" t="s">
        <v>17</v>
      </c>
      <c r="D268" s="2" t="s">
        <v>18</v>
      </c>
      <c r="E268" s="2" t="s">
        <v>1239</v>
      </c>
      <c r="F268" s="2" t="s">
        <v>1240</v>
      </c>
      <c r="G268" s="2" t="s">
        <v>1241</v>
      </c>
      <c r="H268" s="2" t="s">
        <v>1242</v>
      </c>
      <c r="I268" s="2" t="s">
        <v>1243</v>
      </c>
      <c r="J268" s="2" t="s">
        <v>185</v>
      </c>
      <c r="K268" s="2" t="s">
        <v>113</v>
      </c>
      <c r="L268" s="7">
        <v>44641.0</v>
      </c>
      <c r="M268" s="2" t="s">
        <v>25</v>
      </c>
      <c r="N268" s="2" t="s">
        <v>186</v>
      </c>
      <c r="O268" s="2" t="s">
        <v>27</v>
      </c>
      <c r="P268" s="2" t="s">
        <v>36</v>
      </c>
    </row>
    <row r="269" ht="14.25" customHeight="1">
      <c r="A269" s="6">
        <v>1.2069024E7</v>
      </c>
      <c r="B269" s="2" t="s">
        <v>1244</v>
      </c>
      <c r="C269" s="2" t="s">
        <v>17</v>
      </c>
      <c r="D269" s="2" t="s">
        <v>18</v>
      </c>
      <c r="E269" s="2" t="s">
        <v>1245</v>
      </c>
      <c r="F269" s="2" t="s">
        <v>1246</v>
      </c>
      <c r="G269" s="2" t="s">
        <v>1247</v>
      </c>
      <c r="H269" s="2" t="s">
        <v>1242</v>
      </c>
      <c r="I269" s="2" t="s">
        <v>230</v>
      </c>
      <c r="J269" s="2" t="s">
        <v>185</v>
      </c>
      <c r="K269" s="2" t="s">
        <v>113</v>
      </c>
      <c r="L269" s="7">
        <v>40513.0</v>
      </c>
      <c r="M269" s="2" t="s">
        <v>312</v>
      </c>
      <c r="N269" s="2" t="s">
        <v>186</v>
      </c>
      <c r="O269" s="2" t="s">
        <v>312</v>
      </c>
      <c r="P269" s="2" t="s">
        <v>36</v>
      </c>
    </row>
    <row r="270" ht="14.25" customHeight="1">
      <c r="A270" s="6">
        <v>1.3108946E7</v>
      </c>
      <c r="B270" s="2" t="s">
        <v>1248</v>
      </c>
      <c r="C270" s="2" t="s">
        <v>17</v>
      </c>
      <c r="D270" s="2" t="s">
        <v>18</v>
      </c>
      <c r="E270" s="2" t="s">
        <v>1249</v>
      </c>
      <c r="F270" s="2" t="s">
        <v>1250</v>
      </c>
      <c r="G270" s="2" t="s">
        <v>1251</v>
      </c>
      <c r="H270" s="2" t="s">
        <v>1252</v>
      </c>
      <c r="I270" s="2" t="s">
        <v>1233</v>
      </c>
      <c r="J270" s="2" t="s">
        <v>34</v>
      </c>
      <c r="K270" s="2" t="s">
        <v>113</v>
      </c>
      <c r="L270" s="7">
        <v>40513.0</v>
      </c>
      <c r="M270" s="2" t="s">
        <v>25</v>
      </c>
      <c r="N270" s="2" t="s">
        <v>35</v>
      </c>
      <c r="O270" s="2" t="s">
        <v>27</v>
      </c>
      <c r="P270" s="2" t="s">
        <v>36</v>
      </c>
    </row>
    <row r="271" ht="14.25" customHeight="1">
      <c r="A271" s="6">
        <v>1.3921089E7</v>
      </c>
      <c r="B271" s="2" t="s">
        <v>1253</v>
      </c>
      <c r="C271" s="2" t="s">
        <v>17</v>
      </c>
      <c r="D271" s="2" t="s">
        <v>18</v>
      </c>
      <c r="E271" s="2" t="s">
        <v>1254</v>
      </c>
      <c r="F271" s="2" t="s">
        <v>1255</v>
      </c>
      <c r="G271" s="2" t="s">
        <v>1256</v>
      </c>
      <c r="H271" s="2" t="s">
        <v>1257</v>
      </c>
      <c r="I271" s="2" t="s">
        <v>1126</v>
      </c>
      <c r="J271" s="2" t="s">
        <v>193</v>
      </c>
      <c r="K271" s="2" t="s">
        <v>113</v>
      </c>
      <c r="L271" s="7">
        <v>45528.0</v>
      </c>
      <c r="M271" s="2" t="s">
        <v>25</v>
      </c>
      <c r="N271" s="2" t="s">
        <v>186</v>
      </c>
      <c r="O271" s="2" t="s">
        <v>27</v>
      </c>
      <c r="P271" s="2" t="s">
        <v>36</v>
      </c>
    </row>
    <row r="272" ht="14.25" customHeight="1">
      <c r="A272" s="6">
        <v>1.6809685E7</v>
      </c>
      <c r="B272" s="2" t="s">
        <v>1258</v>
      </c>
      <c r="C272" s="2" t="s">
        <v>17</v>
      </c>
      <c r="D272" s="2" t="s">
        <v>18</v>
      </c>
      <c r="E272" s="2" t="s">
        <v>1259</v>
      </c>
      <c r="F272" s="2" t="s">
        <v>1260</v>
      </c>
      <c r="G272" s="2" t="s">
        <v>1261</v>
      </c>
      <c r="H272" s="2" t="s">
        <v>1262</v>
      </c>
      <c r="I272" s="2" t="s">
        <v>381</v>
      </c>
      <c r="J272" s="2" t="s">
        <v>47</v>
      </c>
      <c r="K272" s="2" t="s">
        <v>113</v>
      </c>
      <c r="L272" s="7">
        <v>44867.0</v>
      </c>
      <c r="M272" s="2" t="s">
        <v>25</v>
      </c>
      <c r="N272" s="2" t="s">
        <v>35</v>
      </c>
      <c r="O272" s="2" t="s">
        <v>27</v>
      </c>
      <c r="P272" s="2" t="s">
        <v>36</v>
      </c>
    </row>
    <row r="273" ht="14.25" customHeight="1">
      <c r="A273" s="6">
        <v>1.7443176E7</v>
      </c>
      <c r="B273" s="2" t="s">
        <v>1263</v>
      </c>
      <c r="C273" s="2" t="s">
        <v>17</v>
      </c>
      <c r="D273" s="2" t="s">
        <v>18</v>
      </c>
      <c r="E273" s="2" t="s">
        <v>1264</v>
      </c>
      <c r="F273" s="2" t="s">
        <v>1265</v>
      </c>
      <c r="G273" s="2" t="s">
        <v>1266</v>
      </c>
      <c r="H273" s="2" t="s">
        <v>1267</v>
      </c>
      <c r="I273" s="2" t="s">
        <v>111</v>
      </c>
      <c r="J273" s="2" t="s">
        <v>112</v>
      </c>
      <c r="K273" s="2" t="s">
        <v>113</v>
      </c>
      <c r="L273" s="7">
        <v>44536.0</v>
      </c>
      <c r="M273" s="2" t="s">
        <v>116</v>
      </c>
      <c r="N273" s="2" t="s">
        <v>115</v>
      </c>
      <c r="O273" s="2" t="s">
        <v>116</v>
      </c>
      <c r="P273" s="2" t="s">
        <v>36</v>
      </c>
    </row>
    <row r="274" ht="14.25" customHeight="1">
      <c r="A274" s="6">
        <v>9647879.0</v>
      </c>
      <c r="B274" s="2" t="s">
        <v>1268</v>
      </c>
      <c r="C274" s="2" t="s">
        <v>17</v>
      </c>
      <c r="D274" s="2" t="s">
        <v>18</v>
      </c>
      <c r="E274" s="2" t="s">
        <v>1269</v>
      </c>
      <c r="F274" s="2" t="s">
        <v>1269</v>
      </c>
      <c r="G274" s="2" t="s">
        <v>1270</v>
      </c>
      <c r="H274" s="2" t="s">
        <v>1271</v>
      </c>
      <c r="I274" s="2" t="s">
        <v>514</v>
      </c>
      <c r="J274" s="2" t="s">
        <v>62</v>
      </c>
      <c r="K274" s="2" t="s">
        <v>113</v>
      </c>
      <c r="L274" s="7">
        <v>40548.0</v>
      </c>
      <c r="M274" s="2" t="s">
        <v>312</v>
      </c>
      <c r="N274" s="2" t="s">
        <v>35</v>
      </c>
      <c r="O274" s="2" t="s">
        <v>312</v>
      </c>
      <c r="P274" s="2" t="s">
        <v>36</v>
      </c>
    </row>
    <row r="275" ht="14.25" customHeight="1">
      <c r="A275" s="6">
        <v>1.1510941E7</v>
      </c>
      <c r="B275" s="2" t="s">
        <v>1272</v>
      </c>
      <c r="C275" s="2" t="s">
        <v>17</v>
      </c>
      <c r="D275" s="2" t="s">
        <v>18</v>
      </c>
      <c r="E275" s="2" t="s">
        <v>1273</v>
      </c>
      <c r="F275" s="2" t="s">
        <v>1273</v>
      </c>
      <c r="G275" s="2" t="s">
        <v>1274</v>
      </c>
      <c r="H275" s="2" t="s">
        <v>1271</v>
      </c>
      <c r="I275" s="2" t="s">
        <v>514</v>
      </c>
      <c r="J275" s="2" t="s">
        <v>62</v>
      </c>
      <c r="K275" s="2" t="s">
        <v>113</v>
      </c>
      <c r="L275" s="7">
        <v>40513.0</v>
      </c>
      <c r="M275" s="2" t="s">
        <v>312</v>
      </c>
      <c r="N275" s="2" t="s">
        <v>35</v>
      </c>
      <c r="O275" s="2" t="s">
        <v>312</v>
      </c>
      <c r="P275" s="2" t="s">
        <v>36</v>
      </c>
    </row>
    <row r="276" ht="14.25" customHeight="1">
      <c r="A276" s="6">
        <v>9060864.0</v>
      </c>
      <c r="B276" s="2" t="s">
        <v>1275</v>
      </c>
      <c r="C276" s="2" t="s">
        <v>17</v>
      </c>
      <c r="D276" s="2" t="s">
        <v>18</v>
      </c>
      <c r="E276" s="2" t="s">
        <v>1276</v>
      </c>
      <c r="F276" s="2" t="s">
        <v>1276</v>
      </c>
      <c r="G276" s="2" t="s">
        <v>1277</v>
      </c>
      <c r="H276" s="2" t="s">
        <v>1271</v>
      </c>
      <c r="I276" s="2" t="s">
        <v>514</v>
      </c>
      <c r="J276" s="2" t="s">
        <v>62</v>
      </c>
      <c r="K276" s="2" t="s">
        <v>113</v>
      </c>
      <c r="L276" s="7">
        <v>44873.0</v>
      </c>
      <c r="M276" s="2" t="s">
        <v>312</v>
      </c>
      <c r="N276" s="2" t="s">
        <v>35</v>
      </c>
      <c r="O276" s="2" t="s">
        <v>312</v>
      </c>
      <c r="P276" s="2" t="s">
        <v>36</v>
      </c>
    </row>
    <row r="277" ht="14.25" customHeight="1">
      <c r="A277" s="6">
        <v>2.5783658E7</v>
      </c>
      <c r="B277" s="2" t="s">
        <v>1278</v>
      </c>
      <c r="C277" s="2" t="s">
        <v>17</v>
      </c>
      <c r="D277" s="2" t="s">
        <v>18</v>
      </c>
      <c r="E277" s="2" t="s">
        <v>1279</v>
      </c>
      <c r="F277" s="2" t="s">
        <v>1280</v>
      </c>
      <c r="G277" s="2" t="s">
        <v>1281</v>
      </c>
      <c r="H277" s="2" t="s">
        <v>1282</v>
      </c>
      <c r="I277" s="2" t="s">
        <v>425</v>
      </c>
      <c r="J277" s="2" t="s">
        <v>420</v>
      </c>
      <c r="K277" s="2" t="s">
        <v>113</v>
      </c>
      <c r="L277" s="7">
        <v>44845.0</v>
      </c>
      <c r="M277" s="2" t="s">
        <v>25</v>
      </c>
      <c r="N277" s="2" t="s">
        <v>208</v>
      </c>
      <c r="O277" s="2" t="s">
        <v>27</v>
      </c>
      <c r="P277" s="2" t="s">
        <v>36</v>
      </c>
    </row>
    <row r="278" ht="14.25" customHeight="1">
      <c r="A278" s="6">
        <v>1.9826794E7</v>
      </c>
      <c r="B278" s="2" t="s">
        <v>1283</v>
      </c>
      <c r="C278" s="2" t="s">
        <v>17</v>
      </c>
      <c r="D278" s="2" t="s">
        <v>88</v>
      </c>
      <c r="E278" s="2" t="s">
        <v>1284</v>
      </c>
      <c r="F278" s="2" t="s">
        <v>1284</v>
      </c>
      <c r="G278" s="2" t="s">
        <v>1285</v>
      </c>
      <c r="H278" s="2" t="s">
        <v>1286</v>
      </c>
      <c r="I278" s="2" t="s">
        <v>285</v>
      </c>
      <c r="J278" s="2" t="s">
        <v>62</v>
      </c>
      <c r="K278" s="2" t="s">
        <v>630</v>
      </c>
      <c r="L278" s="7">
        <v>45600.0</v>
      </c>
      <c r="M278" s="2" t="s">
        <v>48</v>
      </c>
      <c r="N278" s="2" t="s">
        <v>35</v>
      </c>
      <c r="O278" s="2" t="s">
        <v>27</v>
      </c>
      <c r="P278" s="2" t="s">
        <v>28</v>
      </c>
    </row>
    <row r="279" ht="14.25" customHeight="1">
      <c r="A279" s="6">
        <v>1.9139775E7</v>
      </c>
      <c r="B279" s="2" t="s">
        <v>1287</v>
      </c>
      <c r="C279" s="2" t="s">
        <v>17</v>
      </c>
      <c r="D279" s="2" t="s">
        <v>18</v>
      </c>
      <c r="E279" s="2" t="s">
        <v>1288</v>
      </c>
      <c r="F279" s="2" t="s">
        <v>1289</v>
      </c>
      <c r="G279" s="2" t="s">
        <v>1290</v>
      </c>
      <c r="H279" s="2" t="s">
        <v>1291</v>
      </c>
      <c r="I279" s="2" t="s">
        <v>381</v>
      </c>
      <c r="J279" s="2" t="s">
        <v>47</v>
      </c>
      <c r="K279" s="2" t="s">
        <v>113</v>
      </c>
      <c r="L279" s="7">
        <v>45173.0</v>
      </c>
      <c r="M279" s="2" t="s">
        <v>25</v>
      </c>
      <c r="N279" s="2" t="s">
        <v>35</v>
      </c>
      <c r="O279" s="2" t="s">
        <v>27</v>
      </c>
      <c r="P279" s="2" t="s">
        <v>36</v>
      </c>
    </row>
    <row r="280" ht="14.25" customHeight="1">
      <c r="A280" s="6">
        <v>1.9369981E7</v>
      </c>
      <c r="B280" s="2" t="s">
        <v>1292</v>
      </c>
      <c r="C280" s="2" t="s">
        <v>17</v>
      </c>
      <c r="D280" s="2" t="s">
        <v>18</v>
      </c>
      <c r="E280" s="2" t="s">
        <v>1293</v>
      </c>
      <c r="F280" s="2" t="s">
        <v>1293</v>
      </c>
      <c r="G280" s="2" t="s">
        <v>1294</v>
      </c>
      <c r="H280" s="2" t="s">
        <v>1295</v>
      </c>
      <c r="I280" s="2" t="s">
        <v>1296</v>
      </c>
      <c r="J280" s="2" t="s">
        <v>413</v>
      </c>
      <c r="K280" s="2" t="s">
        <v>113</v>
      </c>
      <c r="L280" s="7">
        <v>45824.0</v>
      </c>
      <c r="M280" s="2" t="s">
        <v>25</v>
      </c>
      <c r="N280" s="2" t="s">
        <v>161</v>
      </c>
      <c r="O280" s="2" t="s">
        <v>27</v>
      </c>
      <c r="P280" s="2" t="s">
        <v>36</v>
      </c>
    </row>
    <row r="281" ht="14.25" customHeight="1">
      <c r="A281" s="6">
        <v>1.7348089E7</v>
      </c>
      <c r="B281" s="2" t="s">
        <v>1297</v>
      </c>
      <c r="C281" s="2" t="s">
        <v>17</v>
      </c>
      <c r="D281" s="2" t="s">
        <v>18</v>
      </c>
      <c r="E281" s="2" t="s">
        <v>1298</v>
      </c>
      <c r="F281" s="2" t="s">
        <v>1299</v>
      </c>
      <c r="G281" s="2" t="s">
        <v>1300</v>
      </c>
      <c r="H281" s="2" t="s">
        <v>1301</v>
      </c>
      <c r="I281" s="2" t="s">
        <v>1296</v>
      </c>
      <c r="J281" s="2" t="s">
        <v>413</v>
      </c>
      <c r="K281" s="2" t="s">
        <v>113</v>
      </c>
      <c r="L281" s="7">
        <v>45194.0</v>
      </c>
      <c r="M281" s="2" t="s">
        <v>25</v>
      </c>
      <c r="N281" s="2" t="s">
        <v>161</v>
      </c>
      <c r="O281" s="2" t="s">
        <v>27</v>
      </c>
      <c r="P281" s="2" t="s">
        <v>36</v>
      </c>
    </row>
    <row r="282" ht="14.25" customHeight="1">
      <c r="A282" s="6">
        <v>1.6898749E7</v>
      </c>
      <c r="B282" s="2" t="s">
        <v>1302</v>
      </c>
      <c r="C282" s="2" t="s">
        <v>107</v>
      </c>
      <c r="D282" s="2" t="s">
        <v>18</v>
      </c>
      <c r="E282" s="2" t="s">
        <v>1303</v>
      </c>
      <c r="F282" s="2" t="s">
        <v>1303</v>
      </c>
      <c r="G282" s="2" t="s">
        <v>1304</v>
      </c>
      <c r="H282" s="2" t="s">
        <v>1305</v>
      </c>
      <c r="I282" s="2" t="s">
        <v>1306</v>
      </c>
      <c r="J282" s="2" t="s">
        <v>185</v>
      </c>
      <c r="K282" s="2" t="s">
        <v>113</v>
      </c>
      <c r="L282" s="7">
        <v>45852.0</v>
      </c>
      <c r="M282" s="2" t="s">
        <v>154</v>
      </c>
      <c r="N282" s="2" t="s">
        <v>186</v>
      </c>
      <c r="O282" s="2" t="s">
        <v>200</v>
      </c>
      <c r="P282" s="2" t="s">
        <v>36</v>
      </c>
    </row>
    <row r="283" ht="14.25" customHeight="1">
      <c r="A283" s="6">
        <v>1.6021661E7</v>
      </c>
      <c r="B283" s="2" t="s">
        <v>1307</v>
      </c>
      <c r="C283" s="2" t="s">
        <v>17</v>
      </c>
      <c r="D283" s="2" t="s">
        <v>18</v>
      </c>
      <c r="E283" s="2" t="s">
        <v>1308</v>
      </c>
      <c r="F283" s="2" t="s">
        <v>1309</v>
      </c>
      <c r="G283" s="2" t="s">
        <v>1310</v>
      </c>
      <c r="H283" s="2" t="s">
        <v>1311</v>
      </c>
      <c r="I283" s="2" t="s">
        <v>46</v>
      </c>
      <c r="J283" s="2" t="s">
        <v>47</v>
      </c>
      <c r="K283" s="2" t="s">
        <v>113</v>
      </c>
      <c r="L283" s="7">
        <v>42736.0</v>
      </c>
      <c r="M283" s="2" t="s">
        <v>25</v>
      </c>
      <c r="N283" s="2" t="s">
        <v>35</v>
      </c>
      <c r="O283" s="2" t="s">
        <v>27</v>
      </c>
      <c r="P283" s="2" t="s">
        <v>36</v>
      </c>
    </row>
    <row r="284" ht="14.25" customHeight="1">
      <c r="A284" s="6">
        <v>1.420615E7</v>
      </c>
      <c r="B284" s="2" t="s">
        <v>1312</v>
      </c>
      <c r="C284" s="2" t="s">
        <v>17</v>
      </c>
      <c r="D284" s="2" t="s">
        <v>18</v>
      </c>
      <c r="E284" s="2" t="s">
        <v>1313</v>
      </c>
      <c r="F284" s="2" t="s">
        <v>1314</v>
      </c>
      <c r="G284" s="2" t="s">
        <v>1315</v>
      </c>
      <c r="H284" s="2" t="s">
        <v>1316</v>
      </c>
      <c r="I284" s="2" t="s">
        <v>46</v>
      </c>
      <c r="J284" s="2" t="s">
        <v>47</v>
      </c>
      <c r="K284" s="2" t="s">
        <v>113</v>
      </c>
      <c r="L284" s="7">
        <v>42370.0</v>
      </c>
      <c r="M284" s="2" t="s">
        <v>25</v>
      </c>
      <c r="N284" s="2" t="s">
        <v>35</v>
      </c>
      <c r="O284" s="2" t="s">
        <v>27</v>
      </c>
      <c r="P284" s="2" t="s">
        <v>36</v>
      </c>
    </row>
    <row r="285" ht="14.25" customHeight="1">
      <c r="A285" s="6">
        <v>2.0110002E7</v>
      </c>
      <c r="B285" s="2" t="s">
        <v>1317</v>
      </c>
      <c r="C285" s="2" t="s">
        <v>17</v>
      </c>
      <c r="D285" s="2" t="s">
        <v>18</v>
      </c>
      <c r="E285" s="2" t="s">
        <v>1318</v>
      </c>
      <c r="F285" s="2" t="s">
        <v>1319</v>
      </c>
      <c r="G285" s="2" t="s">
        <v>1320</v>
      </c>
      <c r="H285" s="2" t="s">
        <v>1321</v>
      </c>
      <c r="I285" s="2" t="s">
        <v>1322</v>
      </c>
      <c r="J285" s="2" t="s">
        <v>160</v>
      </c>
      <c r="K285" s="2" t="s">
        <v>113</v>
      </c>
      <c r="L285" s="7">
        <v>45855.0</v>
      </c>
      <c r="M285" s="2" t="s">
        <v>116</v>
      </c>
      <c r="N285" s="2" t="s">
        <v>161</v>
      </c>
      <c r="O285" s="2" t="s">
        <v>1323</v>
      </c>
      <c r="P285" s="2" t="s">
        <v>36</v>
      </c>
    </row>
    <row r="286" ht="14.25" customHeight="1">
      <c r="A286" s="6">
        <v>1.7685812E7</v>
      </c>
      <c r="B286" s="2" t="s">
        <v>1324</v>
      </c>
      <c r="C286" s="2" t="s">
        <v>107</v>
      </c>
      <c r="D286" s="2" t="s">
        <v>88</v>
      </c>
      <c r="E286" s="2" t="s">
        <v>1325</v>
      </c>
      <c r="F286" s="2" t="s">
        <v>1326</v>
      </c>
      <c r="G286" s="2" t="s">
        <v>1327</v>
      </c>
      <c r="H286" s="2" t="s">
        <v>1328</v>
      </c>
      <c r="I286" s="2" t="s">
        <v>365</v>
      </c>
      <c r="J286" s="2" t="s">
        <v>366</v>
      </c>
      <c r="K286" s="2" t="s">
        <v>113</v>
      </c>
      <c r="L286" s="7">
        <v>45180.0</v>
      </c>
      <c r="M286" s="2" t="s">
        <v>154</v>
      </c>
      <c r="N286" s="2" t="s">
        <v>367</v>
      </c>
      <c r="O286" s="2" t="s">
        <v>27</v>
      </c>
      <c r="P286" s="2" t="s">
        <v>36</v>
      </c>
    </row>
    <row r="287" ht="14.25" customHeight="1">
      <c r="A287" s="6">
        <v>1.8111071E7</v>
      </c>
      <c r="B287" s="2" t="s">
        <v>1329</v>
      </c>
      <c r="C287" s="2" t="s">
        <v>17</v>
      </c>
      <c r="D287" s="2" t="s">
        <v>18</v>
      </c>
      <c r="E287" s="2" t="s">
        <v>1330</v>
      </c>
      <c r="F287" s="2" t="s">
        <v>1331</v>
      </c>
      <c r="G287" s="2" t="s">
        <v>1332</v>
      </c>
      <c r="H287" s="2" t="s">
        <v>1333</v>
      </c>
      <c r="I287" s="2" t="s">
        <v>1334</v>
      </c>
      <c r="J287" s="2" t="s">
        <v>185</v>
      </c>
      <c r="K287" s="2" t="s">
        <v>113</v>
      </c>
      <c r="L287" s="7">
        <v>44431.0</v>
      </c>
      <c r="M287" s="2" t="s">
        <v>25</v>
      </c>
      <c r="N287" s="2" t="s">
        <v>186</v>
      </c>
      <c r="O287" s="2" t="s">
        <v>27</v>
      </c>
      <c r="P287" s="2" t="s">
        <v>36</v>
      </c>
    </row>
    <row r="288" ht="14.25" customHeight="1">
      <c r="A288" s="6">
        <v>1.8146761E7</v>
      </c>
      <c r="B288" s="2" t="s">
        <v>1335</v>
      </c>
      <c r="C288" s="2" t="s">
        <v>17</v>
      </c>
      <c r="D288" s="2" t="s">
        <v>18</v>
      </c>
      <c r="E288" s="2" t="s">
        <v>1336</v>
      </c>
      <c r="F288" s="2" t="s">
        <v>1337</v>
      </c>
      <c r="G288" s="2" t="s">
        <v>1338</v>
      </c>
      <c r="H288" s="2" t="s">
        <v>1333</v>
      </c>
      <c r="I288" s="2" t="s">
        <v>1334</v>
      </c>
      <c r="J288" s="2" t="s">
        <v>185</v>
      </c>
      <c r="K288" s="2" t="s">
        <v>113</v>
      </c>
      <c r="L288" s="7">
        <v>43213.0</v>
      </c>
      <c r="M288" s="2" t="s">
        <v>25</v>
      </c>
      <c r="N288" s="2" t="s">
        <v>186</v>
      </c>
      <c r="O288" s="2" t="s">
        <v>27</v>
      </c>
      <c r="P288" s="2" t="s">
        <v>36</v>
      </c>
    </row>
    <row r="289" ht="14.25" customHeight="1">
      <c r="A289" s="6">
        <v>1.7570835E7</v>
      </c>
      <c r="B289" s="2" t="s">
        <v>1339</v>
      </c>
      <c r="C289" s="2" t="s">
        <v>17</v>
      </c>
      <c r="D289" s="2" t="s">
        <v>18</v>
      </c>
      <c r="E289" s="2" t="s">
        <v>1340</v>
      </c>
      <c r="F289" s="2" t="s">
        <v>1341</v>
      </c>
      <c r="G289" s="2" t="s">
        <v>1342</v>
      </c>
      <c r="H289" s="2" t="s">
        <v>1333</v>
      </c>
      <c r="I289" s="2" t="s">
        <v>1334</v>
      </c>
      <c r="J289" s="2" t="s">
        <v>185</v>
      </c>
      <c r="K289" s="2" t="s">
        <v>113</v>
      </c>
      <c r="L289" s="7">
        <v>45054.0</v>
      </c>
      <c r="M289" s="2" t="s">
        <v>25</v>
      </c>
      <c r="N289" s="2" t="s">
        <v>186</v>
      </c>
      <c r="O289" s="2" t="s">
        <v>27</v>
      </c>
      <c r="P289" s="2" t="s">
        <v>36</v>
      </c>
    </row>
    <row r="290" ht="14.25" customHeight="1">
      <c r="A290" s="6">
        <v>1.8010056E7</v>
      </c>
      <c r="B290" s="2" t="s">
        <v>1343</v>
      </c>
      <c r="C290" s="2" t="s">
        <v>17</v>
      </c>
      <c r="D290" s="2" t="s">
        <v>18</v>
      </c>
      <c r="E290" s="2" t="s">
        <v>1344</v>
      </c>
      <c r="F290" s="2" t="s">
        <v>1345</v>
      </c>
      <c r="G290" s="2" t="s">
        <v>1346</v>
      </c>
      <c r="H290" s="2" t="s">
        <v>1333</v>
      </c>
      <c r="I290" s="2" t="s">
        <v>1334</v>
      </c>
      <c r="J290" s="2" t="s">
        <v>185</v>
      </c>
      <c r="K290" s="2" t="s">
        <v>113</v>
      </c>
      <c r="L290" s="7">
        <v>44424.0</v>
      </c>
      <c r="M290" s="2" t="s">
        <v>312</v>
      </c>
      <c r="N290" s="2" t="s">
        <v>186</v>
      </c>
      <c r="O290" s="2" t="s">
        <v>312</v>
      </c>
      <c r="P290" s="2" t="s">
        <v>36</v>
      </c>
    </row>
    <row r="291" ht="14.25" customHeight="1">
      <c r="A291" s="6">
        <v>1.7923896E7</v>
      </c>
      <c r="B291" s="2" t="s">
        <v>1347</v>
      </c>
      <c r="C291" s="2" t="s">
        <v>17</v>
      </c>
      <c r="D291" s="2" t="s">
        <v>88</v>
      </c>
      <c r="E291" s="2" t="s">
        <v>1348</v>
      </c>
      <c r="F291" s="2" t="s">
        <v>1349</v>
      </c>
      <c r="G291" s="2" t="s">
        <v>1350</v>
      </c>
      <c r="H291" s="2" t="s">
        <v>1333</v>
      </c>
      <c r="I291" s="2" t="s">
        <v>1351</v>
      </c>
      <c r="J291" s="2" t="s">
        <v>185</v>
      </c>
      <c r="K291" s="2" t="s">
        <v>630</v>
      </c>
      <c r="L291" s="7">
        <v>45931.0</v>
      </c>
      <c r="M291" s="2" t="s">
        <v>312</v>
      </c>
      <c r="N291" s="2" t="s">
        <v>186</v>
      </c>
      <c r="O291" s="2" t="s">
        <v>312</v>
      </c>
      <c r="P291" s="2" t="s">
        <v>28</v>
      </c>
    </row>
    <row r="292" ht="14.25" customHeight="1">
      <c r="A292" s="6">
        <v>1.8408655E7</v>
      </c>
      <c r="B292" s="2" t="s">
        <v>1352</v>
      </c>
      <c r="C292" s="2" t="s">
        <v>17</v>
      </c>
      <c r="D292" s="2" t="s">
        <v>38</v>
      </c>
      <c r="E292" s="2" t="s">
        <v>1353</v>
      </c>
      <c r="F292" s="2" t="s">
        <v>1354</v>
      </c>
      <c r="G292" s="2" t="s">
        <v>1355</v>
      </c>
      <c r="H292" s="2" t="s">
        <v>1333</v>
      </c>
      <c r="I292" s="2" t="s">
        <v>1351</v>
      </c>
      <c r="J292" s="2" t="s">
        <v>185</v>
      </c>
      <c r="K292" s="2" t="s">
        <v>630</v>
      </c>
      <c r="L292" s="7">
        <v>45931.0</v>
      </c>
      <c r="M292" s="2" t="s">
        <v>312</v>
      </c>
      <c r="N292" s="2" t="s">
        <v>186</v>
      </c>
      <c r="O292" s="2" t="s">
        <v>312</v>
      </c>
      <c r="P292" s="2" t="s">
        <v>28</v>
      </c>
    </row>
    <row r="293" ht="14.25" customHeight="1">
      <c r="A293" s="6">
        <v>1.9089172E7</v>
      </c>
      <c r="B293" s="2" t="s">
        <v>1356</v>
      </c>
      <c r="C293" s="2" t="s">
        <v>17</v>
      </c>
      <c r="D293" s="2" t="s">
        <v>167</v>
      </c>
      <c r="E293" s="2" t="s">
        <v>1357</v>
      </c>
      <c r="F293" s="2" t="s">
        <v>1358</v>
      </c>
      <c r="G293" s="2" t="s">
        <v>1359</v>
      </c>
      <c r="H293" s="2" t="s">
        <v>1333</v>
      </c>
      <c r="I293" s="2" t="s">
        <v>1334</v>
      </c>
      <c r="J293" s="2" t="s">
        <v>185</v>
      </c>
      <c r="K293" s="2" t="s">
        <v>24</v>
      </c>
      <c r="L293" s="7">
        <v>45931.0</v>
      </c>
      <c r="M293" s="2" t="s">
        <v>25</v>
      </c>
      <c r="N293" s="2" t="s">
        <v>186</v>
      </c>
      <c r="O293" s="2" t="s">
        <v>200</v>
      </c>
      <c r="P293" s="2" t="s">
        <v>28</v>
      </c>
    </row>
    <row r="294" ht="14.25" customHeight="1">
      <c r="A294" s="6">
        <v>1.8135492E7</v>
      </c>
      <c r="B294" s="2" t="s">
        <v>1360</v>
      </c>
      <c r="C294" s="2" t="s">
        <v>17</v>
      </c>
      <c r="D294" s="2" t="s">
        <v>18</v>
      </c>
      <c r="E294" s="2" t="s">
        <v>1361</v>
      </c>
      <c r="F294" s="2" t="s">
        <v>1361</v>
      </c>
      <c r="G294" s="2" t="s">
        <v>1362</v>
      </c>
      <c r="H294" s="2" t="s">
        <v>1333</v>
      </c>
      <c r="I294" s="2" t="s">
        <v>1334</v>
      </c>
      <c r="J294" s="2" t="s">
        <v>185</v>
      </c>
      <c r="K294" s="2" t="s">
        <v>24</v>
      </c>
      <c r="L294" s="7">
        <v>45931.0</v>
      </c>
      <c r="M294" s="2" t="s">
        <v>25</v>
      </c>
      <c r="N294" s="2" t="s">
        <v>186</v>
      </c>
      <c r="O294" s="2" t="s">
        <v>27</v>
      </c>
      <c r="P294" s="2" t="s">
        <v>28</v>
      </c>
    </row>
    <row r="295" ht="14.25" customHeight="1">
      <c r="A295" s="6">
        <v>1.651629E7</v>
      </c>
      <c r="B295" s="2" t="s">
        <v>1363</v>
      </c>
      <c r="C295" s="2" t="s">
        <v>17</v>
      </c>
      <c r="D295" s="2" t="s">
        <v>38</v>
      </c>
      <c r="E295" s="2" t="s">
        <v>1364</v>
      </c>
      <c r="F295" s="2" t="s">
        <v>1364</v>
      </c>
      <c r="G295" s="2" t="s">
        <v>1365</v>
      </c>
      <c r="H295" s="2" t="s">
        <v>1333</v>
      </c>
      <c r="I295" s="2" t="s">
        <v>1334</v>
      </c>
      <c r="J295" s="2" t="s">
        <v>185</v>
      </c>
      <c r="K295" s="2" t="s">
        <v>24</v>
      </c>
      <c r="L295" s="7">
        <v>45931.0</v>
      </c>
      <c r="M295" s="2" t="s">
        <v>25</v>
      </c>
      <c r="N295" s="2" t="s">
        <v>186</v>
      </c>
      <c r="O295" s="2" t="s">
        <v>27</v>
      </c>
      <c r="P295" s="2" t="s">
        <v>28</v>
      </c>
    </row>
    <row r="296" ht="14.25" customHeight="1">
      <c r="A296" s="6">
        <v>1.9142144E7</v>
      </c>
      <c r="B296" s="2" t="s">
        <v>1366</v>
      </c>
      <c r="C296" s="2" t="s">
        <v>17</v>
      </c>
      <c r="D296" s="2" t="s">
        <v>18</v>
      </c>
      <c r="E296" s="2" t="s">
        <v>1367</v>
      </c>
      <c r="F296" s="2" t="s">
        <v>1367</v>
      </c>
      <c r="G296" s="2" t="s">
        <v>1368</v>
      </c>
      <c r="H296" s="2" t="s">
        <v>1333</v>
      </c>
      <c r="I296" s="2" t="s">
        <v>1334</v>
      </c>
      <c r="J296" s="2" t="s">
        <v>185</v>
      </c>
      <c r="K296" s="2" t="s">
        <v>24</v>
      </c>
      <c r="L296" s="7">
        <v>45932.0</v>
      </c>
      <c r="M296" s="2" t="s">
        <v>25</v>
      </c>
      <c r="N296" s="2" t="s">
        <v>186</v>
      </c>
      <c r="O296" s="2" t="s">
        <v>27</v>
      </c>
      <c r="P296" s="2" t="s">
        <v>28</v>
      </c>
    </row>
    <row r="297" ht="14.25" customHeight="1">
      <c r="A297" s="6">
        <v>1.3995079E7</v>
      </c>
      <c r="B297" s="2" t="s">
        <v>1369</v>
      </c>
      <c r="C297" s="2" t="s">
        <v>107</v>
      </c>
      <c r="D297" s="2" t="s">
        <v>18</v>
      </c>
      <c r="E297" s="2" t="s">
        <v>1370</v>
      </c>
      <c r="F297" s="2" t="s">
        <v>1371</v>
      </c>
      <c r="G297" s="2" t="s">
        <v>1372</v>
      </c>
      <c r="H297" s="2" t="s">
        <v>1373</v>
      </c>
      <c r="I297" s="2" t="s">
        <v>1374</v>
      </c>
      <c r="J297" s="2" t="s">
        <v>872</v>
      </c>
      <c r="K297" s="2" t="s">
        <v>113</v>
      </c>
      <c r="L297" s="7">
        <v>39433.0</v>
      </c>
      <c r="M297" s="2" t="s">
        <v>154</v>
      </c>
      <c r="N297" s="2" t="s">
        <v>161</v>
      </c>
      <c r="O297" s="2" t="s">
        <v>1375</v>
      </c>
      <c r="P297" s="2" t="s">
        <v>36</v>
      </c>
    </row>
    <row r="298" ht="14.25" customHeight="1">
      <c r="A298" s="6">
        <v>1.7699181E7</v>
      </c>
      <c r="B298" s="2" t="s">
        <v>1376</v>
      </c>
      <c r="C298" s="2" t="s">
        <v>107</v>
      </c>
      <c r="D298" s="2" t="s">
        <v>88</v>
      </c>
      <c r="E298" s="2" t="s">
        <v>1377</v>
      </c>
      <c r="F298" s="2" t="s">
        <v>1378</v>
      </c>
      <c r="G298" s="2" t="s">
        <v>1379</v>
      </c>
      <c r="H298" s="2" t="s">
        <v>1380</v>
      </c>
      <c r="I298" s="2" t="s">
        <v>1381</v>
      </c>
      <c r="J298" s="2" t="s">
        <v>872</v>
      </c>
      <c r="K298" s="2" t="s">
        <v>113</v>
      </c>
      <c r="L298" s="7">
        <v>45467.0</v>
      </c>
      <c r="M298" s="2" t="s">
        <v>154</v>
      </c>
      <c r="N298" s="2" t="s">
        <v>161</v>
      </c>
      <c r="O298" s="2" t="s">
        <v>116</v>
      </c>
      <c r="P298" s="2" t="s">
        <v>36</v>
      </c>
    </row>
    <row r="299" ht="14.25" customHeight="1">
      <c r="A299" s="6">
        <v>1.8807458E7</v>
      </c>
      <c r="B299" s="2" t="s">
        <v>1382</v>
      </c>
      <c r="C299" s="2" t="s">
        <v>107</v>
      </c>
      <c r="D299" s="2" t="s">
        <v>88</v>
      </c>
      <c r="E299" s="2" t="s">
        <v>1383</v>
      </c>
      <c r="F299" s="2" t="s">
        <v>1384</v>
      </c>
      <c r="G299" s="2" t="s">
        <v>1385</v>
      </c>
      <c r="H299" s="2" t="s">
        <v>1380</v>
      </c>
      <c r="I299" s="2" t="s">
        <v>1381</v>
      </c>
      <c r="J299" s="2" t="s">
        <v>872</v>
      </c>
      <c r="K299" s="2" t="s">
        <v>113</v>
      </c>
      <c r="L299" s="7">
        <v>44846.0</v>
      </c>
      <c r="M299" s="2" t="s">
        <v>154</v>
      </c>
      <c r="N299" s="2" t="s">
        <v>161</v>
      </c>
      <c r="O299" s="2" t="s">
        <v>200</v>
      </c>
      <c r="P299" s="2" t="s">
        <v>36</v>
      </c>
    </row>
    <row r="300" ht="14.25" customHeight="1">
      <c r="A300" s="6">
        <v>1.9961032E7</v>
      </c>
      <c r="B300" s="2" t="s">
        <v>1386</v>
      </c>
      <c r="C300" s="2" t="s">
        <v>107</v>
      </c>
      <c r="D300" s="2" t="s">
        <v>88</v>
      </c>
      <c r="E300" s="2" t="s">
        <v>1387</v>
      </c>
      <c r="F300" s="2" t="s">
        <v>1388</v>
      </c>
      <c r="G300" s="2" t="s">
        <v>1389</v>
      </c>
      <c r="H300" s="2" t="s">
        <v>1380</v>
      </c>
      <c r="I300" s="2" t="s">
        <v>1381</v>
      </c>
      <c r="J300" s="2" t="s">
        <v>872</v>
      </c>
      <c r="K300" s="2" t="s">
        <v>113</v>
      </c>
      <c r="L300" s="7">
        <v>45061.0</v>
      </c>
      <c r="M300" s="2" t="s">
        <v>154</v>
      </c>
      <c r="N300" s="2" t="s">
        <v>161</v>
      </c>
      <c r="O300" s="2" t="s">
        <v>116</v>
      </c>
      <c r="P300" s="2" t="s">
        <v>36</v>
      </c>
    </row>
    <row r="301" ht="14.25" customHeight="1">
      <c r="A301" s="6">
        <v>1.6443442E7</v>
      </c>
      <c r="B301" s="2" t="s">
        <v>1390</v>
      </c>
      <c r="C301" s="2" t="s">
        <v>17</v>
      </c>
      <c r="D301" s="2" t="s">
        <v>18</v>
      </c>
      <c r="E301" s="2" t="s">
        <v>1391</v>
      </c>
      <c r="F301" s="2" t="s">
        <v>1392</v>
      </c>
      <c r="G301" s="2" t="s">
        <v>1393</v>
      </c>
      <c r="H301" s="2" t="s">
        <v>1394</v>
      </c>
      <c r="I301" s="2" t="s">
        <v>1395</v>
      </c>
      <c r="J301" s="2" t="s">
        <v>193</v>
      </c>
      <c r="K301" s="2" t="s">
        <v>113</v>
      </c>
      <c r="L301" s="7">
        <v>44502.0</v>
      </c>
      <c r="M301" s="2" t="s">
        <v>312</v>
      </c>
      <c r="N301" s="2" t="s">
        <v>186</v>
      </c>
      <c r="O301" s="2" t="s">
        <v>312</v>
      </c>
      <c r="P301" s="2" t="s">
        <v>36</v>
      </c>
    </row>
    <row r="302" ht="14.25" customHeight="1">
      <c r="A302" s="6">
        <v>1.2747215E7</v>
      </c>
      <c r="B302" s="2" t="s">
        <v>1396</v>
      </c>
      <c r="C302" s="2" t="s">
        <v>17</v>
      </c>
      <c r="D302" s="2" t="s">
        <v>18</v>
      </c>
      <c r="E302" s="2" t="s">
        <v>1397</v>
      </c>
      <c r="F302" s="2" t="s">
        <v>1398</v>
      </c>
      <c r="G302" s="2" t="s">
        <v>1399</v>
      </c>
      <c r="H302" s="2" t="s">
        <v>1400</v>
      </c>
      <c r="I302" s="2" t="s">
        <v>1401</v>
      </c>
      <c r="J302" s="2" t="s">
        <v>47</v>
      </c>
      <c r="K302" s="2" t="s">
        <v>113</v>
      </c>
      <c r="L302" s="7">
        <v>40513.0</v>
      </c>
      <c r="M302" s="2" t="s">
        <v>1402</v>
      </c>
      <c r="N302" s="2" t="s">
        <v>35</v>
      </c>
      <c r="O302" s="2" t="s">
        <v>27</v>
      </c>
      <c r="P302" s="2" t="s">
        <v>36</v>
      </c>
    </row>
    <row r="303" ht="14.25" customHeight="1">
      <c r="A303" s="6">
        <v>1.5382869E7</v>
      </c>
      <c r="B303" s="2" t="s">
        <v>1403</v>
      </c>
      <c r="C303" s="2" t="s">
        <v>107</v>
      </c>
      <c r="D303" s="2" t="s">
        <v>18</v>
      </c>
      <c r="E303" s="2" t="s">
        <v>1404</v>
      </c>
      <c r="F303" s="2" t="s">
        <v>1405</v>
      </c>
      <c r="G303" s="2" t="s">
        <v>1406</v>
      </c>
      <c r="H303" s="2" t="s">
        <v>1407</v>
      </c>
      <c r="I303" s="2" t="s">
        <v>1408</v>
      </c>
      <c r="J303" s="2" t="s">
        <v>872</v>
      </c>
      <c r="K303" s="2" t="s">
        <v>113</v>
      </c>
      <c r="L303" s="7">
        <v>45261.0</v>
      </c>
      <c r="M303" s="2" t="s">
        <v>1402</v>
      </c>
      <c r="N303" s="2" t="s">
        <v>161</v>
      </c>
      <c r="O303" s="2" t="s">
        <v>1375</v>
      </c>
      <c r="P303" s="2" t="s">
        <v>36</v>
      </c>
    </row>
    <row r="304" ht="14.25" customHeight="1">
      <c r="A304" s="6">
        <v>1.3441655E7</v>
      </c>
      <c r="B304" s="2" t="s">
        <v>1409</v>
      </c>
      <c r="C304" s="2" t="s">
        <v>107</v>
      </c>
      <c r="D304" s="2" t="s">
        <v>18</v>
      </c>
      <c r="E304" s="2" t="s">
        <v>1410</v>
      </c>
      <c r="F304" s="2" t="s">
        <v>1411</v>
      </c>
      <c r="G304" s="2" t="s">
        <v>1412</v>
      </c>
      <c r="H304" s="2" t="s">
        <v>1413</v>
      </c>
      <c r="I304" s="2" t="s">
        <v>1414</v>
      </c>
      <c r="J304" s="2" t="s">
        <v>1415</v>
      </c>
      <c r="K304" s="2" t="s">
        <v>113</v>
      </c>
      <c r="L304" s="7">
        <v>41000.0</v>
      </c>
      <c r="M304" s="2" t="s">
        <v>1402</v>
      </c>
      <c r="N304" s="2" t="s">
        <v>161</v>
      </c>
      <c r="O304" s="2" t="s">
        <v>116</v>
      </c>
      <c r="P304" s="2" t="s">
        <v>36</v>
      </c>
    </row>
    <row r="305" ht="14.25" customHeight="1">
      <c r="A305" s="6">
        <v>1.0000182E7</v>
      </c>
      <c r="B305" s="2" t="s">
        <v>1416</v>
      </c>
      <c r="C305" s="2" t="s">
        <v>107</v>
      </c>
      <c r="D305" s="2" t="s">
        <v>18</v>
      </c>
      <c r="E305" s="2" t="s">
        <v>1417</v>
      </c>
      <c r="F305" s="2" t="s">
        <v>1418</v>
      </c>
      <c r="G305" s="2" t="s">
        <v>1419</v>
      </c>
      <c r="H305" s="2" t="s">
        <v>1420</v>
      </c>
      <c r="I305" s="2" t="s">
        <v>1414</v>
      </c>
      <c r="J305" s="2" t="s">
        <v>872</v>
      </c>
      <c r="K305" s="2" t="s">
        <v>113</v>
      </c>
      <c r="L305" s="7">
        <v>44145.0</v>
      </c>
      <c r="M305" s="2" t="s">
        <v>1402</v>
      </c>
      <c r="N305" s="2" t="s">
        <v>161</v>
      </c>
      <c r="O305" s="2" t="s">
        <v>116</v>
      </c>
      <c r="P305" s="2" t="s">
        <v>36</v>
      </c>
    </row>
    <row r="306" ht="14.25" customHeight="1">
      <c r="A306" s="6">
        <v>2.1295688E7</v>
      </c>
      <c r="B306" s="2" t="s">
        <v>1421</v>
      </c>
      <c r="C306" s="2" t="s">
        <v>107</v>
      </c>
      <c r="D306" s="2" t="s">
        <v>18</v>
      </c>
      <c r="E306" s="2" t="s">
        <v>1422</v>
      </c>
      <c r="F306" s="2" t="s">
        <v>1423</v>
      </c>
      <c r="G306" s="2" t="s">
        <v>1424</v>
      </c>
      <c r="H306" s="2" t="s">
        <v>1425</v>
      </c>
      <c r="I306" s="2" t="s">
        <v>530</v>
      </c>
      <c r="J306" s="2" t="s">
        <v>367</v>
      </c>
      <c r="K306" s="2" t="s">
        <v>113</v>
      </c>
      <c r="L306" s="7">
        <v>45474.0</v>
      </c>
      <c r="M306" s="2" t="s">
        <v>1402</v>
      </c>
      <c r="N306" s="2" t="s">
        <v>367</v>
      </c>
      <c r="O306" s="2" t="s">
        <v>116</v>
      </c>
      <c r="P306" s="2" t="s">
        <v>36</v>
      </c>
    </row>
    <row r="307" ht="14.25" customHeight="1">
      <c r="A307" s="6">
        <v>1.0844186E7</v>
      </c>
      <c r="B307" s="2" t="s">
        <v>1426</v>
      </c>
      <c r="C307" s="2" t="s">
        <v>107</v>
      </c>
      <c r="D307" s="2" t="s">
        <v>18</v>
      </c>
      <c r="E307" s="2" t="s">
        <v>1427</v>
      </c>
      <c r="G307" s="2" t="s">
        <v>1428</v>
      </c>
      <c r="H307" s="2" t="s">
        <v>1429</v>
      </c>
      <c r="I307" s="2" t="s">
        <v>530</v>
      </c>
      <c r="J307" s="2" t="s">
        <v>1430</v>
      </c>
      <c r="K307" s="2" t="s">
        <v>113</v>
      </c>
      <c r="L307" s="7">
        <v>42681.0</v>
      </c>
      <c r="M307" s="2" t="s">
        <v>1402</v>
      </c>
      <c r="N307" s="2" t="s">
        <v>161</v>
      </c>
      <c r="O307" s="2" t="s">
        <v>116</v>
      </c>
      <c r="P307" s="2" t="s">
        <v>36</v>
      </c>
    </row>
    <row r="308" ht="14.25" customHeight="1">
      <c r="A308" s="6">
        <v>1.0093016E7</v>
      </c>
      <c r="B308" s="2" t="s">
        <v>1431</v>
      </c>
      <c r="C308" s="2" t="s">
        <v>107</v>
      </c>
      <c r="D308" s="2" t="s">
        <v>18</v>
      </c>
      <c r="E308" s="2" t="s">
        <v>1432</v>
      </c>
      <c r="F308" s="2" t="s">
        <v>1433</v>
      </c>
      <c r="G308" s="2" t="s">
        <v>1434</v>
      </c>
      <c r="H308" s="2" t="s">
        <v>1435</v>
      </c>
      <c r="I308" s="2" t="s">
        <v>530</v>
      </c>
      <c r="J308" s="2" t="s">
        <v>215</v>
      </c>
      <c r="K308" s="2" t="s">
        <v>113</v>
      </c>
      <c r="L308" s="7">
        <v>40513.0</v>
      </c>
      <c r="M308" s="2" t="s">
        <v>1402</v>
      </c>
      <c r="N308" s="2" t="s">
        <v>216</v>
      </c>
      <c r="O308" s="2" t="s">
        <v>116</v>
      </c>
      <c r="P308" s="2" t="s">
        <v>36</v>
      </c>
    </row>
    <row r="309" ht="14.25" customHeight="1">
      <c r="A309" s="6">
        <v>1.3271928E7</v>
      </c>
      <c r="B309" s="2" t="s">
        <v>1436</v>
      </c>
      <c r="C309" s="2" t="s">
        <v>107</v>
      </c>
      <c r="D309" s="2" t="s">
        <v>18</v>
      </c>
      <c r="E309" s="2" t="s">
        <v>1437</v>
      </c>
      <c r="F309" s="2" t="s">
        <v>1438</v>
      </c>
      <c r="G309" s="2" t="s">
        <v>1439</v>
      </c>
      <c r="H309" s="2" t="s">
        <v>1440</v>
      </c>
      <c r="I309" s="2" t="s">
        <v>530</v>
      </c>
      <c r="J309" s="2" t="s">
        <v>1441</v>
      </c>
      <c r="K309" s="2" t="s">
        <v>113</v>
      </c>
      <c r="L309" s="7">
        <v>45047.0</v>
      </c>
      <c r="M309" s="2" t="s">
        <v>1402</v>
      </c>
      <c r="N309" s="2" t="s">
        <v>208</v>
      </c>
      <c r="O309" s="2" t="s">
        <v>116</v>
      </c>
      <c r="P309" s="2" t="s">
        <v>36</v>
      </c>
    </row>
    <row r="310" ht="14.25" customHeight="1">
      <c r="A310" s="6">
        <v>1.1833668E7</v>
      </c>
      <c r="B310" s="2" t="s">
        <v>1442</v>
      </c>
      <c r="C310" s="2" t="s">
        <v>107</v>
      </c>
      <c r="D310" s="2" t="s">
        <v>18</v>
      </c>
      <c r="E310" s="2" t="s">
        <v>1443</v>
      </c>
      <c r="F310" s="2" t="s">
        <v>1444</v>
      </c>
      <c r="G310" s="2" t="s">
        <v>1445</v>
      </c>
      <c r="H310" s="2" t="s">
        <v>1446</v>
      </c>
      <c r="I310" s="2" t="s">
        <v>530</v>
      </c>
      <c r="J310" s="2" t="s">
        <v>1447</v>
      </c>
      <c r="K310" s="2" t="s">
        <v>113</v>
      </c>
      <c r="L310" s="7">
        <v>45523.0</v>
      </c>
      <c r="M310" s="2" t="s">
        <v>1402</v>
      </c>
      <c r="N310" s="2" t="s">
        <v>186</v>
      </c>
      <c r="O310" s="2" t="s">
        <v>116</v>
      </c>
      <c r="P310" s="2" t="s">
        <v>36</v>
      </c>
    </row>
    <row r="311" ht="14.25" customHeight="1">
      <c r="A311" s="6">
        <v>1.3134939E7</v>
      </c>
      <c r="B311" s="2" t="s">
        <v>1448</v>
      </c>
      <c r="C311" s="2" t="s">
        <v>107</v>
      </c>
      <c r="D311" s="2" t="s">
        <v>18</v>
      </c>
      <c r="E311" s="2" t="s">
        <v>1449</v>
      </c>
      <c r="F311" s="2" t="s">
        <v>1450</v>
      </c>
      <c r="G311" s="2" t="s">
        <v>1451</v>
      </c>
      <c r="H311" s="2" t="s">
        <v>1452</v>
      </c>
      <c r="I311" s="2" t="s">
        <v>530</v>
      </c>
      <c r="J311" s="2" t="s">
        <v>458</v>
      </c>
      <c r="K311" s="2" t="s">
        <v>113</v>
      </c>
      <c r="L311" s="7">
        <v>42917.0</v>
      </c>
      <c r="M311" s="2" t="s">
        <v>1402</v>
      </c>
      <c r="N311" s="2" t="s">
        <v>26</v>
      </c>
      <c r="O311" s="2" t="s">
        <v>116</v>
      </c>
      <c r="P311" s="2" t="s">
        <v>36</v>
      </c>
    </row>
    <row r="312" ht="14.25" customHeight="1">
      <c r="A312" s="6">
        <v>1.3724355E7</v>
      </c>
      <c r="B312" s="2" t="s">
        <v>1453</v>
      </c>
      <c r="C312" s="2" t="s">
        <v>107</v>
      </c>
      <c r="D312" s="2" t="s">
        <v>18</v>
      </c>
      <c r="E312" s="2" t="s">
        <v>1454</v>
      </c>
      <c r="F312" s="2" t="s">
        <v>1455</v>
      </c>
      <c r="G312" s="2" t="s">
        <v>1456</v>
      </c>
      <c r="H312" s="2" t="s">
        <v>1457</v>
      </c>
      <c r="I312" s="2" t="s">
        <v>1458</v>
      </c>
      <c r="J312" s="2" t="s">
        <v>1459</v>
      </c>
      <c r="K312" s="2" t="s">
        <v>113</v>
      </c>
      <c r="L312" s="7">
        <v>45505.0</v>
      </c>
      <c r="M312" s="2" t="s">
        <v>1402</v>
      </c>
      <c r="N312" s="2" t="s">
        <v>35</v>
      </c>
      <c r="O312" s="2" t="s">
        <v>27</v>
      </c>
      <c r="P312" s="2" t="s">
        <v>36</v>
      </c>
    </row>
    <row r="313" ht="14.25" customHeight="1">
      <c r="A313" s="6">
        <v>1.1978482E7</v>
      </c>
      <c r="B313" s="2" t="s">
        <v>1460</v>
      </c>
      <c r="C313" s="2" t="s">
        <v>107</v>
      </c>
      <c r="D313" s="2" t="s">
        <v>18</v>
      </c>
      <c r="E313" s="2" t="s">
        <v>1461</v>
      </c>
      <c r="F313" s="2" t="s">
        <v>1462</v>
      </c>
      <c r="G313" s="2" t="s">
        <v>1463</v>
      </c>
      <c r="H313" s="2" t="s">
        <v>1464</v>
      </c>
      <c r="I313" s="2" t="s">
        <v>1465</v>
      </c>
      <c r="J313" s="2" t="s">
        <v>241</v>
      </c>
      <c r="K313" s="2" t="s">
        <v>113</v>
      </c>
      <c r="L313" s="7">
        <v>41609.0</v>
      </c>
      <c r="M313" s="2" t="s">
        <v>1402</v>
      </c>
      <c r="N313" s="2" t="s">
        <v>216</v>
      </c>
      <c r="O313" s="2" t="s">
        <v>116</v>
      </c>
      <c r="P313" s="2" t="s">
        <v>36</v>
      </c>
    </row>
    <row r="314" ht="14.25" customHeight="1">
      <c r="A314" s="6">
        <v>1.2010509E7</v>
      </c>
      <c r="B314" s="2" t="s">
        <v>1466</v>
      </c>
      <c r="C314" s="2" t="s">
        <v>107</v>
      </c>
      <c r="D314" s="2" t="s">
        <v>18</v>
      </c>
      <c r="E314" s="2" t="s">
        <v>1467</v>
      </c>
      <c r="F314" s="2" t="s">
        <v>1468</v>
      </c>
      <c r="G314" s="2" t="s">
        <v>1469</v>
      </c>
      <c r="H314" s="2" t="s">
        <v>1470</v>
      </c>
      <c r="I314" s="2" t="s">
        <v>1465</v>
      </c>
      <c r="J314" s="2" t="s">
        <v>296</v>
      </c>
      <c r="K314" s="2" t="s">
        <v>113</v>
      </c>
      <c r="L314" s="7">
        <v>43276.0</v>
      </c>
      <c r="M314" s="2" t="s">
        <v>1402</v>
      </c>
      <c r="N314" s="2" t="s">
        <v>216</v>
      </c>
      <c r="O314" s="2" t="s">
        <v>116</v>
      </c>
      <c r="P314" s="2" t="s">
        <v>36</v>
      </c>
    </row>
    <row r="315" ht="14.25" customHeight="1">
      <c r="A315" s="6">
        <v>1.3425908E7</v>
      </c>
      <c r="B315" s="2" t="s">
        <v>1471</v>
      </c>
      <c r="C315" s="2" t="s">
        <v>17</v>
      </c>
      <c r="D315" s="2" t="s">
        <v>18</v>
      </c>
      <c r="E315" s="2" t="s">
        <v>1472</v>
      </c>
      <c r="F315" s="2" t="s">
        <v>1473</v>
      </c>
      <c r="G315" s="2" t="s">
        <v>1474</v>
      </c>
      <c r="H315" s="2" t="s">
        <v>1475</v>
      </c>
      <c r="I315" s="2" t="s">
        <v>1401</v>
      </c>
      <c r="J315" s="2" t="s">
        <v>93</v>
      </c>
      <c r="K315" s="2" t="s">
        <v>113</v>
      </c>
      <c r="L315" s="7">
        <v>41330.0</v>
      </c>
      <c r="M315" s="2" t="s">
        <v>1402</v>
      </c>
      <c r="N315" s="2" t="s">
        <v>35</v>
      </c>
      <c r="O315" s="2" t="s">
        <v>27</v>
      </c>
      <c r="P315" s="2" t="s">
        <v>36</v>
      </c>
    </row>
    <row r="316" ht="14.25" customHeight="1">
      <c r="A316" s="6">
        <v>1.6155554E7</v>
      </c>
      <c r="B316" s="2" t="s">
        <v>1476</v>
      </c>
      <c r="C316" s="2" t="s">
        <v>107</v>
      </c>
      <c r="D316" s="2" t="s">
        <v>18</v>
      </c>
      <c r="E316" s="2" t="s">
        <v>1477</v>
      </c>
      <c r="F316" s="2" t="s">
        <v>1478</v>
      </c>
      <c r="G316" s="2" t="s">
        <v>1479</v>
      </c>
      <c r="H316" s="2" t="s">
        <v>1480</v>
      </c>
      <c r="I316" s="2" t="s">
        <v>1458</v>
      </c>
      <c r="J316" s="2" t="s">
        <v>458</v>
      </c>
      <c r="K316" s="2" t="s">
        <v>113</v>
      </c>
      <c r="L316" s="7">
        <v>45523.0</v>
      </c>
      <c r="M316" s="2" t="s">
        <v>1402</v>
      </c>
      <c r="N316" s="2" t="s">
        <v>26</v>
      </c>
      <c r="O316" s="2" t="s">
        <v>200</v>
      </c>
      <c r="P316" s="2" t="s">
        <v>36</v>
      </c>
    </row>
    <row r="317" ht="14.25" customHeight="1">
      <c r="A317" s="6">
        <v>2.4741043E7</v>
      </c>
      <c r="B317" s="2" t="s">
        <v>1481</v>
      </c>
      <c r="C317" s="2" t="s">
        <v>107</v>
      </c>
      <c r="D317" s="2" t="s">
        <v>18</v>
      </c>
      <c r="E317" s="2" t="s">
        <v>1482</v>
      </c>
      <c r="F317" s="2" t="s">
        <v>1483</v>
      </c>
      <c r="G317" s="2" t="s">
        <v>1484</v>
      </c>
      <c r="H317" s="2" t="s">
        <v>1485</v>
      </c>
      <c r="I317" s="2" t="s">
        <v>1414</v>
      </c>
      <c r="J317" s="2" t="s">
        <v>160</v>
      </c>
      <c r="K317" s="2" t="s">
        <v>113</v>
      </c>
      <c r="L317" s="7">
        <v>44522.0</v>
      </c>
      <c r="M317" s="2" t="s">
        <v>1402</v>
      </c>
      <c r="N317" s="2" t="s">
        <v>161</v>
      </c>
      <c r="O317" s="2" t="s">
        <v>116</v>
      </c>
      <c r="P317" s="2" t="s">
        <v>36</v>
      </c>
    </row>
    <row r="318" ht="14.25" customHeight="1">
      <c r="A318" s="6">
        <v>1.003431E7</v>
      </c>
      <c r="B318" s="2" t="s">
        <v>1486</v>
      </c>
      <c r="C318" s="2" t="s">
        <v>107</v>
      </c>
      <c r="D318" s="2" t="s">
        <v>18</v>
      </c>
      <c r="E318" s="2" t="s">
        <v>1487</v>
      </c>
      <c r="G318" s="2" t="s">
        <v>1488</v>
      </c>
      <c r="H318" s="2" t="s">
        <v>1489</v>
      </c>
      <c r="I318" s="2" t="s">
        <v>530</v>
      </c>
      <c r="J318" s="2" t="s">
        <v>1490</v>
      </c>
      <c r="K318" s="2" t="s">
        <v>113</v>
      </c>
      <c r="L318" s="7">
        <v>45341.0</v>
      </c>
      <c r="M318" s="2" t="s">
        <v>1402</v>
      </c>
      <c r="N318" s="2" t="s">
        <v>1491</v>
      </c>
      <c r="O318" s="2" t="s">
        <v>116</v>
      </c>
      <c r="P318" s="2" t="s">
        <v>36</v>
      </c>
    </row>
    <row r="319" ht="14.25" customHeight="1">
      <c r="A319" s="6">
        <v>1.3257001E7</v>
      </c>
      <c r="B319" s="2" t="s">
        <v>1492</v>
      </c>
      <c r="C319" s="2" t="s">
        <v>107</v>
      </c>
      <c r="D319" s="2" t="s">
        <v>18</v>
      </c>
      <c r="E319" s="2" t="s">
        <v>1493</v>
      </c>
      <c r="F319" s="2" t="s">
        <v>1494</v>
      </c>
      <c r="G319" s="2" t="s">
        <v>1495</v>
      </c>
      <c r="H319" s="2" t="s">
        <v>1496</v>
      </c>
      <c r="I319" s="2" t="s">
        <v>530</v>
      </c>
      <c r="J319" s="2" t="s">
        <v>1497</v>
      </c>
      <c r="K319" s="2" t="s">
        <v>113</v>
      </c>
      <c r="L319" s="7">
        <v>45047.0</v>
      </c>
      <c r="M319" s="2" t="s">
        <v>1402</v>
      </c>
      <c r="N319" s="2" t="s">
        <v>1498</v>
      </c>
      <c r="O319" s="2" t="s">
        <v>116</v>
      </c>
      <c r="P319" s="2" t="s">
        <v>36</v>
      </c>
    </row>
    <row r="320" ht="14.25" customHeight="1">
      <c r="A320" s="6">
        <v>1.6213768E7</v>
      </c>
      <c r="B320" s="2" t="s">
        <v>1499</v>
      </c>
      <c r="C320" s="2" t="s">
        <v>107</v>
      </c>
      <c r="D320" s="2" t="s">
        <v>18</v>
      </c>
      <c r="E320" s="2" t="s">
        <v>1500</v>
      </c>
      <c r="F320" s="2" t="s">
        <v>1501</v>
      </c>
      <c r="G320" s="2" t="s">
        <v>1502</v>
      </c>
      <c r="H320" s="2" t="s">
        <v>1496</v>
      </c>
      <c r="I320" s="2" t="s">
        <v>1414</v>
      </c>
      <c r="J320" s="2" t="s">
        <v>1503</v>
      </c>
      <c r="K320" s="2" t="s">
        <v>113</v>
      </c>
      <c r="L320" s="7">
        <v>44900.0</v>
      </c>
      <c r="M320" s="2" t="s">
        <v>1402</v>
      </c>
      <c r="N320" s="2" t="s">
        <v>161</v>
      </c>
      <c r="O320" s="2" t="s">
        <v>1323</v>
      </c>
      <c r="P320" s="2" t="s">
        <v>36</v>
      </c>
    </row>
    <row r="321" ht="14.25" customHeight="1">
      <c r="A321" s="6">
        <v>1.3392882E7</v>
      </c>
      <c r="B321" s="2" t="s">
        <v>1504</v>
      </c>
      <c r="C321" s="2" t="s">
        <v>107</v>
      </c>
      <c r="D321" s="2" t="s">
        <v>18</v>
      </c>
      <c r="E321" s="2" t="s">
        <v>1505</v>
      </c>
      <c r="F321" s="2" t="s">
        <v>1506</v>
      </c>
      <c r="G321" s="2" t="s">
        <v>1507</v>
      </c>
      <c r="H321" s="2" t="s">
        <v>1508</v>
      </c>
      <c r="I321" s="2" t="s">
        <v>431</v>
      </c>
      <c r="J321" s="2" t="s">
        <v>420</v>
      </c>
      <c r="K321" s="2" t="s">
        <v>113</v>
      </c>
      <c r="L321" s="7">
        <v>43521.0</v>
      </c>
      <c r="M321" s="2" t="s">
        <v>1402</v>
      </c>
      <c r="N321" s="2" t="s">
        <v>208</v>
      </c>
      <c r="O321" s="2" t="s">
        <v>116</v>
      </c>
      <c r="P321" s="2" t="s">
        <v>36</v>
      </c>
    </row>
    <row r="322" ht="14.25" customHeight="1">
      <c r="A322" s="6">
        <v>1.2488186E7</v>
      </c>
      <c r="B322" s="2" t="s">
        <v>1509</v>
      </c>
      <c r="C322" s="2" t="s">
        <v>107</v>
      </c>
      <c r="D322" s="2" t="s">
        <v>18</v>
      </c>
      <c r="E322" s="2" t="s">
        <v>1510</v>
      </c>
      <c r="F322" s="2" t="s">
        <v>1511</v>
      </c>
      <c r="G322" s="2" t="s">
        <v>1512</v>
      </c>
      <c r="H322" s="2" t="s">
        <v>1513</v>
      </c>
      <c r="I322" s="2" t="s">
        <v>530</v>
      </c>
      <c r="J322" s="2" t="s">
        <v>115</v>
      </c>
      <c r="K322" s="2" t="s">
        <v>113</v>
      </c>
      <c r="L322" s="7">
        <v>45047.0</v>
      </c>
      <c r="M322" s="2" t="s">
        <v>1402</v>
      </c>
      <c r="N322" s="2" t="s">
        <v>115</v>
      </c>
      <c r="O322" s="2" t="s">
        <v>116</v>
      </c>
      <c r="P322" s="2" t="s">
        <v>36</v>
      </c>
    </row>
    <row r="323" ht="14.25" customHeight="1">
      <c r="A323" s="6">
        <v>7736569.0</v>
      </c>
      <c r="B323" s="2" t="s">
        <v>1514</v>
      </c>
      <c r="C323" s="2" t="s">
        <v>17</v>
      </c>
      <c r="D323" s="2" t="s">
        <v>18</v>
      </c>
      <c r="E323" s="2" t="s">
        <v>1515</v>
      </c>
      <c r="F323" s="2" t="s">
        <v>1516</v>
      </c>
      <c r="G323" s="2" t="s">
        <v>1517</v>
      </c>
      <c r="H323" s="2" t="s">
        <v>1518</v>
      </c>
      <c r="I323" s="2" t="s">
        <v>530</v>
      </c>
      <c r="J323" s="2" t="s">
        <v>1519</v>
      </c>
      <c r="K323" s="2" t="s">
        <v>113</v>
      </c>
      <c r="L323" s="7">
        <v>40513.0</v>
      </c>
      <c r="M323" s="2" t="s">
        <v>1402</v>
      </c>
      <c r="N323" s="2" t="s">
        <v>35</v>
      </c>
      <c r="O323" s="2" t="s">
        <v>27</v>
      </c>
      <c r="P323" s="2" t="s">
        <v>36</v>
      </c>
    </row>
    <row r="324" ht="14.25" customHeight="1">
      <c r="A324" s="6">
        <v>1.473497E7</v>
      </c>
      <c r="B324" s="2" t="s">
        <v>1520</v>
      </c>
      <c r="C324" s="2" t="s">
        <v>107</v>
      </c>
      <c r="D324" s="2" t="s">
        <v>18</v>
      </c>
      <c r="E324" s="2" t="s">
        <v>1521</v>
      </c>
      <c r="F324" s="2" t="s">
        <v>1522</v>
      </c>
      <c r="G324" s="2" t="s">
        <v>1523</v>
      </c>
      <c r="H324" s="2" t="s">
        <v>1524</v>
      </c>
      <c r="I324" s="2" t="s">
        <v>1414</v>
      </c>
      <c r="J324" s="2" t="s">
        <v>1525</v>
      </c>
      <c r="K324" s="2" t="s">
        <v>113</v>
      </c>
      <c r="L324" s="7">
        <v>41927.0</v>
      </c>
      <c r="M324" s="2" t="s">
        <v>1402</v>
      </c>
      <c r="N324" s="2" t="s">
        <v>161</v>
      </c>
      <c r="O324" s="2" t="s">
        <v>116</v>
      </c>
      <c r="P324" s="2" t="s">
        <v>36</v>
      </c>
    </row>
    <row r="325" ht="14.25" customHeight="1">
      <c r="A325" s="6">
        <v>1.6657501E7</v>
      </c>
      <c r="B325" s="2" t="s">
        <v>1526</v>
      </c>
      <c r="C325" s="2" t="s">
        <v>107</v>
      </c>
      <c r="D325" s="2" t="s">
        <v>18</v>
      </c>
      <c r="E325" s="2" t="s">
        <v>1527</v>
      </c>
      <c r="F325" s="2" t="s">
        <v>1528</v>
      </c>
      <c r="G325" s="2" t="s">
        <v>1529</v>
      </c>
      <c r="H325" s="2" t="s">
        <v>1530</v>
      </c>
      <c r="I325" s="2" t="s">
        <v>1458</v>
      </c>
      <c r="J325" s="2" t="s">
        <v>458</v>
      </c>
      <c r="K325" s="2" t="s">
        <v>113</v>
      </c>
      <c r="L325" s="7">
        <v>45803.0</v>
      </c>
      <c r="M325" s="2" t="s">
        <v>1402</v>
      </c>
      <c r="N325" s="2" t="s">
        <v>26</v>
      </c>
      <c r="O325" s="2" t="s">
        <v>116</v>
      </c>
      <c r="P325" s="2" t="s">
        <v>36</v>
      </c>
    </row>
    <row r="326" ht="14.25" customHeight="1">
      <c r="A326" s="6">
        <v>1.6002041E7</v>
      </c>
      <c r="B326" s="2" t="s">
        <v>1531</v>
      </c>
      <c r="C326" s="2" t="s">
        <v>17</v>
      </c>
      <c r="D326" s="2" t="s">
        <v>18</v>
      </c>
      <c r="E326" s="2" t="s">
        <v>1532</v>
      </c>
      <c r="F326" s="2" t="s">
        <v>1533</v>
      </c>
      <c r="G326" s="2" t="s">
        <v>1534</v>
      </c>
      <c r="H326" s="2" t="s">
        <v>1535</v>
      </c>
      <c r="I326" s="2" t="s">
        <v>1401</v>
      </c>
      <c r="J326" s="2" t="s">
        <v>62</v>
      </c>
      <c r="K326" s="2" t="s">
        <v>113</v>
      </c>
      <c r="L326" s="7">
        <v>45474.0</v>
      </c>
      <c r="M326" s="2" t="s">
        <v>1402</v>
      </c>
      <c r="N326" s="2" t="s">
        <v>35</v>
      </c>
      <c r="O326" s="2" t="s">
        <v>27</v>
      </c>
      <c r="P326" s="2" t="s">
        <v>36</v>
      </c>
    </row>
    <row r="327" ht="14.25" customHeight="1">
      <c r="A327" s="6">
        <v>1.0420968E7</v>
      </c>
      <c r="B327" s="2" t="s">
        <v>1536</v>
      </c>
      <c r="C327" s="2" t="s">
        <v>107</v>
      </c>
      <c r="D327" s="2" t="s">
        <v>18</v>
      </c>
      <c r="E327" s="2" t="s">
        <v>1537</v>
      </c>
      <c r="F327" s="2" t="s">
        <v>1538</v>
      </c>
      <c r="G327" s="2" t="s">
        <v>1539</v>
      </c>
      <c r="H327" s="2" t="s">
        <v>1540</v>
      </c>
      <c r="I327" s="2" t="s">
        <v>1541</v>
      </c>
      <c r="J327" s="2" t="s">
        <v>185</v>
      </c>
      <c r="K327" s="2" t="s">
        <v>113</v>
      </c>
      <c r="L327" s="7">
        <v>44805.0</v>
      </c>
      <c r="M327" s="2" t="s">
        <v>1402</v>
      </c>
      <c r="N327" s="2" t="s">
        <v>186</v>
      </c>
      <c r="O327" s="2" t="s">
        <v>27</v>
      </c>
      <c r="P327" s="2" t="s">
        <v>36</v>
      </c>
    </row>
    <row r="328" ht="14.25" customHeight="1">
      <c r="A328" s="6">
        <v>6773312.0</v>
      </c>
      <c r="B328" s="2" t="s">
        <v>1542</v>
      </c>
      <c r="C328" s="2" t="s">
        <v>107</v>
      </c>
      <c r="D328" s="2" t="s">
        <v>18</v>
      </c>
      <c r="E328" s="2" t="s">
        <v>1543</v>
      </c>
      <c r="F328" s="2" t="s">
        <v>1544</v>
      </c>
      <c r="G328" s="2" t="s">
        <v>1545</v>
      </c>
      <c r="H328" s="2" t="s">
        <v>1546</v>
      </c>
      <c r="I328" s="2" t="s">
        <v>431</v>
      </c>
      <c r="J328" s="2" t="s">
        <v>207</v>
      </c>
      <c r="K328" s="2" t="s">
        <v>113</v>
      </c>
      <c r="L328" s="7">
        <v>45203.0</v>
      </c>
      <c r="M328" s="2" t="s">
        <v>1402</v>
      </c>
      <c r="N328" s="2" t="s">
        <v>208</v>
      </c>
      <c r="O328" s="2" t="s">
        <v>116</v>
      </c>
      <c r="P328" s="2" t="s">
        <v>36</v>
      </c>
    </row>
    <row r="329" ht="14.25" customHeight="1">
      <c r="A329" s="6">
        <v>1.6140909E7</v>
      </c>
      <c r="B329" s="2" t="s">
        <v>1547</v>
      </c>
      <c r="C329" s="2" t="s">
        <v>107</v>
      </c>
      <c r="D329" s="2" t="s">
        <v>18</v>
      </c>
      <c r="E329" s="2" t="s">
        <v>1548</v>
      </c>
      <c r="F329" s="2" t="s">
        <v>1549</v>
      </c>
      <c r="G329" s="2" t="s">
        <v>1550</v>
      </c>
      <c r="H329" s="2" t="s">
        <v>1551</v>
      </c>
      <c r="I329" s="2" t="s">
        <v>1552</v>
      </c>
      <c r="J329" s="2" t="s">
        <v>801</v>
      </c>
      <c r="K329" s="2" t="s">
        <v>113</v>
      </c>
      <c r="L329" s="7">
        <v>45708.0</v>
      </c>
      <c r="M329" s="2" t="s">
        <v>154</v>
      </c>
      <c r="N329" s="2" t="s">
        <v>26</v>
      </c>
      <c r="O329" s="2" t="s">
        <v>200</v>
      </c>
      <c r="P329" s="2" t="s">
        <v>36</v>
      </c>
    </row>
    <row r="330" ht="14.25" customHeight="1">
      <c r="A330" s="6">
        <v>1.8414043E7</v>
      </c>
      <c r="B330" s="2" t="s">
        <v>1553</v>
      </c>
      <c r="C330" s="2" t="s">
        <v>107</v>
      </c>
      <c r="D330" s="2" t="s">
        <v>88</v>
      </c>
      <c r="E330" s="2" t="s">
        <v>1554</v>
      </c>
      <c r="F330" s="2" t="s">
        <v>1555</v>
      </c>
      <c r="G330" s="2" t="s">
        <v>1556</v>
      </c>
      <c r="H330" s="2" t="s">
        <v>1551</v>
      </c>
      <c r="I330" s="2" t="s">
        <v>1552</v>
      </c>
      <c r="J330" s="2" t="s">
        <v>801</v>
      </c>
      <c r="K330" s="2" t="s">
        <v>113</v>
      </c>
      <c r="L330" s="7">
        <v>45717.0</v>
      </c>
      <c r="M330" s="2" t="s">
        <v>154</v>
      </c>
      <c r="N330" s="2" t="s">
        <v>26</v>
      </c>
      <c r="O330" s="2" t="s">
        <v>200</v>
      </c>
      <c r="P330" s="2" t="s">
        <v>36</v>
      </c>
    </row>
    <row r="331" ht="14.25" customHeight="1">
      <c r="A331" s="6">
        <v>1.8815677E7</v>
      </c>
      <c r="B331" s="2" t="s">
        <v>1557</v>
      </c>
      <c r="C331" s="2" t="s">
        <v>107</v>
      </c>
      <c r="D331" s="2" t="s">
        <v>18</v>
      </c>
      <c r="E331" s="2" t="s">
        <v>1558</v>
      </c>
      <c r="F331" s="2" t="s">
        <v>1559</v>
      </c>
      <c r="G331" s="2" t="s">
        <v>1560</v>
      </c>
      <c r="H331" s="2" t="s">
        <v>1551</v>
      </c>
      <c r="I331" s="2" t="s">
        <v>1552</v>
      </c>
      <c r="J331" s="2" t="s">
        <v>801</v>
      </c>
      <c r="K331" s="2" t="s">
        <v>113</v>
      </c>
      <c r="L331" s="7">
        <v>45719.0</v>
      </c>
      <c r="M331" s="2" t="s">
        <v>154</v>
      </c>
      <c r="N331" s="2" t="s">
        <v>26</v>
      </c>
      <c r="O331" s="2" t="s">
        <v>27</v>
      </c>
      <c r="P331" s="2" t="s">
        <v>36</v>
      </c>
    </row>
    <row r="332" ht="14.25" customHeight="1">
      <c r="A332" s="6">
        <v>1.6357301E7</v>
      </c>
      <c r="B332" s="2" t="s">
        <v>1561</v>
      </c>
      <c r="C332" s="2" t="s">
        <v>107</v>
      </c>
      <c r="D332" s="2" t="s">
        <v>88</v>
      </c>
      <c r="E332" s="2" t="s">
        <v>1562</v>
      </c>
      <c r="F332" s="2" t="s">
        <v>1563</v>
      </c>
      <c r="G332" s="2" t="s">
        <v>1564</v>
      </c>
      <c r="H332" s="2" t="s">
        <v>1565</v>
      </c>
      <c r="I332" s="2" t="s">
        <v>1541</v>
      </c>
      <c r="J332" s="2" t="s">
        <v>267</v>
      </c>
      <c r="K332" s="2" t="s">
        <v>113</v>
      </c>
      <c r="L332" s="7">
        <v>45341.0</v>
      </c>
      <c r="M332" s="2" t="s">
        <v>154</v>
      </c>
      <c r="N332" s="2" t="s">
        <v>186</v>
      </c>
      <c r="O332" s="2" t="s">
        <v>116</v>
      </c>
      <c r="P332" s="2" t="s">
        <v>36</v>
      </c>
    </row>
    <row r="333" ht="14.25" customHeight="1">
      <c r="A333" s="8">
        <v>1.8405557E7</v>
      </c>
      <c r="B333" s="9" t="s">
        <v>1566</v>
      </c>
      <c r="C333" s="9" t="s">
        <v>107</v>
      </c>
      <c r="D333" s="9" t="s">
        <v>88</v>
      </c>
      <c r="E333" s="9" t="s">
        <v>1567</v>
      </c>
      <c r="F333" s="9" t="s">
        <v>1568</v>
      </c>
      <c r="G333" s="9" t="s">
        <v>1569</v>
      </c>
      <c r="H333" s="9" t="s">
        <v>1570</v>
      </c>
      <c r="I333" s="9" t="s">
        <v>1014</v>
      </c>
      <c r="J333" s="9" t="s">
        <v>23</v>
      </c>
      <c r="K333" s="9" t="s">
        <v>113</v>
      </c>
      <c r="L333" s="10">
        <v>45384.0</v>
      </c>
      <c r="M333" s="9" t="s">
        <v>154</v>
      </c>
      <c r="N333" s="9" t="s">
        <v>26</v>
      </c>
      <c r="O333" s="9" t="s">
        <v>200</v>
      </c>
      <c r="P333" s="9" t="s">
        <v>36</v>
      </c>
    </row>
    <row r="334" ht="14.25" customHeight="1">
      <c r="A334" s="8">
        <v>1.6379462E7</v>
      </c>
      <c r="B334" s="9" t="s">
        <v>1571</v>
      </c>
      <c r="C334" s="9" t="s">
        <v>107</v>
      </c>
      <c r="D334" s="9" t="s">
        <v>18</v>
      </c>
      <c r="E334" s="9" t="s">
        <v>1572</v>
      </c>
      <c r="F334" s="9" t="s">
        <v>1573</v>
      </c>
      <c r="G334" s="9" t="s">
        <v>1574</v>
      </c>
      <c r="H334" s="9" t="s">
        <v>1570</v>
      </c>
      <c r="I334" s="9" t="s">
        <v>1014</v>
      </c>
      <c r="J334" s="9" t="s">
        <v>458</v>
      </c>
      <c r="K334" s="9" t="s">
        <v>113</v>
      </c>
      <c r="L334" s="10">
        <v>45817.0</v>
      </c>
      <c r="M334" s="9" t="s">
        <v>154</v>
      </c>
      <c r="N334" s="9" t="s">
        <v>26</v>
      </c>
      <c r="O334" s="9" t="s">
        <v>200</v>
      </c>
      <c r="P334" s="9" t="s">
        <v>36</v>
      </c>
    </row>
    <row r="335" ht="14.25" customHeight="1">
      <c r="A335" s="6">
        <v>2.0164837E7</v>
      </c>
      <c r="B335" s="2" t="s">
        <v>1575</v>
      </c>
      <c r="C335" s="2" t="s">
        <v>107</v>
      </c>
      <c r="D335" s="2" t="s">
        <v>18</v>
      </c>
      <c r="E335" s="2" t="s">
        <v>1576</v>
      </c>
      <c r="F335" s="2" t="s">
        <v>1577</v>
      </c>
      <c r="G335" s="2" t="s">
        <v>1578</v>
      </c>
      <c r="H335" s="2" t="s">
        <v>1579</v>
      </c>
      <c r="I335" s="2" t="s">
        <v>1580</v>
      </c>
      <c r="J335" s="2" t="s">
        <v>1581</v>
      </c>
      <c r="K335" s="2" t="s">
        <v>113</v>
      </c>
      <c r="L335" s="7">
        <v>45670.0</v>
      </c>
      <c r="M335" s="2" t="s">
        <v>154</v>
      </c>
      <c r="N335" s="2" t="s">
        <v>216</v>
      </c>
      <c r="O335" s="2" t="s">
        <v>116</v>
      </c>
      <c r="P335" s="2" t="s">
        <v>36</v>
      </c>
    </row>
    <row r="336" ht="14.25" customHeight="1">
      <c r="A336" s="6">
        <v>2.0429429E7</v>
      </c>
      <c r="B336" s="2" t="s">
        <v>1582</v>
      </c>
      <c r="C336" s="2" t="s">
        <v>107</v>
      </c>
      <c r="D336" s="2" t="s">
        <v>18</v>
      </c>
      <c r="E336" s="2" t="s">
        <v>1583</v>
      </c>
      <c r="F336" s="2" t="s">
        <v>1584</v>
      </c>
      <c r="G336" s="2" t="s">
        <v>1585</v>
      </c>
      <c r="H336" s="2" t="s">
        <v>1586</v>
      </c>
      <c r="I336" s="2" t="s">
        <v>1580</v>
      </c>
      <c r="J336" s="2" t="s">
        <v>1581</v>
      </c>
      <c r="K336" s="2" t="s">
        <v>113</v>
      </c>
      <c r="L336" s="7">
        <v>45748.0</v>
      </c>
      <c r="M336" s="2" t="s">
        <v>154</v>
      </c>
      <c r="N336" s="2" t="s">
        <v>216</v>
      </c>
      <c r="O336" s="2" t="s">
        <v>116</v>
      </c>
      <c r="P336" s="2" t="s">
        <v>36</v>
      </c>
    </row>
    <row r="337" ht="14.25" customHeight="1">
      <c r="A337" s="6">
        <v>9764366.0</v>
      </c>
      <c r="B337" s="2" t="s">
        <v>1587</v>
      </c>
      <c r="C337" s="2" t="s">
        <v>107</v>
      </c>
      <c r="D337" s="2" t="s">
        <v>88</v>
      </c>
      <c r="E337" s="2" t="s">
        <v>1588</v>
      </c>
      <c r="F337" s="2" t="s">
        <v>1589</v>
      </c>
      <c r="G337" s="2" t="s">
        <v>1590</v>
      </c>
      <c r="H337" s="2" t="s">
        <v>1591</v>
      </c>
      <c r="I337" s="2" t="s">
        <v>1592</v>
      </c>
      <c r="J337" s="2" t="s">
        <v>1581</v>
      </c>
      <c r="K337" s="2" t="s">
        <v>113</v>
      </c>
      <c r="L337" s="7">
        <v>40513.0</v>
      </c>
      <c r="M337" s="2" t="s">
        <v>154</v>
      </c>
      <c r="N337" s="2" t="s">
        <v>216</v>
      </c>
      <c r="O337" s="2" t="s">
        <v>116</v>
      </c>
      <c r="P337" s="2" t="s">
        <v>36</v>
      </c>
    </row>
    <row r="338" ht="14.25" customHeight="1">
      <c r="A338" s="6">
        <v>1.9061386E7</v>
      </c>
      <c r="B338" s="2" t="s">
        <v>1593</v>
      </c>
      <c r="C338" s="2" t="s">
        <v>107</v>
      </c>
      <c r="D338" s="2" t="s">
        <v>18</v>
      </c>
      <c r="E338" s="2" t="s">
        <v>1594</v>
      </c>
      <c r="F338" s="2" t="s">
        <v>1595</v>
      </c>
      <c r="G338" s="2" t="s">
        <v>1596</v>
      </c>
      <c r="H338" s="2" t="s">
        <v>1597</v>
      </c>
      <c r="I338" s="2" t="s">
        <v>1598</v>
      </c>
      <c r="J338" s="2" t="s">
        <v>413</v>
      </c>
      <c r="K338" s="2" t="s">
        <v>113</v>
      </c>
      <c r="L338" s="7">
        <v>45761.0</v>
      </c>
      <c r="M338" s="2" t="s">
        <v>154</v>
      </c>
      <c r="N338" s="2" t="s">
        <v>161</v>
      </c>
      <c r="O338" s="2" t="s">
        <v>162</v>
      </c>
      <c r="P338" s="2" t="s">
        <v>36</v>
      </c>
    </row>
    <row r="339" ht="14.25" customHeight="1">
      <c r="A339" s="6">
        <v>1.9255201E7</v>
      </c>
      <c r="B339" s="2" t="s">
        <v>1599</v>
      </c>
      <c r="C339" s="2" t="s">
        <v>17</v>
      </c>
      <c r="D339" s="2" t="s">
        <v>18</v>
      </c>
      <c r="E339" s="2" t="s">
        <v>1600</v>
      </c>
      <c r="F339" s="2" t="s">
        <v>1601</v>
      </c>
      <c r="G339" s="2" t="s">
        <v>1602</v>
      </c>
      <c r="H339" s="2" t="s">
        <v>1597</v>
      </c>
      <c r="I339" s="2" t="s">
        <v>1603</v>
      </c>
      <c r="J339" s="2" t="s">
        <v>413</v>
      </c>
      <c r="K339" s="2" t="s">
        <v>113</v>
      </c>
      <c r="L339" s="7">
        <v>45444.0</v>
      </c>
      <c r="M339" s="2" t="s">
        <v>25</v>
      </c>
      <c r="N339" s="2" t="s">
        <v>161</v>
      </c>
      <c r="O339" s="2" t="s">
        <v>27</v>
      </c>
      <c r="P339" s="2" t="s">
        <v>36</v>
      </c>
    </row>
    <row r="340" ht="14.25" customHeight="1">
      <c r="A340" s="6">
        <v>1.2208031E7</v>
      </c>
      <c r="B340" s="2" t="s">
        <v>1604</v>
      </c>
      <c r="C340" s="2" t="s">
        <v>17</v>
      </c>
      <c r="D340" s="2" t="s">
        <v>18</v>
      </c>
      <c r="E340" s="2" t="s">
        <v>1605</v>
      </c>
      <c r="F340" s="2" t="s">
        <v>1606</v>
      </c>
      <c r="G340" s="2" t="s">
        <v>1607</v>
      </c>
      <c r="H340" s="2" t="s">
        <v>1608</v>
      </c>
      <c r="I340" s="2" t="s">
        <v>285</v>
      </c>
      <c r="J340" s="2" t="s">
        <v>62</v>
      </c>
      <c r="K340" s="2" t="s">
        <v>113</v>
      </c>
      <c r="L340" s="7">
        <v>43111.0</v>
      </c>
      <c r="M340" s="2" t="s">
        <v>25</v>
      </c>
      <c r="N340" s="2" t="s">
        <v>35</v>
      </c>
      <c r="O340" s="2" t="s">
        <v>27</v>
      </c>
      <c r="P340" s="2" t="s">
        <v>36</v>
      </c>
    </row>
    <row r="341" ht="14.25" customHeight="1">
      <c r="A341" s="6">
        <v>2.6379212E7</v>
      </c>
      <c r="B341" s="2" t="s">
        <v>1609</v>
      </c>
      <c r="C341" s="2" t="s">
        <v>107</v>
      </c>
      <c r="D341" s="2" t="s">
        <v>18</v>
      </c>
      <c r="E341" s="2" t="s">
        <v>1610</v>
      </c>
      <c r="F341" s="2" t="s">
        <v>1611</v>
      </c>
      <c r="G341" s="2" t="s">
        <v>1612</v>
      </c>
      <c r="H341" s="2" t="s">
        <v>1613</v>
      </c>
      <c r="I341" s="2" t="s">
        <v>941</v>
      </c>
      <c r="J341" s="2" t="s">
        <v>801</v>
      </c>
      <c r="K341" s="2" t="s">
        <v>113</v>
      </c>
      <c r="L341" s="7">
        <v>45649.0</v>
      </c>
      <c r="M341" s="2" t="s">
        <v>154</v>
      </c>
      <c r="N341" s="2" t="s">
        <v>26</v>
      </c>
      <c r="O341" s="2" t="s">
        <v>27</v>
      </c>
      <c r="P341" s="2" t="s">
        <v>36</v>
      </c>
    </row>
    <row r="342" ht="14.25" customHeight="1">
      <c r="A342" s="6">
        <v>1.7617303E7</v>
      </c>
      <c r="B342" s="2" t="s">
        <v>1614</v>
      </c>
      <c r="C342" s="2" t="s">
        <v>17</v>
      </c>
      <c r="D342" s="2" t="s">
        <v>18</v>
      </c>
      <c r="E342" s="2" t="s">
        <v>1615</v>
      </c>
      <c r="F342" s="2" t="s">
        <v>1616</v>
      </c>
      <c r="G342" s="2" t="s">
        <v>1617</v>
      </c>
      <c r="H342" s="2" t="s">
        <v>1618</v>
      </c>
      <c r="I342" s="2" t="s">
        <v>1619</v>
      </c>
      <c r="J342" s="2" t="s">
        <v>62</v>
      </c>
      <c r="K342" s="2" t="s">
        <v>24</v>
      </c>
      <c r="L342" s="7">
        <v>45887.0</v>
      </c>
      <c r="M342" s="2" t="s">
        <v>25</v>
      </c>
      <c r="N342" s="2" t="s">
        <v>35</v>
      </c>
      <c r="O342" s="2" t="s">
        <v>27</v>
      </c>
      <c r="P342" s="2" t="s">
        <v>36</v>
      </c>
    </row>
    <row r="343" ht="14.25" customHeight="1">
      <c r="A343" s="6">
        <v>1.5212679E7</v>
      </c>
      <c r="B343" s="2" t="s">
        <v>1620</v>
      </c>
      <c r="C343" s="2" t="s">
        <v>17</v>
      </c>
      <c r="D343" s="2" t="s">
        <v>18</v>
      </c>
      <c r="E343" s="2" t="s">
        <v>1621</v>
      </c>
      <c r="F343" s="2" t="s">
        <v>1622</v>
      </c>
      <c r="G343" s="2" t="s">
        <v>1623</v>
      </c>
      <c r="H343" s="2" t="s">
        <v>1624</v>
      </c>
      <c r="I343" s="2" t="s">
        <v>1187</v>
      </c>
      <c r="J343" s="2" t="s">
        <v>34</v>
      </c>
      <c r="K343" s="2" t="s">
        <v>113</v>
      </c>
      <c r="L343" s="7">
        <v>45319.0</v>
      </c>
      <c r="M343" s="2" t="s">
        <v>25</v>
      </c>
      <c r="N343" s="2" t="s">
        <v>35</v>
      </c>
      <c r="O343" s="2" t="s">
        <v>27</v>
      </c>
      <c r="P343" s="2" t="s">
        <v>36</v>
      </c>
    </row>
    <row r="344" ht="14.25" customHeight="1">
      <c r="A344" s="6">
        <v>1.7700077E7</v>
      </c>
      <c r="B344" s="2" t="s">
        <v>1625</v>
      </c>
      <c r="C344" s="2" t="s">
        <v>17</v>
      </c>
      <c r="D344" s="2" t="s">
        <v>18</v>
      </c>
      <c r="E344" s="2" t="s">
        <v>1626</v>
      </c>
      <c r="F344" s="2" t="s">
        <v>1627</v>
      </c>
      <c r="G344" s="2" t="s">
        <v>1628</v>
      </c>
      <c r="H344" s="2" t="s">
        <v>1629</v>
      </c>
      <c r="I344" s="2" t="s">
        <v>1187</v>
      </c>
      <c r="J344" s="2" t="s">
        <v>34</v>
      </c>
      <c r="K344" s="2" t="s">
        <v>113</v>
      </c>
      <c r="L344" s="7">
        <v>45176.0</v>
      </c>
      <c r="M344" s="2" t="s">
        <v>25</v>
      </c>
      <c r="N344" s="2" t="s">
        <v>35</v>
      </c>
      <c r="O344" s="2" t="s">
        <v>27</v>
      </c>
      <c r="P344" s="2" t="s">
        <v>36</v>
      </c>
    </row>
    <row r="345" ht="14.25" customHeight="1">
      <c r="A345" s="6">
        <v>1.8821156E7</v>
      </c>
      <c r="B345" s="2" t="s">
        <v>1630</v>
      </c>
      <c r="C345" s="2" t="s">
        <v>17</v>
      </c>
      <c r="D345" s="2" t="s">
        <v>18</v>
      </c>
      <c r="E345" s="2" t="s">
        <v>1631</v>
      </c>
      <c r="F345" s="2" t="s">
        <v>1632</v>
      </c>
      <c r="G345" s="2" t="s">
        <v>1633</v>
      </c>
      <c r="H345" s="2" t="s">
        <v>1634</v>
      </c>
      <c r="I345" s="2" t="s">
        <v>1193</v>
      </c>
      <c r="J345" s="2" t="s">
        <v>420</v>
      </c>
      <c r="K345" s="2" t="s">
        <v>113</v>
      </c>
      <c r="L345" s="7">
        <v>45278.0</v>
      </c>
      <c r="M345" s="2" t="s">
        <v>25</v>
      </c>
      <c r="N345" s="2" t="s">
        <v>208</v>
      </c>
      <c r="O345" s="2" t="s">
        <v>27</v>
      </c>
      <c r="P345" s="2" t="s">
        <v>36</v>
      </c>
    </row>
    <row r="346" ht="14.25" customHeight="1">
      <c r="A346" s="6">
        <v>1.1984839E7</v>
      </c>
      <c r="B346" s="2" t="s">
        <v>1635</v>
      </c>
      <c r="C346" s="2" t="s">
        <v>17</v>
      </c>
      <c r="D346" s="2" t="s">
        <v>18</v>
      </c>
      <c r="E346" s="2" t="s">
        <v>1636</v>
      </c>
      <c r="F346" s="2" t="s">
        <v>1637</v>
      </c>
      <c r="G346" s="2" t="s">
        <v>1638</v>
      </c>
      <c r="H346" s="2" t="s">
        <v>1639</v>
      </c>
      <c r="I346" s="2" t="s">
        <v>33</v>
      </c>
      <c r="J346" s="2" t="s">
        <v>34</v>
      </c>
      <c r="K346" s="2" t="s">
        <v>113</v>
      </c>
      <c r="L346" s="7">
        <v>40513.0</v>
      </c>
      <c r="M346" s="2" t="s">
        <v>25</v>
      </c>
      <c r="N346" s="2" t="s">
        <v>35</v>
      </c>
      <c r="O346" s="2" t="s">
        <v>27</v>
      </c>
      <c r="P346" s="2" t="s">
        <v>36</v>
      </c>
    </row>
    <row r="347" ht="14.25" customHeight="1">
      <c r="A347" s="6">
        <v>1.6938986E7</v>
      </c>
      <c r="B347" s="2" t="s">
        <v>1640</v>
      </c>
      <c r="C347" s="2" t="s">
        <v>107</v>
      </c>
      <c r="D347" s="2" t="s">
        <v>18</v>
      </c>
      <c r="E347" s="2" t="s">
        <v>1641</v>
      </c>
      <c r="F347" s="2" t="s">
        <v>1642</v>
      </c>
      <c r="G347" s="2" t="s">
        <v>1643</v>
      </c>
      <c r="H347" s="2" t="s">
        <v>1644</v>
      </c>
      <c r="I347" s="2" t="s">
        <v>959</v>
      </c>
      <c r="J347" s="2" t="s">
        <v>559</v>
      </c>
      <c r="K347" s="2" t="s">
        <v>113</v>
      </c>
      <c r="L347" s="7">
        <v>45621.0</v>
      </c>
      <c r="M347" s="2" t="s">
        <v>154</v>
      </c>
      <c r="N347" s="2" t="s">
        <v>26</v>
      </c>
      <c r="O347" s="2" t="s">
        <v>162</v>
      </c>
      <c r="P347" s="2" t="s">
        <v>36</v>
      </c>
    </row>
    <row r="348" ht="14.25" customHeight="1">
      <c r="A348" s="6">
        <v>1.8808219E7</v>
      </c>
      <c r="B348" s="2" t="s">
        <v>1645</v>
      </c>
      <c r="C348" s="2" t="s">
        <v>107</v>
      </c>
      <c r="D348" s="2" t="s">
        <v>88</v>
      </c>
      <c r="E348" s="2" t="s">
        <v>1646</v>
      </c>
      <c r="F348" s="2" t="s">
        <v>1647</v>
      </c>
      <c r="G348" s="2" t="s">
        <v>1648</v>
      </c>
      <c r="H348" s="2" t="s">
        <v>1649</v>
      </c>
      <c r="I348" s="2" t="s">
        <v>1650</v>
      </c>
      <c r="J348" s="2" t="s">
        <v>559</v>
      </c>
      <c r="K348" s="2" t="s">
        <v>113</v>
      </c>
      <c r="L348" s="7">
        <v>44502.0</v>
      </c>
      <c r="M348" s="2" t="s">
        <v>154</v>
      </c>
      <c r="N348" s="2" t="s">
        <v>26</v>
      </c>
      <c r="O348" s="2" t="s">
        <v>27</v>
      </c>
      <c r="P348" s="2" t="s">
        <v>36</v>
      </c>
    </row>
    <row r="349" ht="14.25" customHeight="1">
      <c r="A349" s="6">
        <v>1.9334343E7</v>
      </c>
      <c r="B349" s="2" t="s">
        <v>1651</v>
      </c>
      <c r="C349" s="2" t="s">
        <v>107</v>
      </c>
      <c r="D349" s="2" t="s">
        <v>88</v>
      </c>
      <c r="E349" s="2" t="s">
        <v>1652</v>
      </c>
      <c r="F349" s="2" t="s">
        <v>1653</v>
      </c>
      <c r="G349" s="2" t="s">
        <v>1654</v>
      </c>
      <c r="H349" s="2" t="s">
        <v>1649</v>
      </c>
      <c r="I349" s="2" t="s">
        <v>1650</v>
      </c>
      <c r="J349" s="2" t="s">
        <v>559</v>
      </c>
      <c r="K349" s="2" t="s">
        <v>113</v>
      </c>
      <c r="L349" s="7">
        <v>44907.0</v>
      </c>
      <c r="M349" s="2" t="s">
        <v>154</v>
      </c>
      <c r="N349" s="2" t="s">
        <v>26</v>
      </c>
      <c r="O349" s="2" t="s">
        <v>200</v>
      </c>
      <c r="P349" s="2" t="s">
        <v>36</v>
      </c>
    </row>
    <row r="350" ht="14.25" customHeight="1">
      <c r="A350" s="6">
        <v>1.95784E7</v>
      </c>
      <c r="B350" s="2" t="s">
        <v>1655</v>
      </c>
      <c r="C350" s="2" t="s">
        <v>107</v>
      </c>
      <c r="D350" s="2" t="s">
        <v>88</v>
      </c>
      <c r="E350" s="2" t="s">
        <v>1656</v>
      </c>
      <c r="F350" s="2" t="s">
        <v>1657</v>
      </c>
      <c r="G350" s="2" t="s">
        <v>1658</v>
      </c>
      <c r="H350" s="2" t="s">
        <v>1659</v>
      </c>
      <c r="I350" s="2" t="s">
        <v>1650</v>
      </c>
      <c r="J350" s="2" t="s">
        <v>559</v>
      </c>
      <c r="K350" s="2" t="s">
        <v>113</v>
      </c>
      <c r="L350" s="7">
        <v>45159.0</v>
      </c>
      <c r="M350" s="2" t="s">
        <v>154</v>
      </c>
      <c r="N350" s="2" t="s">
        <v>26</v>
      </c>
      <c r="O350" s="2" t="s">
        <v>200</v>
      </c>
      <c r="P350" s="2" t="s">
        <v>36</v>
      </c>
    </row>
    <row r="351" ht="14.25" customHeight="1">
      <c r="A351" s="6">
        <v>1.2067716E7</v>
      </c>
      <c r="B351" s="2" t="s">
        <v>1660</v>
      </c>
      <c r="C351" s="2" t="s">
        <v>17</v>
      </c>
      <c r="D351" s="2" t="s">
        <v>18</v>
      </c>
      <c r="E351" s="2" t="s">
        <v>1661</v>
      </c>
      <c r="F351" s="2" t="s">
        <v>1662</v>
      </c>
      <c r="G351" s="2" t="s">
        <v>1663</v>
      </c>
      <c r="H351" s="2" t="s">
        <v>1664</v>
      </c>
      <c r="I351" s="2" t="s">
        <v>1665</v>
      </c>
      <c r="J351" s="2" t="s">
        <v>34</v>
      </c>
      <c r="K351" s="2" t="s">
        <v>113</v>
      </c>
      <c r="L351" s="7">
        <v>43906.0</v>
      </c>
      <c r="M351" s="2" t="s">
        <v>25</v>
      </c>
      <c r="N351" s="2" t="s">
        <v>35</v>
      </c>
      <c r="O351" s="2" t="s">
        <v>27</v>
      </c>
      <c r="P351" s="2" t="s">
        <v>36</v>
      </c>
    </row>
    <row r="352" ht="14.25" customHeight="1">
      <c r="A352" s="6">
        <v>1.7574151E7</v>
      </c>
      <c r="B352" s="2" t="s">
        <v>1666</v>
      </c>
      <c r="C352" s="2" t="s">
        <v>17</v>
      </c>
      <c r="D352" s="2" t="s">
        <v>18</v>
      </c>
      <c r="E352" s="2" t="s">
        <v>1667</v>
      </c>
      <c r="F352" s="2" t="s">
        <v>1668</v>
      </c>
      <c r="G352" s="2" t="s">
        <v>1669</v>
      </c>
      <c r="H352" s="2" t="s">
        <v>1664</v>
      </c>
      <c r="I352" s="2" t="s">
        <v>1665</v>
      </c>
      <c r="J352" s="2" t="s">
        <v>34</v>
      </c>
      <c r="K352" s="2" t="s">
        <v>113</v>
      </c>
      <c r="L352" s="7">
        <v>45017.0</v>
      </c>
      <c r="M352" s="2" t="s">
        <v>25</v>
      </c>
      <c r="N352" s="2" t="s">
        <v>35</v>
      </c>
      <c r="O352" s="2" t="s">
        <v>27</v>
      </c>
      <c r="P352" s="2" t="s">
        <v>36</v>
      </c>
    </row>
    <row r="353" ht="14.25" customHeight="1">
      <c r="A353" s="6">
        <v>9137494.0</v>
      </c>
      <c r="B353" s="2" t="s">
        <v>1670</v>
      </c>
      <c r="C353" s="2" t="s">
        <v>17</v>
      </c>
      <c r="D353" s="2" t="s">
        <v>18</v>
      </c>
      <c r="E353" s="2" t="s">
        <v>1671</v>
      </c>
      <c r="F353" s="2" t="s">
        <v>1672</v>
      </c>
      <c r="G353" s="2" t="s">
        <v>1673</v>
      </c>
      <c r="H353" s="2" t="s">
        <v>1664</v>
      </c>
      <c r="I353" s="2" t="s">
        <v>1674</v>
      </c>
      <c r="J353" s="2" t="s">
        <v>34</v>
      </c>
      <c r="K353" s="2" t="s">
        <v>113</v>
      </c>
      <c r="L353" s="7">
        <v>42675.0</v>
      </c>
      <c r="M353" s="2" t="s">
        <v>25</v>
      </c>
      <c r="N353" s="2" t="s">
        <v>35</v>
      </c>
      <c r="O353" s="2" t="s">
        <v>27</v>
      </c>
      <c r="P353" s="2" t="s">
        <v>36</v>
      </c>
    </row>
    <row r="354" ht="14.25" customHeight="1">
      <c r="A354" s="6">
        <v>1.4208E7</v>
      </c>
      <c r="B354" s="2" t="s">
        <v>1675</v>
      </c>
      <c r="C354" s="2" t="s">
        <v>17</v>
      </c>
      <c r="D354" s="2" t="s">
        <v>18</v>
      </c>
      <c r="E354" s="2" t="s">
        <v>1676</v>
      </c>
      <c r="F354" s="2" t="s">
        <v>1677</v>
      </c>
      <c r="G354" s="2" t="s">
        <v>1678</v>
      </c>
      <c r="H354" s="2" t="s">
        <v>1664</v>
      </c>
      <c r="I354" s="2" t="s">
        <v>1674</v>
      </c>
      <c r="J354" s="2" t="s">
        <v>34</v>
      </c>
      <c r="K354" s="2" t="s">
        <v>113</v>
      </c>
      <c r="L354" s="7">
        <v>45390.0</v>
      </c>
      <c r="M354" s="2" t="s">
        <v>25</v>
      </c>
      <c r="N354" s="2" t="s">
        <v>35</v>
      </c>
      <c r="O354" s="2" t="s">
        <v>27</v>
      </c>
      <c r="P354" s="2" t="s">
        <v>36</v>
      </c>
    </row>
    <row r="355" ht="14.25" customHeight="1">
      <c r="A355" s="6">
        <v>1.3729746E7</v>
      </c>
      <c r="B355" s="2" t="s">
        <v>1679</v>
      </c>
      <c r="C355" s="2" t="s">
        <v>17</v>
      </c>
      <c r="D355" s="2" t="s">
        <v>18</v>
      </c>
      <c r="E355" s="2" t="s">
        <v>1680</v>
      </c>
      <c r="F355" s="2" t="s">
        <v>1681</v>
      </c>
      <c r="G355" s="2" t="s">
        <v>1682</v>
      </c>
      <c r="H355" s="2" t="s">
        <v>1683</v>
      </c>
      <c r="I355" s="2" t="s">
        <v>33</v>
      </c>
      <c r="J355" s="2" t="s">
        <v>34</v>
      </c>
      <c r="K355" s="2" t="s">
        <v>113</v>
      </c>
      <c r="L355" s="7">
        <v>44525.0</v>
      </c>
      <c r="M355" s="2" t="s">
        <v>312</v>
      </c>
      <c r="N355" s="2" t="s">
        <v>35</v>
      </c>
      <c r="O355" s="2" t="s">
        <v>312</v>
      </c>
      <c r="P355" s="2" t="s">
        <v>36</v>
      </c>
    </row>
    <row r="356" ht="14.25" customHeight="1">
      <c r="A356" s="6">
        <v>2.0599606E7</v>
      </c>
      <c r="B356" s="2" t="s">
        <v>1684</v>
      </c>
      <c r="C356" s="2" t="s">
        <v>17</v>
      </c>
      <c r="D356" s="2" t="s">
        <v>18</v>
      </c>
      <c r="E356" s="2" t="s">
        <v>1685</v>
      </c>
      <c r="F356" s="2" t="s">
        <v>1685</v>
      </c>
      <c r="G356" s="2" t="s">
        <v>1686</v>
      </c>
      <c r="H356" s="2" t="s">
        <v>1687</v>
      </c>
      <c r="I356" s="2" t="s">
        <v>1688</v>
      </c>
      <c r="J356" s="2" t="s">
        <v>47</v>
      </c>
      <c r="K356" s="2" t="s">
        <v>113</v>
      </c>
      <c r="L356" s="7">
        <v>45749.0</v>
      </c>
      <c r="M356" s="2" t="s">
        <v>312</v>
      </c>
      <c r="N356" s="2" t="s">
        <v>35</v>
      </c>
      <c r="O356" s="2" t="s">
        <v>312</v>
      </c>
      <c r="P356" s="2" t="s">
        <v>36</v>
      </c>
    </row>
    <row r="357" ht="14.25" customHeight="1">
      <c r="A357" s="6">
        <v>1.8318082E7</v>
      </c>
      <c r="B357" s="2" t="s">
        <v>1689</v>
      </c>
      <c r="C357" s="2" t="s">
        <v>17</v>
      </c>
      <c r="D357" s="2" t="s">
        <v>18</v>
      </c>
      <c r="E357" s="2" t="s">
        <v>1690</v>
      </c>
      <c r="F357" s="2" t="s">
        <v>1690</v>
      </c>
      <c r="G357" s="2" t="s">
        <v>1691</v>
      </c>
      <c r="H357" s="2" t="s">
        <v>1687</v>
      </c>
      <c r="I357" s="2" t="s">
        <v>1688</v>
      </c>
      <c r="J357" s="2" t="s">
        <v>47</v>
      </c>
      <c r="K357" s="2" t="s">
        <v>113</v>
      </c>
      <c r="L357" s="7">
        <v>44867.0</v>
      </c>
      <c r="M357" s="2" t="s">
        <v>312</v>
      </c>
      <c r="N357" s="2" t="s">
        <v>35</v>
      </c>
      <c r="O357" s="2" t="s">
        <v>312</v>
      </c>
      <c r="P357" s="2" t="s">
        <v>36</v>
      </c>
    </row>
    <row r="358" ht="14.25" customHeight="1">
      <c r="A358" s="6">
        <v>1.9969275E7</v>
      </c>
      <c r="B358" s="2" t="s">
        <v>1692</v>
      </c>
      <c r="C358" s="2" t="s">
        <v>17</v>
      </c>
      <c r="D358" s="2" t="s">
        <v>18</v>
      </c>
      <c r="E358" s="2" t="s">
        <v>1693</v>
      </c>
      <c r="F358" s="2" t="s">
        <v>1693</v>
      </c>
      <c r="G358" s="2" t="s">
        <v>1694</v>
      </c>
      <c r="H358" s="2" t="s">
        <v>1687</v>
      </c>
      <c r="I358" s="2" t="s">
        <v>1688</v>
      </c>
      <c r="J358" s="2" t="s">
        <v>47</v>
      </c>
      <c r="K358" s="2" t="s">
        <v>113</v>
      </c>
      <c r="L358" s="7">
        <v>45232.0</v>
      </c>
      <c r="M358" s="2" t="s">
        <v>312</v>
      </c>
      <c r="N358" s="2" t="s">
        <v>35</v>
      </c>
      <c r="O358" s="2" t="s">
        <v>312</v>
      </c>
      <c r="P358" s="2" t="s">
        <v>36</v>
      </c>
    </row>
    <row r="359" ht="14.25" customHeight="1">
      <c r="A359" s="6">
        <v>1.7721943E7</v>
      </c>
      <c r="B359" s="2" t="s">
        <v>1695</v>
      </c>
      <c r="C359" s="2" t="s">
        <v>17</v>
      </c>
      <c r="D359" s="2" t="s">
        <v>18</v>
      </c>
      <c r="E359" s="2" t="s">
        <v>1696</v>
      </c>
      <c r="F359" s="2" t="s">
        <v>1696</v>
      </c>
      <c r="G359" s="2" t="s">
        <v>1697</v>
      </c>
      <c r="H359" s="2" t="s">
        <v>1687</v>
      </c>
      <c r="I359" s="2" t="s">
        <v>1688</v>
      </c>
      <c r="J359" s="2" t="s">
        <v>47</v>
      </c>
      <c r="K359" s="2" t="s">
        <v>24</v>
      </c>
      <c r="L359" s="7">
        <v>45950.0</v>
      </c>
      <c r="M359" s="2" t="s">
        <v>312</v>
      </c>
      <c r="N359" s="2" t="s">
        <v>35</v>
      </c>
      <c r="O359" s="2" t="s">
        <v>312</v>
      </c>
      <c r="P359" s="2" t="s">
        <v>28</v>
      </c>
    </row>
    <row r="360" ht="14.25" customHeight="1">
      <c r="A360" s="6">
        <v>1.6157293E7</v>
      </c>
      <c r="B360" s="2" t="s">
        <v>1698</v>
      </c>
      <c r="C360" s="2" t="s">
        <v>17</v>
      </c>
      <c r="D360" s="2" t="s">
        <v>18</v>
      </c>
      <c r="E360" s="2" t="s">
        <v>1699</v>
      </c>
      <c r="F360" s="2" t="s">
        <v>1700</v>
      </c>
      <c r="G360" s="2" t="s">
        <v>1701</v>
      </c>
      <c r="H360" s="2" t="s">
        <v>1702</v>
      </c>
      <c r="I360" s="2" t="s">
        <v>1703</v>
      </c>
      <c r="J360" s="2" t="s">
        <v>34</v>
      </c>
      <c r="K360" s="2" t="s">
        <v>630</v>
      </c>
      <c r="L360" s="7">
        <v>45017.0</v>
      </c>
      <c r="M360" s="2" t="s">
        <v>25</v>
      </c>
      <c r="N360" s="2" t="s">
        <v>35</v>
      </c>
      <c r="O360" s="2" t="s">
        <v>27</v>
      </c>
      <c r="P360" s="2" t="s">
        <v>194</v>
      </c>
    </row>
    <row r="361" ht="14.25" customHeight="1">
      <c r="A361" s="6">
        <v>1.7320436E7</v>
      </c>
      <c r="B361" s="2" t="s">
        <v>1704</v>
      </c>
      <c r="C361" s="2" t="s">
        <v>17</v>
      </c>
      <c r="D361" s="2" t="s">
        <v>18</v>
      </c>
      <c r="E361" s="2" t="s">
        <v>1705</v>
      </c>
      <c r="F361" s="2" t="s">
        <v>1706</v>
      </c>
      <c r="G361" s="2" t="s">
        <v>1707</v>
      </c>
      <c r="H361" s="2" t="s">
        <v>1702</v>
      </c>
      <c r="I361" s="2" t="s">
        <v>1187</v>
      </c>
      <c r="J361" s="2" t="s">
        <v>34</v>
      </c>
      <c r="K361" s="2" t="s">
        <v>630</v>
      </c>
      <c r="L361" s="7">
        <v>45013.0</v>
      </c>
      <c r="M361" s="2" t="s">
        <v>25</v>
      </c>
      <c r="N361" s="2" t="s">
        <v>35</v>
      </c>
      <c r="O361" s="2" t="s">
        <v>27</v>
      </c>
      <c r="P361" s="2" t="s">
        <v>194</v>
      </c>
    </row>
    <row r="362" ht="14.25" customHeight="1">
      <c r="A362" s="6">
        <v>1.8137174E7</v>
      </c>
      <c r="B362" s="2" t="s">
        <v>1708</v>
      </c>
      <c r="C362" s="2" t="s">
        <v>17</v>
      </c>
      <c r="D362" s="2" t="s">
        <v>18</v>
      </c>
      <c r="E362" s="2" t="s">
        <v>1709</v>
      </c>
      <c r="F362" s="2" t="s">
        <v>1710</v>
      </c>
      <c r="G362" s="2" t="s">
        <v>1711</v>
      </c>
      <c r="H362" s="2" t="s">
        <v>1712</v>
      </c>
      <c r="I362" s="2" t="s">
        <v>214</v>
      </c>
      <c r="J362" s="2" t="s">
        <v>215</v>
      </c>
      <c r="K362" s="2" t="s">
        <v>113</v>
      </c>
      <c r="L362" s="7">
        <v>45145.0</v>
      </c>
      <c r="M362" s="2" t="s">
        <v>25</v>
      </c>
      <c r="N362" s="2" t="s">
        <v>216</v>
      </c>
      <c r="O362" s="2" t="s">
        <v>27</v>
      </c>
      <c r="P362" s="2" t="s">
        <v>36</v>
      </c>
    </row>
    <row r="363" ht="14.25" customHeight="1">
      <c r="A363" s="6">
        <v>9297787.0</v>
      </c>
      <c r="B363" s="2" t="s">
        <v>1713</v>
      </c>
      <c r="C363" s="2" t="s">
        <v>17</v>
      </c>
      <c r="D363" s="2" t="s">
        <v>18</v>
      </c>
      <c r="E363" s="2" t="s">
        <v>1714</v>
      </c>
      <c r="F363" s="2" t="s">
        <v>1715</v>
      </c>
      <c r="G363" s="2" t="s">
        <v>1716</v>
      </c>
      <c r="H363" s="2" t="s">
        <v>1712</v>
      </c>
      <c r="I363" s="2" t="s">
        <v>214</v>
      </c>
      <c r="J363" s="2" t="s">
        <v>215</v>
      </c>
      <c r="K363" s="2" t="s">
        <v>113</v>
      </c>
      <c r="L363" s="7">
        <v>42906.0</v>
      </c>
      <c r="M363" s="2" t="s">
        <v>25</v>
      </c>
      <c r="N363" s="2" t="s">
        <v>216</v>
      </c>
      <c r="O363" s="2" t="s">
        <v>27</v>
      </c>
      <c r="P363" s="2" t="s">
        <v>36</v>
      </c>
    </row>
    <row r="364" ht="14.25" customHeight="1">
      <c r="A364" s="6">
        <v>2.5595953E7</v>
      </c>
      <c r="B364" s="2" t="s">
        <v>1717</v>
      </c>
      <c r="C364" s="2" t="s">
        <v>17</v>
      </c>
      <c r="D364" s="2" t="s">
        <v>18</v>
      </c>
      <c r="E364" s="2" t="s">
        <v>1718</v>
      </c>
      <c r="F364" s="2" t="s">
        <v>1719</v>
      </c>
      <c r="G364" s="2" t="s">
        <v>1720</v>
      </c>
      <c r="H364" s="2" t="s">
        <v>1721</v>
      </c>
      <c r="I364" s="2" t="s">
        <v>1187</v>
      </c>
      <c r="J364" s="2" t="s">
        <v>34</v>
      </c>
      <c r="K364" s="2" t="s">
        <v>630</v>
      </c>
      <c r="L364" s="7">
        <v>45201.0</v>
      </c>
      <c r="M364" s="2" t="s">
        <v>25</v>
      </c>
      <c r="N364" s="2" t="s">
        <v>35</v>
      </c>
      <c r="O364" s="2" t="s">
        <v>27</v>
      </c>
      <c r="P364" s="2" t="s">
        <v>194</v>
      </c>
    </row>
    <row r="365" ht="14.25" customHeight="1">
      <c r="A365" s="6">
        <v>1.5153174E7</v>
      </c>
      <c r="B365" s="2" t="s">
        <v>1722</v>
      </c>
      <c r="C365" s="2" t="s">
        <v>17</v>
      </c>
      <c r="D365" s="2" t="s">
        <v>18</v>
      </c>
      <c r="E365" s="2" t="s">
        <v>1723</v>
      </c>
      <c r="F365" s="2" t="s">
        <v>1723</v>
      </c>
      <c r="G365" s="2" t="s">
        <v>1724</v>
      </c>
      <c r="H365" s="2" t="s">
        <v>1725</v>
      </c>
      <c r="I365" s="2" t="s">
        <v>1187</v>
      </c>
      <c r="J365" s="2" t="s">
        <v>34</v>
      </c>
      <c r="K365" s="2" t="s">
        <v>630</v>
      </c>
      <c r="L365" s="7">
        <v>45870.0</v>
      </c>
      <c r="M365" s="2" t="s">
        <v>25</v>
      </c>
      <c r="N365" s="2" t="s">
        <v>35</v>
      </c>
      <c r="O365" s="2" t="s">
        <v>27</v>
      </c>
      <c r="P365" s="2" t="s">
        <v>194</v>
      </c>
    </row>
    <row r="366" ht="14.25" customHeight="1">
      <c r="A366" s="6">
        <v>1.0019253E7</v>
      </c>
      <c r="B366" s="2" t="s">
        <v>1726</v>
      </c>
      <c r="C366" s="2" t="s">
        <v>17</v>
      </c>
      <c r="D366" s="2" t="s">
        <v>18</v>
      </c>
      <c r="E366" s="2" t="s">
        <v>1727</v>
      </c>
      <c r="F366" s="2" t="s">
        <v>1728</v>
      </c>
      <c r="G366" s="2" t="s">
        <v>1729</v>
      </c>
      <c r="H366" s="2" t="s">
        <v>1725</v>
      </c>
      <c r="I366" s="2" t="s">
        <v>1187</v>
      </c>
      <c r="J366" s="2" t="s">
        <v>34</v>
      </c>
      <c r="K366" s="2" t="s">
        <v>630</v>
      </c>
      <c r="L366" s="7">
        <v>45870.0</v>
      </c>
      <c r="M366" s="2" t="s">
        <v>25</v>
      </c>
      <c r="N366" s="2" t="s">
        <v>35</v>
      </c>
      <c r="O366" s="2" t="s">
        <v>27</v>
      </c>
      <c r="P366" s="2" t="s">
        <v>194</v>
      </c>
    </row>
    <row r="367" ht="14.25" customHeight="1">
      <c r="A367" s="6">
        <v>1.8109429E7</v>
      </c>
      <c r="B367" s="2" t="s">
        <v>1730</v>
      </c>
      <c r="C367" s="2" t="s">
        <v>107</v>
      </c>
      <c r="D367" s="2" t="s">
        <v>88</v>
      </c>
      <c r="E367" s="2" t="s">
        <v>1731</v>
      </c>
      <c r="F367" s="2" t="s">
        <v>1731</v>
      </c>
      <c r="G367" s="2" t="s">
        <v>1732</v>
      </c>
      <c r="H367" s="2" t="s">
        <v>1733</v>
      </c>
      <c r="I367" s="2" t="s">
        <v>1306</v>
      </c>
      <c r="J367" s="2" t="s">
        <v>185</v>
      </c>
      <c r="K367" s="2" t="s">
        <v>113</v>
      </c>
      <c r="L367" s="7">
        <v>44198.0</v>
      </c>
      <c r="M367" s="2" t="s">
        <v>154</v>
      </c>
      <c r="N367" s="2" t="s">
        <v>186</v>
      </c>
      <c r="O367" s="2" t="s">
        <v>27</v>
      </c>
      <c r="P367" s="2" t="s">
        <v>36</v>
      </c>
    </row>
    <row r="368" ht="14.25" customHeight="1">
      <c r="A368" s="6">
        <v>1.3306598E7</v>
      </c>
      <c r="B368" s="2" t="s">
        <v>1734</v>
      </c>
      <c r="C368" s="2" t="s">
        <v>107</v>
      </c>
      <c r="D368" s="2" t="s">
        <v>18</v>
      </c>
      <c r="E368" s="2" t="s">
        <v>1735</v>
      </c>
      <c r="F368" s="2" t="s">
        <v>1736</v>
      </c>
      <c r="G368" s="2" t="s">
        <v>1737</v>
      </c>
      <c r="H368" s="2" t="s">
        <v>1738</v>
      </c>
      <c r="I368" s="2" t="s">
        <v>1739</v>
      </c>
      <c r="J368" s="2" t="s">
        <v>801</v>
      </c>
      <c r="K368" s="2" t="s">
        <v>113</v>
      </c>
      <c r="L368" s="7">
        <v>45659.0</v>
      </c>
      <c r="M368" s="2" t="s">
        <v>154</v>
      </c>
      <c r="N368" s="2" t="s">
        <v>26</v>
      </c>
      <c r="O368" s="2" t="s">
        <v>200</v>
      </c>
      <c r="P368" s="2" t="s">
        <v>36</v>
      </c>
    </row>
    <row r="369" ht="14.25" customHeight="1">
      <c r="A369" s="6">
        <v>1.8636136E7</v>
      </c>
      <c r="B369" s="2" t="s">
        <v>1740</v>
      </c>
      <c r="C369" s="2" t="s">
        <v>107</v>
      </c>
      <c r="D369" s="2" t="s">
        <v>18</v>
      </c>
      <c r="E369" s="2" t="s">
        <v>1741</v>
      </c>
      <c r="F369" s="2" t="s">
        <v>1742</v>
      </c>
      <c r="G369" s="2" t="s">
        <v>1743</v>
      </c>
      <c r="H369" s="2" t="s">
        <v>1744</v>
      </c>
      <c r="I369" s="2" t="s">
        <v>1745</v>
      </c>
      <c r="J369" s="2" t="s">
        <v>413</v>
      </c>
      <c r="K369" s="2" t="s">
        <v>113</v>
      </c>
      <c r="L369" s="7">
        <v>45901.0</v>
      </c>
      <c r="M369" s="2" t="s">
        <v>154</v>
      </c>
      <c r="N369" s="2" t="s">
        <v>161</v>
      </c>
      <c r="O369" s="2" t="s">
        <v>116</v>
      </c>
      <c r="P369" s="2" t="s">
        <v>36</v>
      </c>
    </row>
    <row r="370" ht="14.25" customHeight="1">
      <c r="A370" s="6">
        <v>1.7061099E7</v>
      </c>
      <c r="B370" s="2" t="s">
        <v>1746</v>
      </c>
      <c r="C370" s="2" t="s">
        <v>107</v>
      </c>
      <c r="D370" s="2" t="s">
        <v>18</v>
      </c>
      <c r="E370" s="2" t="s">
        <v>1747</v>
      </c>
      <c r="F370" s="2" t="s">
        <v>1748</v>
      </c>
      <c r="G370" s="2" t="s">
        <v>1749</v>
      </c>
      <c r="H370" s="2" t="s">
        <v>1750</v>
      </c>
      <c r="I370" s="2" t="s">
        <v>800</v>
      </c>
      <c r="J370" s="2" t="s">
        <v>801</v>
      </c>
      <c r="K370" s="2" t="s">
        <v>113</v>
      </c>
      <c r="L370" s="7">
        <v>45845.0</v>
      </c>
      <c r="M370" s="2" t="s">
        <v>154</v>
      </c>
      <c r="N370" s="2" t="s">
        <v>26</v>
      </c>
      <c r="O370" s="2" t="s">
        <v>27</v>
      </c>
      <c r="P370" s="2" t="s">
        <v>36</v>
      </c>
    </row>
    <row r="371" ht="14.25" customHeight="1">
      <c r="A371" s="6">
        <v>1.2137839E7</v>
      </c>
      <c r="B371" s="2" t="s">
        <v>1751</v>
      </c>
      <c r="C371" s="2" t="s">
        <v>107</v>
      </c>
      <c r="D371" s="2" t="s">
        <v>18</v>
      </c>
      <c r="E371" s="2" t="s">
        <v>1752</v>
      </c>
      <c r="F371" s="2" t="s">
        <v>1753</v>
      </c>
      <c r="G371" s="2" t="s">
        <v>1754</v>
      </c>
      <c r="H371" s="2" t="s">
        <v>1755</v>
      </c>
      <c r="I371" s="2" t="s">
        <v>820</v>
      </c>
      <c r="J371" s="2" t="s">
        <v>160</v>
      </c>
      <c r="K371" s="2" t="s">
        <v>113</v>
      </c>
      <c r="L371" s="7">
        <v>45735.0</v>
      </c>
      <c r="M371" s="2" t="s">
        <v>154</v>
      </c>
      <c r="N371" s="2" t="s">
        <v>161</v>
      </c>
      <c r="O371" s="2" t="s">
        <v>116</v>
      </c>
      <c r="P371" s="2" t="s">
        <v>36</v>
      </c>
    </row>
    <row r="372" ht="14.25" customHeight="1">
      <c r="A372" s="6">
        <v>1.9044235E7</v>
      </c>
      <c r="B372" s="2" t="s">
        <v>1756</v>
      </c>
      <c r="C372" s="2" t="s">
        <v>17</v>
      </c>
      <c r="D372" s="2" t="s">
        <v>18</v>
      </c>
      <c r="E372" s="2" t="s">
        <v>1757</v>
      </c>
      <c r="F372" s="2" t="s">
        <v>1757</v>
      </c>
      <c r="G372" s="2" t="s">
        <v>1758</v>
      </c>
      <c r="H372" s="2" t="s">
        <v>1759</v>
      </c>
      <c r="I372" s="2" t="s">
        <v>1401</v>
      </c>
      <c r="J372" s="2" t="s">
        <v>62</v>
      </c>
      <c r="K372" s="2" t="s">
        <v>113</v>
      </c>
      <c r="L372" s="7">
        <v>45931.0</v>
      </c>
      <c r="M372" s="2" t="s">
        <v>25</v>
      </c>
      <c r="N372" s="2" t="s">
        <v>35</v>
      </c>
      <c r="O372" s="2" t="s">
        <v>27</v>
      </c>
      <c r="P372" s="2" t="s">
        <v>36</v>
      </c>
    </row>
    <row r="373" ht="14.25" customHeight="1">
      <c r="A373" s="6">
        <v>1.9913454E7</v>
      </c>
      <c r="B373" s="2" t="s">
        <v>1760</v>
      </c>
      <c r="C373" s="2" t="s">
        <v>107</v>
      </c>
      <c r="D373" s="2" t="s">
        <v>18</v>
      </c>
      <c r="E373" s="2" t="s">
        <v>1761</v>
      </c>
      <c r="F373" s="2" t="s">
        <v>1762</v>
      </c>
      <c r="G373" s="2" t="s">
        <v>1763</v>
      </c>
      <c r="H373" s="2" t="s">
        <v>1764</v>
      </c>
      <c r="I373" s="2" t="s">
        <v>1765</v>
      </c>
      <c r="J373" s="2" t="s">
        <v>207</v>
      </c>
      <c r="K373" s="2" t="s">
        <v>113</v>
      </c>
      <c r="L373" s="7">
        <v>45537.0</v>
      </c>
      <c r="M373" s="2" t="s">
        <v>154</v>
      </c>
      <c r="N373" s="2" t="s">
        <v>208</v>
      </c>
      <c r="O373" s="2" t="s">
        <v>116</v>
      </c>
      <c r="P373" s="2" t="s">
        <v>36</v>
      </c>
    </row>
    <row r="374" ht="14.25" customHeight="1">
      <c r="A374" s="6">
        <v>1.81976E7</v>
      </c>
      <c r="B374" s="2" t="s">
        <v>1766</v>
      </c>
      <c r="C374" s="2" t="s">
        <v>17</v>
      </c>
      <c r="D374" s="2" t="s">
        <v>18</v>
      </c>
      <c r="E374" s="2" t="s">
        <v>1767</v>
      </c>
      <c r="F374" s="2" t="s">
        <v>1768</v>
      </c>
      <c r="G374" s="2" t="s">
        <v>1769</v>
      </c>
      <c r="H374" s="2" t="s">
        <v>1770</v>
      </c>
      <c r="I374" s="2" t="s">
        <v>1771</v>
      </c>
      <c r="J374" s="2" t="s">
        <v>47</v>
      </c>
      <c r="K374" s="2" t="s">
        <v>113</v>
      </c>
      <c r="L374" s="7">
        <v>44361.0</v>
      </c>
      <c r="M374" s="2" t="s">
        <v>25</v>
      </c>
      <c r="N374" s="2" t="s">
        <v>35</v>
      </c>
      <c r="O374" s="2" t="s">
        <v>27</v>
      </c>
      <c r="P374" s="2" t="s">
        <v>36</v>
      </c>
    </row>
    <row r="375" ht="14.25" customHeight="1">
      <c r="A375" s="6">
        <v>1.6819271E7</v>
      </c>
      <c r="B375" s="2" t="s">
        <v>1772</v>
      </c>
      <c r="C375" s="2" t="s">
        <v>107</v>
      </c>
      <c r="D375" s="2" t="s">
        <v>18</v>
      </c>
      <c r="E375" s="2" t="s">
        <v>1773</v>
      </c>
      <c r="F375" s="2" t="s">
        <v>1774</v>
      </c>
      <c r="G375" s="2" t="s">
        <v>1775</v>
      </c>
      <c r="H375" s="2" t="s">
        <v>1776</v>
      </c>
      <c r="I375" s="2" t="s">
        <v>820</v>
      </c>
      <c r="J375" s="2" t="s">
        <v>160</v>
      </c>
      <c r="K375" s="2" t="s">
        <v>113</v>
      </c>
      <c r="L375" s="7">
        <v>45761.0</v>
      </c>
      <c r="M375" s="2" t="s">
        <v>154</v>
      </c>
      <c r="N375" s="2" t="s">
        <v>161</v>
      </c>
      <c r="O375" s="2" t="s">
        <v>162</v>
      </c>
      <c r="P375" s="2" t="s">
        <v>36</v>
      </c>
    </row>
    <row r="376" ht="14.25" customHeight="1">
      <c r="A376" s="6">
        <v>1.7268948E7</v>
      </c>
      <c r="B376" s="2" t="s">
        <v>1777</v>
      </c>
      <c r="C376" s="2" t="s">
        <v>107</v>
      </c>
      <c r="D376" s="2" t="s">
        <v>18</v>
      </c>
      <c r="E376" s="2" t="s">
        <v>1778</v>
      </c>
      <c r="F376" s="2" t="s">
        <v>1779</v>
      </c>
      <c r="G376" s="2" t="s">
        <v>1780</v>
      </c>
      <c r="H376" s="2" t="s">
        <v>1776</v>
      </c>
      <c r="I376" s="2" t="s">
        <v>820</v>
      </c>
      <c r="J376" s="2" t="s">
        <v>160</v>
      </c>
      <c r="K376" s="2" t="s">
        <v>113</v>
      </c>
      <c r="L376" s="7">
        <v>45708.0</v>
      </c>
      <c r="M376" s="2" t="s">
        <v>154</v>
      </c>
      <c r="N376" s="2" t="s">
        <v>161</v>
      </c>
      <c r="O376" s="2" t="s">
        <v>116</v>
      </c>
      <c r="P376" s="2" t="s">
        <v>36</v>
      </c>
    </row>
    <row r="377" ht="14.25" customHeight="1">
      <c r="A377" s="6">
        <v>7420450.0</v>
      </c>
      <c r="B377" s="2" t="s">
        <v>1781</v>
      </c>
      <c r="C377" s="2" t="s">
        <v>17</v>
      </c>
      <c r="D377" s="2" t="s">
        <v>18</v>
      </c>
      <c r="E377" s="2" t="s">
        <v>1782</v>
      </c>
      <c r="F377" s="2" t="s">
        <v>1782</v>
      </c>
      <c r="G377" s="2" t="s">
        <v>1783</v>
      </c>
      <c r="H377" s="2" t="s">
        <v>1784</v>
      </c>
      <c r="I377" s="2" t="s">
        <v>524</v>
      </c>
      <c r="J377" s="2" t="s">
        <v>93</v>
      </c>
      <c r="K377" s="2" t="s">
        <v>113</v>
      </c>
      <c r="L377" s="7">
        <v>41995.0</v>
      </c>
      <c r="M377" s="2" t="s">
        <v>25</v>
      </c>
      <c r="N377" s="2" t="s">
        <v>35</v>
      </c>
      <c r="O377" s="2" t="s">
        <v>27</v>
      </c>
      <c r="P377" s="2" t="s">
        <v>36</v>
      </c>
    </row>
    <row r="378" ht="14.25" customHeight="1">
      <c r="A378" s="6">
        <v>1.6070482E7</v>
      </c>
      <c r="B378" s="2" t="s">
        <v>1785</v>
      </c>
      <c r="C378" s="2" t="s">
        <v>107</v>
      </c>
      <c r="D378" s="2" t="s">
        <v>18</v>
      </c>
      <c r="E378" s="2" t="s">
        <v>1786</v>
      </c>
      <c r="F378" s="2" t="s">
        <v>1787</v>
      </c>
      <c r="G378" s="2" t="s">
        <v>1788</v>
      </c>
      <c r="H378" s="2" t="s">
        <v>1789</v>
      </c>
      <c r="I378" s="2" t="s">
        <v>1790</v>
      </c>
      <c r="J378" s="2" t="s">
        <v>559</v>
      </c>
      <c r="K378" s="2" t="s">
        <v>113</v>
      </c>
      <c r="L378" s="7">
        <v>44389.0</v>
      </c>
      <c r="M378" s="2" t="s">
        <v>154</v>
      </c>
      <c r="N378" s="2" t="s">
        <v>26</v>
      </c>
      <c r="O378" s="2" t="s">
        <v>162</v>
      </c>
      <c r="P378" s="2" t="s">
        <v>36</v>
      </c>
    </row>
    <row r="379" ht="14.25" customHeight="1">
      <c r="A379" s="6">
        <v>1.9688027E7</v>
      </c>
      <c r="B379" s="2" t="s">
        <v>1791</v>
      </c>
      <c r="C379" s="2" t="s">
        <v>107</v>
      </c>
      <c r="D379" s="2" t="s">
        <v>18</v>
      </c>
      <c r="E379" s="2" t="s">
        <v>1792</v>
      </c>
      <c r="F379" s="2" t="s">
        <v>1793</v>
      </c>
      <c r="G379" s="2" t="s">
        <v>1794</v>
      </c>
      <c r="H379" s="2" t="s">
        <v>1795</v>
      </c>
      <c r="I379" s="2" t="s">
        <v>400</v>
      </c>
      <c r="J379" s="2" t="s">
        <v>207</v>
      </c>
      <c r="K379" s="2" t="s">
        <v>113</v>
      </c>
      <c r="L379" s="7">
        <v>45689.0</v>
      </c>
      <c r="M379" s="2" t="s">
        <v>154</v>
      </c>
      <c r="N379" s="2" t="s">
        <v>208</v>
      </c>
      <c r="O379" s="2" t="s">
        <v>116</v>
      </c>
      <c r="P379" s="2" t="s">
        <v>36</v>
      </c>
    </row>
    <row r="380" ht="14.25" customHeight="1">
      <c r="A380" s="6">
        <v>1.8145311E7</v>
      </c>
      <c r="B380" s="2" t="s">
        <v>1796</v>
      </c>
      <c r="C380" s="2" t="s">
        <v>107</v>
      </c>
      <c r="D380" s="2" t="s">
        <v>18</v>
      </c>
      <c r="E380" s="2" t="s">
        <v>1797</v>
      </c>
      <c r="F380" s="2" t="s">
        <v>1798</v>
      </c>
      <c r="G380" s="2" t="s">
        <v>1799</v>
      </c>
      <c r="H380" s="2" t="s">
        <v>1800</v>
      </c>
      <c r="I380" s="2" t="s">
        <v>1765</v>
      </c>
      <c r="J380" s="2" t="s">
        <v>207</v>
      </c>
      <c r="K380" s="2" t="s">
        <v>113</v>
      </c>
      <c r="L380" s="7">
        <v>45889.0</v>
      </c>
      <c r="M380" s="2" t="s">
        <v>154</v>
      </c>
      <c r="N380" s="2" t="s">
        <v>208</v>
      </c>
      <c r="O380" s="2" t="s">
        <v>116</v>
      </c>
      <c r="P380" s="2" t="s">
        <v>36</v>
      </c>
    </row>
    <row r="381" ht="14.25" customHeight="1">
      <c r="A381" s="6">
        <v>1.6121452E7</v>
      </c>
      <c r="B381" s="2" t="s">
        <v>1801</v>
      </c>
      <c r="C381" s="2" t="s">
        <v>107</v>
      </c>
      <c r="D381" s="2" t="s">
        <v>18</v>
      </c>
      <c r="E381" s="2" t="s">
        <v>1802</v>
      </c>
      <c r="F381" s="2" t="s">
        <v>1803</v>
      </c>
      <c r="G381" s="2" t="s">
        <v>1804</v>
      </c>
      <c r="H381" s="2" t="s">
        <v>1805</v>
      </c>
      <c r="I381" s="2" t="s">
        <v>1745</v>
      </c>
      <c r="J381" s="2" t="s">
        <v>413</v>
      </c>
      <c r="K381" s="2" t="s">
        <v>113</v>
      </c>
      <c r="L381" s="7">
        <v>45733.0</v>
      </c>
      <c r="M381" s="2" t="s">
        <v>154</v>
      </c>
      <c r="N381" s="2" t="s">
        <v>161</v>
      </c>
      <c r="O381" s="2" t="s">
        <v>162</v>
      </c>
      <c r="P381" s="2" t="s">
        <v>36</v>
      </c>
    </row>
    <row r="382" ht="14.25" customHeight="1">
      <c r="A382" s="6">
        <v>9750485.0</v>
      </c>
      <c r="B382" s="2" t="s">
        <v>1806</v>
      </c>
      <c r="C382" s="2" t="s">
        <v>17</v>
      </c>
      <c r="D382" s="2" t="s">
        <v>18</v>
      </c>
      <c r="E382" s="2" t="s">
        <v>1807</v>
      </c>
      <c r="F382" s="2" t="s">
        <v>1808</v>
      </c>
      <c r="G382" s="2" t="s">
        <v>1809</v>
      </c>
      <c r="H382" s="2" t="s">
        <v>1810</v>
      </c>
      <c r="I382" s="2" t="s">
        <v>1703</v>
      </c>
      <c r="J382" s="2" t="s">
        <v>34</v>
      </c>
      <c r="K382" s="2" t="s">
        <v>113</v>
      </c>
      <c r="L382" s="7">
        <v>45264.0</v>
      </c>
      <c r="M382" s="2" t="s">
        <v>25</v>
      </c>
      <c r="N382" s="2" t="s">
        <v>35</v>
      </c>
      <c r="O382" s="2" t="s">
        <v>27</v>
      </c>
      <c r="P382" s="2" t="s">
        <v>36</v>
      </c>
    </row>
    <row r="383" ht="14.25" customHeight="1">
      <c r="A383" s="6">
        <v>1.4028117E7</v>
      </c>
      <c r="B383" s="2" t="s">
        <v>1811</v>
      </c>
      <c r="C383" s="2" t="s">
        <v>17</v>
      </c>
      <c r="D383" s="2" t="s">
        <v>18</v>
      </c>
      <c r="E383" s="2" t="s">
        <v>1812</v>
      </c>
      <c r="F383" s="2" t="s">
        <v>1813</v>
      </c>
      <c r="G383" s="2" t="s">
        <v>1814</v>
      </c>
      <c r="H383" s="2" t="s">
        <v>1815</v>
      </c>
      <c r="I383" s="2" t="s">
        <v>1619</v>
      </c>
      <c r="J383" s="2" t="s">
        <v>62</v>
      </c>
      <c r="K383" s="2" t="s">
        <v>113</v>
      </c>
      <c r="L383" s="7">
        <v>45789.0</v>
      </c>
      <c r="M383" s="2" t="s">
        <v>25</v>
      </c>
      <c r="N383" s="2" t="s">
        <v>35</v>
      </c>
      <c r="O383" s="2" t="s">
        <v>27</v>
      </c>
      <c r="P383" s="2" t="s">
        <v>36</v>
      </c>
    </row>
    <row r="384" ht="14.25" customHeight="1">
      <c r="A384" s="6">
        <v>1.1793799E7</v>
      </c>
      <c r="B384" s="2" t="s">
        <v>1816</v>
      </c>
      <c r="C384" s="2" t="s">
        <v>17</v>
      </c>
      <c r="D384" s="2" t="s">
        <v>18</v>
      </c>
      <c r="E384" s="2" t="s">
        <v>1817</v>
      </c>
      <c r="F384" s="2" t="s">
        <v>1818</v>
      </c>
      <c r="G384" s="2" t="s">
        <v>1819</v>
      </c>
      <c r="H384" s="2" t="s">
        <v>1820</v>
      </c>
      <c r="I384" s="2" t="s">
        <v>1821</v>
      </c>
      <c r="J384" s="2" t="s">
        <v>215</v>
      </c>
      <c r="K384" s="2" t="s">
        <v>113</v>
      </c>
      <c r="L384" s="7">
        <v>45089.0</v>
      </c>
      <c r="M384" s="2" t="s">
        <v>25</v>
      </c>
      <c r="N384" s="2" t="s">
        <v>216</v>
      </c>
      <c r="O384" s="2" t="s">
        <v>27</v>
      </c>
      <c r="P384" s="2" t="s">
        <v>36</v>
      </c>
    </row>
    <row r="385" ht="14.25" customHeight="1">
      <c r="A385" s="6">
        <v>1.7890021E7</v>
      </c>
      <c r="B385" s="2" t="s">
        <v>1822</v>
      </c>
      <c r="C385" s="2" t="s">
        <v>107</v>
      </c>
      <c r="D385" s="2" t="s">
        <v>88</v>
      </c>
      <c r="E385" s="2" t="s">
        <v>1823</v>
      </c>
      <c r="F385" s="2" t="s">
        <v>1824</v>
      </c>
      <c r="G385" s="2" t="s">
        <v>1825</v>
      </c>
      <c r="H385" s="2" t="s">
        <v>1820</v>
      </c>
      <c r="I385" s="2" t="s">
        <v>1821</v>
      </c>
      <c r="J385" s="2" t="s">
        <v>215</v>
      </c>
      <c r="K385" s="2" t="s">
        <v>113</v>
      </c>
      <c r="L385" s="7">
        <v>45446.0</v>
      </c>
      <c r="M385" s="2" t="s">
        <v>154</v>
      </c>
      <c r="N385" s="2" t="s">
        <v>216</v>
      </c>
      <c r="O385" s="2" t="s">
        <v>116</v>
      </c>
      <c r="P385" s="2" t="s">
        <v>36</v>
      </c>
    </row>
    <row r="386" ht="14.25" customHeight="1">
      <c r="A386" s="6">
        <v>9824818.0</v>
      </c>
      <c r="B386" s="2" t="s">
        <v>1826</v>
      </c>
      <c r="C386" s="2" t="s">
        <v>17</v>
      </c>
      <c r="D386" s="2" t="s">
        <v>18</v>
      </c>
      <c r="E386" s="2" t="s">
        <v>1827</v>
      </c>
      <c r="F386" s="2" t="s">
        <v>1828</v>
      </c>
      <c r="G386" s="2" t="s">
        <v>1829</v>
      </c>
      <c r="H386" s="2" t="s">
        <v>1830</v>
      </c>
      <c r="I386" s="2" t="s">
        <v>1821</v>
      </c>
      <c r="J386" s="2" t="s">
        <v>215</v>
      </c>
      <c r="K386" s="2" t="s">
        <v>113</v>
      </c>
      <c r="L386" s="7">
        <v>40513.0</v>
      </c>
      <c r="M386" s="2" t="s">
        <v>312</v>
      </c>
      <c r="N386" s="2" t="s">
        <v>216</v>
      </c>
      <c r="O386" s="2" t="s">
        <v>312</v>
      </c>
      <c r="P386" s="2" t="s">
        <v>36</v>
      </c>
    </row>
    <row r="387" ht="14.25" customHeight="1">
      <c r="A387" s="6">
        <v>1.814316E7</v>
      </c>
      <c r="B387" s="2" t="s">
        <v>1831</v>
      </c>
      <c r="C387" s="2" t="s">
        <v>17</v>
      </c>
      <c r="D387" s="2" t="s">
        <v>18</v>
      </c>
      <c r="E387" s="2" t="s">
        <v>1832</v>
      </c>
      <c r="F387" s="2" t="s">
        <v>1833</v>
      </c>
      <c r="G387" s="2" t="s">
        <v>1834</v>
      </c>
      <c r="H387" s="2" t="s">
        <v>1835</v>
      </c>
      <c r="I387" s="2" t="s">
        <v>1120</v>
      </c>
      <c r="J387" s="2" t="s">
        <v>193</v>
      </c>
      <c r="K387" s="2" t="s">
        <v>113</v>
      </c>
      <c r="L387" s="7">
        <v>45306.0</v>
      </c>
      <c r="M387" s="2" t="s">
        <v>25</v>
      </c>
      <c r="N387" s="2" t="s">
        <v>186</v>
      </c>
      <c r="O387" s="2" t="s">
        <v>27</v>
      </c>
      <c r="P387" s="2" t="s">
        <v>36</v>
      </c>
    </row>
    <row r="388" ht="14.25" customHeight="1">
      <c r="A388" s="6">
        <v>1.3423751E7</v>
      </c>
      <c r="B388" s="2" t="s">
        <v>1836</v>
      </c>
      <c r="C388" s="2" t="s">
        <v>17</v>
      </c>
      <c r="D388" s="2" t="s">
        <v>18</v>
      </c>
      <c r="E388" s="2" t="s">
        <v>1837</v>
      </c>
      <c r="F388" s="2" t="s">
        <v>1838</v>
      </c>
      <c r="G388" s="2" t="s">
        <v>1839</v>
      </c>
      <c r="H388" s="2" t="s">
        <v>1840</v>
      </c>
      <c r="I388" s="2" t="s">
        <v>1841</v>
      </c>
      <c r="J388" s="2" t="s">
        <v>62</v>
      </c>
      <c r="K388" s="2" t="s">
        <v>113</v>
      </c>
      <c r="L388" s="7">
        <v>42065.0</v>
      </c>
      <c r="M388" s="2" t="s">
        <v>312</v>
      </c>
      <c r="N388" s="2" t="s">
        <v>35</v>
      </c>
      <c r="O388" s="2" t="s">
        <v>312</v>
      </c>
      <c r="P388" s="2" t="s">
        <v>36</v>
      </c>
    </row>
    <row r="389" ht="14.25" customHeight="1">
      <c r="A389" s="6">
        <v>1.6330292E7</v>
      </c>
      <c r="B389" s="2" t="s">
        <v>1842</v>
      </c>
      <c r="C389" s="2" t="s">
        <v>17</v>
      </c>
      <c r="D389" s="2" t="s">
        <v>18</v>
      </c>
      <c r="E389" s="2" t="s">
        <v>1843</v>
      </c>
      <c r="F389" s="2" t="s">
        <v>1844</v>
      </c>
      <c r="G389" s="2" t="s">
        <v>1845</v>
      </c>
      <c r="H389" s="2" t="s">
        <v>1846</v>
      </c>
      <c r="I389" s="2" t="s">
        <v>1014</v>
      </c>
      <c r="J389" s="2" t="s">
        <v>23</v>
      </c>
      <c r="K389" s="2" t="s">
        <v>113</v>
      </c>
      <c r="L389" s="7">
        <v>45397.0</v>
      </c>
      <c r="M389" s="2" t="s">
        <v>25</v>
      </c>
      <c r="N389" s="2" t="s">
        <v>26</v>
      </c>
      <c r="O389" s="2" t="s">
        <v>200</v>
      </c>
      <c r="P389" s="2" t="s">
        <v>36</v>
      </c>
    </row>
    <row r="390" ht="14.25" customHeight="1">
      <c r="A390" s="6">
        <v>1.2975888E7</v>
      </c>
      <c r="B390" s="2" t="s">
        <v>1847</v>
      </c>
      <c r="C390" s="2" t="s">
        <v>107</v>
      </c>
      <c r="D390" s="2" t="s">
        <v>88</v>
      </c>
      <c r="E390" s="2" t="s">
        <v>1848</v>
      </c>
      <c r="F390" s="2" t="s">
        <v>1849</v>
      </c>
      <c r="G390" s="2" t="s">
        <v>1850</v>
      </c>
      <c r="H390" s="2" t="s">
        <v>1851</v>
      </c>
      <c r="I390" s="2" t="s">
        <v>446</v>
      </c>
      <c r="J390" s="2" t="s">
        <v>185</v>
      </c>
      <c r="K390" s="2" t="s">
        <v>113</v>
      </c>
      <c r="L390" s="7">
        <v>44644.0</v>
      </c>
      <c r="M390" s="2" t="s">
        <v>154</v>
      </c>
      <c r="N390" s="2" t="s">
        <v>186</v>
      </c>
      <c r="O390" s="2" t="s">
        <v>27</v>
      </c>
      <c r="P390" s="2" t="s">
        <v>36</v>
      </c>
    </row>
    <row r="391" ht="14.25" customHeight="1">
      <c r="A391" s="6">
        <v>1.3382436E7</v>
      </c>
      <c r="B391" s="2" t="s">
        <v>1852</v>
      </c>
      <c r="C391" s="2" t="s">
        <v>107</v>
      </c>
      <c r="D391" s="2" t="s">
        <v>88</v>
      </c>
      <c r="E391" s="2" t="s">
        <v>1853</v>
      </c>
      <c r="F391" s="2" t="s">
        <v>1854</v>
      </c>
      <c r="G391" s="2" t="s">
        <v>1855</v>
      </c>
      <c r="H391" s="2" t="s">
        <v>1856</v>
      </c>
      <c r="I391" s="2" t="s">
        <v>1395</v>
      </c>
      <c r="J391" s="2" t="s">
        <v>193</v>
      </c>
      <c r="K391" s="2" t="s">
        <v>113</v>
      </c>
      <c r="L391" s="7">
        <v>45397.0</v>
      </c>
      <c r="M391" s="2" t="s">
        <v>154</v>
      </c>
      <c r="N391" s="2" t="s">
        <v>186</v>
      </c>
      <c r="O391" s="2" t="s">
        <v>27</v>
      </c>
      <c r="P391" s="2" t="s">
        <v>36</v>
      </c>
    </row>
    <row r="392" ht="14.25" customHeight="1">
      <c r="A392" s="6">
        <v>1.4612709E7</v>
      </c>
      <c r="B392" s="2" t="s">
        <v>1857</v>
      </c>
      <c r="C392" s="2" t="s">
        <v>107</v>
      </c>
      <c r="D392" s="2" t="s">
        <v>88</v>
      </c>
      <c r="E392" s="2" t="s">
        <v>1858</v>
      </c>
      <c r="F392" s="2" t="s">
        <v>1859</v>
      </c>
      <c r="G392" s="2" t="s">
        <v>1860</v>
      </c>
      <c r="H392" s="2" t="s">
        <v>1861</v>
      </c>
      <c r="I392" s="2" t="s">
        <v>295</v>
      </c>
      <c r="J392" s="2" t="s">
        <v>296</v>
      </c>
      <c r="K392" s="2" t="s">
        <v>113</v>
      </c>
      <c r="L392" s="7">
        <v>40513.0</v>
      </c>
      <c r="M392" s="2" t="s">
        <v>154</v>
      </c>
      <c r="N392" s="2" t="s">
        <v>216</v>
      </c>
      <c r="O392" s="2" t="s">
        <v>116</v>
      </c>
      <c r="P392" s="2" t="s">
        <v>36</v>
      </c>
    </row>
    <row r="393" ht="14.25" customHeight="1">
      <c r="A393" s="6">
        <v>1.5410204E7</v>
      </c>
      <c r="B393" s="2" t="s">
        <v>1862</v>
      </c>
      <c r="C393" s="2" t="s">
        <v>107</v>
      </c>
      <c r="D393" s="2" t="s">
        <v>88</v>
      </c>
      <c r="E393" s="2" t="s">
        <v>1863</v>
      </c>
      <c r="F393" s="2" t="s">
        <v>1864</v>
      </c>
      <c r="G393" s="2" t="s">
        <v>1865</v>
      </c>
      <c r="H393" s="2" t="s">
        <v>1861</v>
      </c>
      <c r="I393" s="2" t="s">
        <v>295</v>
      </c>
      <c r="J393" s="2" t="s">
        <v>296</v>
      </c>
      <c r="K393" s="2" t="s">
        <v>113</v>
      </c>
      <c r="L393" s="7">
        <v>43479.0</v>
      </c>
      <c r="M393" s="2" t="s">
        <v>154</v>
      </c>
      <c r="N393" s="2" t="s">
        <v>216</v>
      </c>
      <c r="O393" s="2" t="s">
        <v>116</v>
      </c>
      <c r="P393" s="2" t="s">
        <v>36</v>
      </c>
    </row>
    <row r="394" ht="14.25" customHeight="1">
      <c r="A394" s="6">
        <v>1.3991526E7</v>
      </c>
      <c r="B394" s="2" t="s">
        <v>1866</v>
      </c>
      <c r="C394" s="2" t="s">
        <v>107</v>
      </c>
      <c r="D394" s="2" t="s">
        <v>88</v>
      </c>
      <c r="E394" s="2" t="s">
        <v>1867</v>
      </c>
      <c r="F394" s="2" t="s">
        <v>1868</v>
      </c>
      <c r="G394" s="2" t="s">
        <v>1869</v>
      </c>
      <c r="H394" s="2" t="s">
        <v>1870</v>
      </c>
      <c r="I394" s="2" t="s">
        <v>295</v>
      </c>
      <c r="J394" s="2" t="s">
        <v>241</v>
      </c>
      <c r="K394" s="2" t="s">
        <v>113</v>
      </c>
      <c r="L394" s="7">
        <v>45524.0</v>
      </c>
      <c r="M394" s="2" t="s">
        <v>154</v>
      </c>
      <c r="N394" s="2" t="s">
        <v>216</v>
      </c>
      <c r="O394" s="2" t="s">
        <v>116</v>
      </c>
      <c r="P394" s="2" t="s">
        <v>36</v>
      </c>
    </row>
    <row r="395" ht="14.25" customHeight="1">
      <c r="A395" s="6">
        <v>1.8504732E7</v>
      </c>
      <c r="B395" s="2" t="s">
        <v>1871</v>
      </c>
      <c r="C395" s="2" t="s">
        <v>107</v>
      </c>
      <c r="D395" s="2" t="s">
        <v>88</v>
      </c>
      <c r="E395" s="2" t="s">
        <v>1872</v>
      </c>
      <c r="F395" s="2" t="s">
        <v>1873</v>
      </c>
      <c r="G395" s="2" t="s">
        <v>1874</v>
      </c>
      <c r="H395" s="2" t="s">
        <v>1875</v>
      </c>
      <c r="I395" s="2" t="s">
        <v>1592</v>
      </c>
      <c r="J395" s="2" t="s">
        <v>1581</v>
      </c>
      <c r="K395" s="2" t="s">
        <v>113</v>
      </c>
      <c r="L395" s="7">
        <v>42675.0</v>
      </c>
      <c r="M395" s="2" t="s">
        <v>154</v>
      </c>
      <c r="N395" s="2" t="s">
        <v>216</v>
      </c>
      <c r="O395" s="2" t="s">
        <v>162</v>
      </c>
      <c r="P395" s="2" t="s">
        <v>36</v>
      </c>
    </row>
    <row r="396" ht="14.25" customHeight="1">
      <c r="A396" s="6">
        <v>1.9360716E7</v>
      </c>
      <c r="B396" s="2" t="s">
        <v>1876</v>
      </c>
      <c r="C396" s="2" t="s">
        <v>107</v>
      </c>
      <c r="D396" s="2" t="s">
        <v>88</v>
      </c>
      <c r="E396" s="2" t="s">
        <v>1877</v>
      </c>
      <c r="F396" s="2" t="s">
        <v>1878</v>
      </c>
      <c r="G396" s="2" t="s">
        <v>1879</v>
      </c>
      <c r="H396" s="2" t="s">
        <v>1875</v>
      </c>
      <c r="I396" s="2" t="s">
        <v>1592</v>
      </c>
      <c r="J396" s="2" t="s">
        <v>1581</v>
      </c>
      <c r="K396" s="2" t="s">
        <v>113</v>
      </c>
      <c r="L396" s="7">
        <v>44531.0</v>
      </c>
      <c r="M396" s="2" t="s">
        <v>154</v>
      </c>
      <c r="N396" s="2" t="s">
        <v>216</v>
      </c>
      <c r="O396" s="2" t="s">
        <v>116</v>
      </c>
      <c r="P396" s="2" t="s">
        <v>36</v>
      </c>
    </row>
    <row r="397" ht="14.25" customHeight="1">
      <c r="A397" s="6">
        <v>9508516.0</v>
      </c>
      <c r="B397" s="2" t="s">
        <v>1880</v>
      </c>
      <c r="C397" s="2" t="s">
        <v>17</v>
      </c>
      <c r="D397" s="2" t="s">
        <v>18</v>
      </c>
      <c r="E397" s="2" t="s">
        <v>1881</v>
      </c>
      <c r="F397" s="2" t="s">
        <v>1882</v>
      </c>
      <c r="G397" s="2" t="s">
        <v>1883</v>
      </c>
      <c r="H397" s="2" t="s">
        <v>1884</v>
      </c>
      <c r="I397" s="2" t="s">
        <v>1771</v>
      </c>
      <c r="J397" s="2" t="s">
        <v>47</v>
      </c>
      <c r="K397" s="2" t="s">
        <v>113</v>
      </c>
      <c r="L397" s="7">
        <v>40513.0</v>
      </c>
      <c r="M397" s="2" t="s">
        <v>25</v>
      </c>
      <c r="N397" s="2" t="s">
        <v>35</v>
      </c>
      <c r="O397" s="2" t="s">
        <v>27</v>
      </c>
      <c r="P397" s="2" t="s">
        <v>36</v>
      </c>
    </row>
    <row r="398" ht="14.25" customHeight="1">
      <c r="A398" s="6">
        <v>1.7680507E7</v>
      </c>
      <c r="B398" s="2" t="s">
        <v>1885</v>
      </c>
      <c r="C398" s="2" t="s">
        <v>17</v>
      </c>
      <c r="D398" s="2" t="s">
        <v>18</v>
      </c>
      <c r="E398" s="2" t="s">
        <v>1886</v>
      </c>
      <c r="F398" s="2" t="s">
        <v>1887</v>
      </c>
      <c r="G398" s="2" t="s">
        <v>1888</v>
      </c>
      <c r="H398" s="2" t="s">
        <v>1889</v>
      </c>
      <c r="I398" s="2" t="s">
        <v>1745</v>
      </c>
      <c r="J398" s="2" t="s">
        <v>413</v>
      </c>
      <c r="K398" s="2" t="s">
        <v>113</v>
      </c>
      <c r="L398" s="7">
        <v>43804.0</v>
      </c>
      <c r="M398" s="2" t="s">
        <v>116</v>
      </c>
      <c r="N398" s="2" t="s">
        <v>161</v>
      </c>
      <c r="O398" s="2" t="s">
        <v>27</v>
      </c>
      <c r="P398" s="2" t="s">
        <v>36</v>
      </c>
    </row>
    <row r="399" ht="14.25" customHeight="1">
      <c r="A399" s="6">
        <v>8021977.0</v>
      </c>
      <c r="B399" s="2" t="s">
        <v>1890</v>
      </c>
      <c r="C399" s="2" t="s">
        <v>17</v>
      </c>
      <c r="D399" s="2" t="s">
        <v>18</v>
      </c>
      <c r="E399" s="2" t="s">
        <v>1891</v>
      </c>
      <c r="F399" s="2" t="s">
        <v>1892</v>
      </c>
      <c r="G399" s="2" t="s">
        <v>1893</v>
      </c>
      <c r="H399" s="2" t="s">
        <v>1894</v>
      </c>
      <c r="I399" s="2" t="s">
        <v>524</v>
      </c>
      <c r="J399" s="2" t="s">
        <v>93</v>
      </c>
      <c r="K399" s="2" t="s">
        <v>113</v>
      </c>
      <c r="L399" s="7">
        <v>40513.0</v>
      </c>
      <c r="M399" s="2" t="s">
        <v>25</v>
      </c>
      <c r="N399" s="2" t="s">
        <v>35</v>
      </c>
      <c r="O399" s="2" t="s">
        <v>1895</v>
      </c>
      <c r="P399" s="2" t="s">
        <v>36</v>
      </c>
    </row>
    <row r="400" ht="14.25" customHeight="1">
      <c r="A400" s="6">
        <v>1.0600104E7</v>
      </c>
      <c r="B400" s="2" t="s">
        <v>1896</v>
      </c>
      <c r="C400" s="2" t="s">
        <v>107</v>
      </c>
      <c r="D400" s="2" t="s">
        <v>18</v>
      </c>
      <c r="E400" s="2" t="s">
        <v>1897</v>
      </c>
      <c r="F400" s="2" t="s">
        <v>1898</v>
      </c>
      <c r="G400" s="2" t="s">
        <v>1899</v>
      </c>
      <c r="H400" s="2" t="s">
        <v>1900</v>
      </c>
      <c r="I400" s="2" t="s">
        <v>1014</v>
      </c>
      <c r="J400" s="2" t="s">
        <v>23</v>
      </c>
      <c r="K400" s="2" t="s">
        <v>113</v>
      </c>
      <c r="L400" s="7">
        <v>45597.0</v>
      </c>
      <c r="M400" s="2" t="s">
        <v>154</v>
      </c>
      <c r="N400" s="2" t="s">
        <v>26</v>
      </c>
      <c r="O400" s="2" t="s">
        <v>116</v>
      </c>
      <c r="P400" s="2" t="s">
        <v>36</v>
      </c>
    </row>
    <row r="401" ht="14.25" customHeight="1">
      <c r="A401" s="6">
        <v>1.763681E7</v>
      </c>
      <c r="B401" s="2" t="s">
        <v>1901</v>
      </c>
      <c r="C401" s="2" t="s">
        <v>17</v>
      </c>
      <c r="D401" s="2" t="s">
        <v>18</v>
      </c>
      <c r="E401" s="2" t="s">
        <v>1902</v>
      </c>
      <c r="F401" s="2" t="s">
        <v>1903</v>
      </c>
      <c r="G401" s="2" t="s">
        <v>1904</v>
      </c>
      <c r="H401" s="2" t="s">
        <v>1905</v>
      </c>
      <c r="I401" s="2" t="s">
        <v>1401</v>
      </c>
      <c r="J401" s="2" t="s">
        <v>62</v>
      </c>
      <c r="K401" s="2" t="s">
        <v>113</v>
      </c>
      <c r="L401" s="7">
        <v>43563.0</v>
      </c>
      <c r="M401" s="2" t="s">
        <v>25</v>
      </c>
      <c r="N401" s="2" t="s">
        <v>35</v>
      </c>
      <c r="O401" s="2" t="s">
        <v>27</v>
      </c>
      <c r="P401" s="2" t="s">
        <v>36</v>
      </c>
    </row>
    <row r="402" ht="14.25" customHeight="1">
      <c r="A402" s="6">
        <v>1.0789499E7</v>
      </c>
      <c r="B402" s="2" t="s">
        <v>1906</v>
      </c>
      <c r="C402" s="2" t="s">
        <v>107</v>
      </c>
      <c r="D402" s="2" t="s">
        <v>88</v>
      </c>
      <c r="E402" s="2" t="s">
        <v>1907</v>
      </c>
      <c r="F402" s="2" t="s">
        <v>1908</v>
      </c>
      <c r="G402" s="2" t="s">
        <v>1909</v>
      </c>
      <c r="H402" s="2" t="s">
        <v>1910</v>
      </c>
      <c r="I402" s="2" t="s">
        <v>829</v>
      </c>
      <c r="J402" s="2" t="s">
        <v>185</v>
      </c>
      <c r="K402" s="2" t="s">
        <v>113</v>
      </c>
      <c r="L402" s="7">
        <v>45071.0</v>
      </c>
      <c r="M402" s="2" t="s">
        <v>154</v>
      </c>
      <c r="N402" s="2" t="s">
        <v>186</v>
      </c>
      <c r="O402" s="2" t="s">
        <v>27</v>
      </c>
      <c r="P402" s="2" t="s">
        <v>36</v>
      </c>
    </row>
    <row r="403" ht="14.25" customHeight="1">
      <c r="A403" s="6">
        <v>1.7873901E7</v>
      </c>
      <c r="B403" s="2" t="s">
        <v>1911</v>
      </c>
      <c r="C403" s="2" t="s">
        <v>17</v>
      </c>
      <c r="D403" s="2" t="s">
        <v>18</v>
      </c>
      <c r="E403" s="2" t="s">
        <v>1912</v>
      </c>
      <c r="F403" s="2" t="s">
        <v>1913</v>
      </c>
      <c r="G403" s="2" t="s">
        <v>1914</v>
      </c>
      <c r="H403" s="2" t="s">
        <v>1915</v>
      </c>
      <c r="I403" s="2" t="s">
        <v>1619</v>
      </c>
      <c r="J403" s="2" t="s">
        <v>34</v>
      </c>
      <c r="K403" s="2" t="s">
        <v>113</v>
      </c>
      <c r="L403" s="7">
        <v>42917.0</v>
      </c>
      <c r="M403" s="2" t="s">
        <v>25</v>
      </c>
      <c r="N403" s="2" t="s">
        <v>35</v>
      </c>
      <c r="O403" s="2" t="s">
        <v>27</v>
      </c>
      <c r="P403" s="2" t="s">
        <v>36</v>
      </c>
    </row>
    <row r="404" ht="14.25" customHeight="1">
      <c r="A404" s="6">
        <v>1.385303E7</v>
      </c>
      <c r="B404" s="2" t="s">
        <v>1916</v>
      </c>
      <c r="C404" s="2" t="s">
        <v>17</v>
      </c>
      <c r="D404" s="2" t="s">
        <v>18</v>
      </c>
      <c r="E404" s="2" t="s">
        <v>1917</v>
      </c>
      <c r="F404" s="2" t="s">
        <v>1918</v>
      </c>
      <c r="G404" s="2" t="s">
        <v>1919</v>
      </c>
      <c r="H404" s="2" t="s">
        <v>1920</v>
      </c>
      <c r="I404" s="2" t="s">
        <v>1771</v>
      </c>
      <c r="J404" s="2" t="s">
        <v>47</v>
      </c>
      <c r="K404" s="2" t="s">
        <v>113</v>
      </c>
      <c r="L404" s="7">
        <v>40513.0</v>
      </c>
      <c r="M404" s="2" t="s">
        <v>25</v>
      </c>
      <c r="N404" s="2" t="s">
        <v>35</v>
      </c>
      <c r="O404" s="2" t="s">
        <v>27</v>
      </c>
      <c r="P404" s="2" t="s">
        <v>36</v>
      </c>
    </row>
    <row r="405" ht="14.25" customHeight="1">
      <c r="A405" s="6">
        <v>1.7302821E7</v>
      </c>
      <c r="B405" s="2" t="s">
        <v>1921</v>
      </c>
      <c r="C405" s="2" t="s">
        <v>107</v>
      </c>
      <c r="D405" s="2" t="s">
        <v>88</v>
      </c>
      <c r="E405" s="2" t="s">
        <v>1922</v>
      </c>
      <c r="F405" s="2" t="s">
        <v>1923</v>
      </c>
      <c r="G405" s="2" t="s">
        <v>1924</v>
      </c>
      <c r="H405" s="2" t="s">
        <v>1925</v>
      </c>
      <c r="I405" s="2" t="s">
        <v>1926</v>
      </c>
      <c r="J405" s="2" t="s">
        <v>23</v>
      </c>
      <c r="K405" s="2" t="s">
        <v>113</v>
      </c>
      <c r="L405" s="7">
        <v>41030.0</v>
      </c>
      <c r="M405" s="2" t="s">
        <v>154</v>
      </c>
      <c r="N405" s="2" t="s">
        <v>26</v>
      </c>
      <c r="O405" s="2" t="s">
        <v>162</v>
      </c>
      <c r="P405" s="2" t="s">
        <v>36</v>
      </c>
    </row>
    <row r="406" ht="14.25" customHeight="1">
      <c r="A406" s="6">
        <v>1.4324649E7</v>
      </c>
      <c r="B406" s="2" t="s">
        <v>1927</v>
      </c>
      <c r="C406" s="2" t="s">
        <v>17</v>
      </c>
      <c r="D406" s="2" t="s">
        <v>18</v>
      </c>
      <c r="E406" s="2" t="s">
        <v>1928</v>
      </c>
      <c r="F406" s="2" t="s">
        <v>1929</v>
      </c>
      <c r="G406" s="2" t="s">
        <v>1930</v>
      </c>
      <c r="H406" s="2" t="s">
        <v>1931</v>
      </c>
      <c r="I406" s="2" t="s">
        <v>1703</v>
      </c>
      <c r="J406" s="2" t="s">
        <v>34</v>
      </c>
      <c r="K406" s="2" t="s">
        <v>113</v>
      </c>
      <c r="L406" s="7">
        <v>45488.0</v>
      </c>
      <c r="M406" s="2" t="s">
        <v>25</v>
      </c>
      <c r="N406" s="2" t="s">
        <v>35</v>
      </c>
      <c r="O406" s="2" t="s">
        <v>27</v>
      </c>
      <c r="P406" s="2" t="s">
        <v>36</v>
      </c>
    </row>
    <row r="407" ht="14.25" customHeight="1">
      <c r="A407" s="6">
        <v>1.719734E7</v>
      </c>
      <c r="B407" s="2" t="s">
        <v>1932</v>
      </c>
      <c r="C407" s="2" t="s">
        <v>107</v>
      </c>
      <c r="D407" s="2" t="s">
        <v>88</v>
      </c>
      <c r="E407" s="2" t="s">
        <v>1933</v>
      </c>
      <c r="F407" s="2" t="s">
        <v>1934</v>
      </c>
      <c r="G407" s="2" t="s">
        <v>1935</v>
      </c>
      <c r="H407" s="2" t="s">
        <v>1936</v>
      </c>
      <c r="I407" s="2" t="s">
        <v>1937</v>
      </c>
      <c r="J407" s="2" t="s">
        <v>366</v>
      </c>
      <c r="K407" s="2" t="s">
        <v>113</v>
      </c>
      <c r="L407" s="7">
        <v>44795.0</v>
      </c>
      <c r="M407" s="2" t="s">
        <v>154</v>
      </c>
      <c r="N407" s="2" t="s">
        <v>367</v>
      </c>
      <c r="O407" s="2" t="s">
        <v>27</v>
      </c>
      <c r="P407" s="2" t="s">
        <v>36</v>
      </c>
    </row>
    <row r="408" ht="14.25" customHeight="1">
      <c r="A408" s="6">
        <v>1.6503903E7</v>
      </c>
      <c r="B408" s="2" t="s">
        <v>1938</v>
      </c>
      <c r="C408" s="2" t="s">
        <v>107</v>
      </c>
      <c r="D408" s="2" t="s">
        <v>88</v>
      </c>
      <c r="E408" s="2" t="s">
        <v>1939</v>
      </c>
      <c r="F408" s="2" t="s">
        <v>1940</v>
      </c>
      <c r="G408" s="2" t="s">
        <v>1941</v>
      </c>
      <c r="H408" s="2" t="s">
        <v>1942</v>
      </c>
      <c r="I408" s="2" t="s">
        <v>1458</v>
      </c>
      <c r="J408" s="2" t="s">
        <v>559</v>
      </c>
      <c r="K408" s="2" t="s">
        <v>113</v>
      </c>
      <c r="L408" s="7">
        <v>45089.0</v>
      </c>
      <c r="M408" s="2" t="s">
        <v>154</v>
      </c>
      <c r="N408" s="2" t="s">
        <v>26</v>
      </c>
      <c r="O408" s="2" t="s">
        <v>27</v>
      </c>
      <c r="P408" s="2" t="s">
        <v>36</v>
      </c>
    </row>
    <row r="409" ht="14.25" customHeight="1">
      <c r="A409" s="6">
        <v>1.7288348E7</v>
      </c>
      <c r="B409" s="2" t="s">
        <v>1943</v>
      </c>
      <c r="C409" s="2" t="s">
        <v>107</v>
      </c>
      <c r="D409" s="2" t="s">
        <v>18</v>
      </c>
      <c r="E409" s="2" t="s">
        <v>1944</v>
      </c>
      <c r="F409" s="2" t="s">
        <v>1945</v>
      </c>
      <c r="G409" s="2" t="s">
        <v>1946</v>
      </c>
      <c r="H409" s="2" t="s">
        <v>1947</v>
      </c>
      <c r="I409" s="2" t="s">
        <v>1650</v>
      </c>
      <c r="J409" s="2" t="s">
        <v>559</v>
      </c>
      <c r="K409" s="2" t="s">
        <v>113</v>
      </c>
      <c r="L409" s="7">
        <v>41904.0</v>
      </c>
      <c r="M409" s="2" t="s">
        <v>154</v>
      </c>
      <c r="N409" s="2" t="s">
        <v>26</v>
      </c>
      <c r="O409" s="2" t="s">
        <v>465</v>
      </c>
      <c r="P409" s="2" t="s">
        <v>36</v>
      </c>
    </row>
    <row r="410" ht="14.25" customHeight="1">
      <c r="A410" s="6">
        <v>1.8412624E7</v>
      </c>
      <c r="B410" s="2" t="s">
        <v>1948</v>
      </c>
      <c r="C410" s="2" t="s">
        <v>17</v>
      </c>
      <c r="D410" s="2" t="s">
        <v>18</v>
      </c>
      <c r="E410" s="2" t="s">
        <v>1949</v>
      </c>
      <c r="F410" s="2" t="s">
        <v>1950</v>
      </c>
      <c r="G410" s="2" t="s">
        <v>1951</v>
      </c>
      <c r="H410" s="2" t="s">
        <v>1952</v>
      </c>
      <c r="I410" s="2" t="s">
        <v>1703</v>
      </c>
      <c r="J410" s="2" t="s">
        <v>34</v>
      </c>
      <c r="K410" s="2" t="s">
        <v>113</v>
      </c>
      <c r="L410" s="7">
        <v>43770.0</v>
      </c>
      <c r="M410" s="2" t="s">
        <v>25</v>
      </c>
      <c r="N410" s="2" t="s">
        <v>35</v>
      </c>
      <c r="O410" s="2" t="s">
        <v>27</v>
      </c>
      <c r="P410" s="2" t="s">
        <v>36</v>
      </c>
    </row>
    <row r="411" ht="14.25" customHeight="1">
      <c r="A411" s="6">
        <v>1.3456233E7</v>
      </c>
      <c r="B411" s="2" t="s">
        <v>1953</v>
      </c>
      <c r="C411" s="2" t="s">
        <v>107</v>
      </c>
      <c r="D411" s="2" t="s">
        <v>88</v>
      </c>
      <c r="E411" s="2" t="s">
        <v>1954</v>
      </c>
      <c r="F411" s="2" t="s">
        <v>1955</v>
      </c>
      <c r="G411" s="2" t="s">
        <v>1956</v>
      </c>
      <c r="H411" s="2" t="s">
        <v>1957</v>
      </c>
      <c r="I411" s="2" t="s">
        <v>446</v>
      </c>
      <c r="J411" s="2" t="s">
        <v>185</v>
      </c>
      <c r="K411" s="2" t="s">
        <v>113</v>
      </c>
      <c r="L411" s="7">
        <v>44824.0</v>
      </c>
      <c r="M411" s="2" t="s">
        <v>154</v>
      </c>
      <c r="N411" s="2" t="s">
        <v>186</v>
      </c>
      <c r="O411" s="2" t="s">
        <v>27</v>
      </c>
      <c r="P411" s="2" t="s">
        <v>36</v>
      </c>
    </row>
    <row r="412" ht="14.25" customHeight="1">
      <c r="A412" s="6">
        <v>1.2432514E7</v>
      </c>
      <c r="B412" s="2" t="s">
        <v>1958</v>
      </c>
      <c r="C412" s="2" t="s">
        <v>17</v>
      </c>
      <c r="D412" s="2" t="s">
        <v>18</v>
      </c>
      <c r="E412" s="2" t="s">
        <v>1959</v>
      </c>
      <c r="F412" s="2" t="s">
        <v>1960</v>
      </c>
      <c r="G412" s="2" t="s">
        <v>1961</v>
      </c>
      <c r="H412" s="2" t="s">
        <v>1962</v>
      </c>
      <c r="I412" s="2" t="s">
        <v>1619</v>
      </c>
      <c r="J412" s="2" t="s">
        <v>62</v>
      </c>
      <c r="K412" s="2" t="s">
        <v>113</v>
      </c>
      <c r="L412" s="7">
        <v>40513.0</v>
      </c>
      <c r="M412" s="2" t="s">
        <v>1402</v>
      </c>
      <c r="N412" s="2" t="s">
        <v>35</v>
      </c>
      <c r="O412" s="2" t="s">
        <v>27</v>
      </c>
      <c r="P412" s="2" t="s">
        <v>36</v>
      </c>
    </row>
    <row r="413" ht="14.25" customHeight="1">
      <c r="A413" s="6">
        <v>1.0577093E7</v>
      </c>
      <c r="B413" s="2" t="s">
        <v>1963</v>
      </c>
      <c r="C413" s="2" t="s">
        <v>17</v>
      </c>
      <c r="D413" s="2" t="s">
        <v>18</v>
      </c>
      <c r="E413" s="2" t="s">
        <v>1964</v>
      </c>
      <c r="F413" s="2" t="s">
        <v>1965</v>
      </c>
      <c r="G413" s="2" t="s">
        <v>1966</v>
      </c>
      <c r="H413" s="2" t="s">
        <v>1967</v>
      </c>
      <c r="I413" s="2" t="s">
        <v>1619</v>
      </c>
      <c r="J413" s="2" t="s">
        <v>62</v>
      </c>
      <c r="K413" s="2" t="s">
        <v>113</v>
      </c>
      <c r="L413" s="7">
        <v>40513.0</v>
      </c>
      <c r="M413" s="2" t="s">
        <v>1402</v>
      </c>
      <c r="N413" s="2" t="s">
        <v>35</v>
      </c>
      <c r="O413" s="2" t="s">
        <v>27</v>
      </c>
      <c r="P413" s="2" t="s">
        <v>36</v>
      </c>
    </row>
    <row r="414" ht="14.25" customHeight="1">
      <c r="A414" s="6">
        <v>1.9242678E7</v>
      </c>
      <c r="B414" s="2" t="s">
        <v>1968</v>
      </c>
      <c r="C414" s="2" t="s">
        <v>107</v>
      </c>
      <c r="D414" s="2" t="s">
        <v>18</v>
      </c>
      <c r="E414" s="2" t="s">
        <v>1969</v>
      </c>
      <c r="F414" s="2" t="s">
        <v>1970</v>
      </c>
      <c r="G414" s="2" t="s">
        <v>1971</v>
      </c>
      <c r="H414" s="2" t="s">
        <v>1972</v>
      </c>
      <c r="I414" s="2" t="s">
        <v>431</v>
      </c>
      <c r="J414" s="2" t="s">
        <v>401</v>
      </c>
      <c r="K414" s="2" t="s">
        <v>113</v>
      </c>
      <c r="L414" s="7">
        <v>45040.0</v>
      </c>
      <c r="M414" s="2" t="s">
        <v>154</v>
      </c>
      <c r="N414" s="2" t="s">
        <v>208</v>
      </c>
      <c r="O414" s="2" t="s">
        <v>116</v>
      </c>
      <c r="P414" s="2" t="s">
        <v>36</v>
      </c>
    </row>
    <row r="415" ht="14.25" customHeight="1">
      <c r="A415" s="6">
        <v>1.0923364E7</v>
      </c>
      <c r="B415" s="2" t="s">
        <v>1973</v>
      </c>
      <c r="C415" s="2" t="s">
        <v>17</v>
      </c>
      <c r="D415" s="2" t="s">
        <v>18</v>
      </c>
      <c r="E415" s="2" t="s">
        <v>1974</v>
      </c>
      <c r="F415" s="2" t="s">
        <v>1975</v>
      </c>
      <c r="G415" s="2" t="s">
        <v>1976</v>
      </c>
      <c r="H415" s="2" t="s">
        <v>1977</v>
      </c>
      <c r="I415" s="2" t="s">
        <v>1841</v>
      </c>
      <c r="J415" s="2" t="s">
        <v>62</v>
      </c>
      <c r="K415" s="2" t="s">
        <v>113</v>
      </c>
      <c r="L415" s="7">
        <v>44881.0</v>
      </c>
      <c r="M415" s="2" t="s">
        <v>312</v>
      </c>
      <c r="N415" s="2" t="s">
        <v>35</v>
      </c>
      <c r="O415" s="2" t="s">
        <v>312</v>
      </c>
      <c r="P415" s="2" t="s">
        <v>36</v>
      </c>
    </row>
    <row r="416" ht="14.25" customHeight="1">
      <c r="A416" s="6">
        <v>1.3388014E7</v>
      </c>
      <c r="B416" s="2" t="s">
        <v>1978</v>
      </c>
      <c r="C416" s="2" t="s">
        <v>107</v>
      </c>
      <c r="D416" s="2" t="s">
        <v>88</v>
      </c>
      <c r="E416" s="2" t="s">
        <v>1979</v>
      </c>
      <c r="F416" s="2" t="s">
        <v>1980</v>
      </c>
      <c r="G416" s="2" t="s">
        <v>1981</v>
      </c>
      <c r="H416" s="2" t="s">
        <v>1982</v>
      </c>
      <c r="I416" s="2" t="s">
        <v>1926</v>
      </c>
      <c r="J416" s="2" t="s">
        <v>537</v>
      </c>
      <c r="K416" s="2" t="s">
        <v>113</v>
      </c>
      <c r="L416" s="7">
        <v>44781.0</v>
      </c>
      <c r="M416" s="2" t="s">
        <v>154</v>
      </c>
      <c r="N416" s="2" t="s">
        <v>26</v>
      </c>
      <c r="O416" s="2" t="s">
        <v>200</v>
      </c>
      <c r="P416" s="2" t="s">
        <v>36</v>
      </c>
    </row>
    <row r="417" ht="14.25" customHeight="1">
      <c r="A417" s="6">
        <v>1.3143712E7</v>
      </c>
      <c r="B417" s="2" t="s">
        <v>1983</v>
      </c>
      <c r="C417" s="2" t="s">
        <v>107</v>
      </c>
      <c r="D417" s="2" t="s">
        <v>88</v>
      </c>
      <c r="E417" s="2" t="s">
        <v>1984</v>
      </c>
      <c r="F417" s="2" t="s">
        <v>1985</v>
      </c>
      <c r="G417" s="2" t="s">
        <v>1986</v>
      </c>
      <c r="H417" s="2" t="s">
        <v>1987</v>
      </c>
      <c r="I417" s="2" t="s">
        <v>1926</v>
      </c>
      <c r="J417" s="2" t="s">
        <v>537</v>
      </c>
      <c r="K417" s="2" t="s">
        <v>113</v>
      </c>
      <c r="L417" s="7">
        <v>41262.0</v>
      </c>
      <c r="M417" s="2" t="s">
        <v>154</v>
      </c>
      <c r="N417" s="2" t="s">
        <v>26</v>
      </c>
      <c r="O417" s="2" t="s">
        <v>200</v>
      </c>
      <c r="P417" s="2" t="s">
        <v>36</v>
      </c>
    </row>
    <row r="418" ht="14.25" customHeight="1">
      <c r="A418" s="6">
        <v>1.877668E7</v>
      </c>
      <c r="B418" s="2" t="s">
        <v>1988</v>
      </c>
      <c r="C418" s="2" t="s">
        <v>107</v>
      </c>
      <c r="D418" s="2" t="s">
        <v>18</v>
      </c>
      <c r="E418" s="2" t="s">
        <v>1989</v>
      </c>
      <c r="F418" s="2" t="s">
        <v>1990</v>
      </c>
      <c r="G418" s="2" t="s">
        <v>1991</v>
      </c>
      <c r="H418" s="2" t="s">
        <v>1992</v>
      </c>
      <c r="I418" s="2" t="s">
        <v>1937</v>
      </c>
      <c r="J418" s="2" t="s">
        <v>394</v>
      </c>
      <c r="K418" s="2" t="s">
        <v>113</v>
      </c>
      <c r="L418" s="7">
        <v>45602.0</v>
      </c>
      <c r="M418" s="2" t="s">
        <v>154</v>
      </c>
      <c r="N418" s="2" t="s">
        <v>367</v>
      </c>
      <c r="O418" s="2" t="s">
        <v>116</v>
      </c>
      <c r="P418" s="2" t="s">
        <v>36</v>
      </c>
    </row>
    <row r="419" ht="14.25" customHeight="1">
      <c r="A419" s="6">
        <v>1.0278164E7</v>
      </c>
      <c r="B419" s="2" t="s">
        <v>1993</v>
      </c>
      <c r="C419" s="2" t="s">
        <v>107</v>
      </c>
      <c r="D419" s="2" t="s">
        <v>18</v>
      </c>
      <c r="E419" s="2" t="s">
        <v>1994</v>
      </c>
      <c r="F419" s="2" t="s">
        <v>1995</v>
      </c>
      <c r="G419" s="2" t="s">
        <v>1996</v>
      </c>
      <c r="H419" s="2" t="s">
        <v>1997</v>
      </c>
      <c r="I419" s="2" t="s">
        <v>419</v>
      </c>
      <c r="J419" s="2" t="s">
        <v>420</v>
      </c>
      <c r="K419" s="2" t="s">
        <v>113</v>
      </c>
      <c r="L419" s="7">
        <v>44789.0</v>
      </c>
      <c r="M419" s="2" t="s">
        <v>154</v>
      </c>
      <c r="N419" s="2" t="s">
        <v>208</v>
      </c>
      <c r="O419" s="2" t="s">
        <v>162</v>
      </c>
      <c r="P419" s="2" t="s">
        <v>36</v>
      </c>
    </row>
    <row r="420" ht="14.25" customHeight="1">
      <c r="A420" s="6">
        <v>1.6552215E7</v>
      </c>
      <c r="B420" s="2" t="s">
        <v>1998</v>
      </c>
      <c r="C420" s="2" t="s">
        <v>107</v>
      </c>
      <c r="D420" s="2" t="s">
        <v>88</v>
      </c>
      <c r="E420" s="2" t="s">
        <v>1999</v>
      </c>
      <c r="F420" s="2" t="s">
        <v>2000</v>
      </c>
      <c r="G420" s="2" t="s">
        <v>2001</v>
      </c>
      <c r="H420" s="2" t="s">
        <v>1997</v>
      </c>
      <c r="I420" s="2" t="s">
        <v>425</v>
      </c>
      <c r="J420" s="2" t="s">
        <v>420</v>
      </c>
      <c r="K420" s="2" t="s">
        <v>113</v>
      </c>
      <c r="L420" s="7">
        <v>44321.0</v>
      </c>
      <c r="M420" s="2" t="s">
        <v>154</v>
      </c>
      <c r="N420" s="2" t="s">
        <v>208</v>
      </c>
      <c r="O420" s="2" t="s">
        <v>116</v>
      </c>
      <c r="P420" s="2" t="s">
        <v>36</v>
      </c>
    </row>
    <row r="421" ht="14.25" customHeight="1">
      <c r="A421" s="6">
        <v>1.6137735E7</v>
      </c>
      <c r="B421" s="2" t="s">
        <v>2002</v>
      </c>
      <c r="C421" s="2" t="s">
        <v>107</v>
      </c>
      <c r="D421" s="2" t="s">
        <v>88</v>
      </c>
      <c r="E421" s="2" t="s">
        <v>2003</v>
      </c>
      <c r="F421" s="2" t="s">
        <v>2004</v>
      </c>
      <c r="G421" s="2" t="s">
        <v>2005</v>
      </c>
      <c r="H421" s="2" t="s">
        <v>2006</v>
      </c>
      <c r="I421" s="2" t="s">
        <v>1926</v>
      </c>
      <c r="J421" s="2" t="s">
        <v>23</v>
      </c>
      <c r="K421" s="2" t="s">
        <v>113</v>
      </c>
      <c r="L421" s="7">
        <v>43187.0</v>
      </c>
      <c r="M421" s="2" t="s">
        <v>154</v>
      </c>
      <c r="N421" s="2" t="s">
        <v>26</v>
      </c>
      <c r="O421" s="2" t="s">
        <v>200</v>
      </c>
      <c r="P421" s="2" t="s">
        <v>36</v>
      </c>
    </row>
    <row r="422" ht="14.25" customHeight="1">
      <c r="A422" s="6">
        <v>1.7222367E7</v>
      </c>
      <c r="B422" s="2" t="s">
        <v>2007</v>
      </c>
      <c r="C422" s="2" t="s">
        <v>17</v>
      </c>
      <c r="D422" s="2" t="s">
        <v>18</v>
      </c>
      <c r="E422" s="2" t="s">
        <v>2008</v>
      </c>
      <c r="F422" s="2" t="s">
        <v>2009</v>
      </c>
      <c r="G422" s="2" t="s">
        <v>2010</v>
      </c>
      <c r="H422" s="2" t="s">
        <v>2011</v>
      </c>
      <c r="I422" s="2" t="s">
        <v>1703</v>
      </c>
      <c r="J422" s="2" t="s">
        <v>34</v>
      </c>
      <c r="K422" s="2" t="s">
        <v>113</v>
      </c>
      <c r="L422" s="7">
        <v>44355.0</v>
      </c>
      <c r="M422" s="2" t="s">
        <v>25</v>
      </c>
      <c r="N422" s="2" t="s">
        <v>35</v>
      </c>
      <c r="O422" s="2" t="s">
        <v>27</v>
      </c>
      <c r="P422" s="2" t="s">
        <v>36</v>
      </c>
    </row>
    <row r="423" ht="14.25" customHeight="1">
      <c r="A423" s="6">
        <v>9348238.0</v>
      </c>
      <c r="B423" s="2" t="s">
        <v>2012</v>
      </c>
      <c r="C423" s="2" t="s">
        <v>17</v>
      </c>
      <c r="D423" s="2" t="s">
        <v>18</v>
      </c>
      <c r="E423" s="2" t="s">
        <v>2013</v>
      </c>
      <c r="F423" s="2" t="s">
        <v>2014</v>
      </c>
      <c r="G423" s="2" t="s">
        <v>2015</v>
      </c>
      <c r="H423" s="2" t="s">
        <v>2016</v>
      </c>
      <c r="I423" s="2" t="s">
        <v>825</v>
      </c>
      <c r="J423" s="2" t="s">
        <v>93</v>
      </c>
      <c r="K423" s="2" t="s">
        <v>113</v>
      </c>
      <c r="L423" s="7">
        <v>40513.0</v>
      </c>
      <c r="M423" s="2" t="s">
        <v>25</v>
      </c>
      <c r="N423" s="2" t="s">
        <v>35</v>
      </c>
      <c r="O423" s="2" t="s">
        <v>27</v>
      </c>
      <c r="P423" s="2" t="s">
        <v>36</v>
      </c>
    </row>
    <row r="424" ht="14.25" customHeight="1">
      <c r="A424" s="6">
        <v>1.0452894E7</v>
      </c>
      <c r="B424" s="2" t="s">
        <v>2017</v>
      </c>
      <c r="C424" s="2" t="s">
        <v>17</v>
      </c>
      <c r="D424" s="2" t="s">
        <v>18</v>
      </c>
      <c r="E424" s="2" t="s">
        <v>2018</v>
      </c>
      <c r="F424" s="2" t="s">
        <v>2018</v>
      </c>
      <c r="G424" s="2" t="s">
        <v>2019</v>
      </c>
      <c r="H424" s="2" t="s">
        <v>2016</v>
      </c>
      <c r="I424" s="2" t="s">
        <v>825</v>
      </c>
      <c r="J424" s="2" t="s">
        <v>93</v>
      </c>
      <c r="K424" s="2" t="s">
        <v>113</v>
      </c>
      <c r="L424" s="7">
        <v>42736.0</v>
      </c>
      <c r="M424" s="2" t="s">
        <v>25</v>
      </c>
      <c r="N424" s="2" t="s">
        <v>35</v>
      </c>
      <c r="O424" s="2" t="s">
        <v>27</v>
      </c>
      <c r="P424" s="2" t="s">
        <v>36</v>
      </c>
    </row>
    <row r="425" ht="14.25" customHeight="1">
      <c r="A425" s="6">
        <v>1.0193307E7</v>
      </c>
      <c r="B425" s="2" t="s">
        <v>2020</v>
      </c>
      <c r="C425" s="2" t="s">
        <v>17</v>
      </c>
      <c r="D425" s="2" t="s">
        <v>18</v>
      </c>
      <c r="E425" s="2" t="s">
        <v>2021</v>
      </c>
      <c r="F425" s="2" t="s">
        <v>2021</v>
      </c>
      <c r="G425" s="2" t="s">
        <v>2022</v>
      </c>
      <c r="H425" s="2" t="s">
        <v>2016</v>
      </c>
      <c r="I425" s="2" t="s">
        <v>825</v>
      </c>
      <c r="J425" s="2" t="s">
        <v>93</v>
      </c>
      <c r="K425" s="2" t="s">
        <v>113</v>
      </c>
      <c r="L425" s="7">
        <v>43815.0</v>
      </c>
      <c r="M425" s="2" t="s">
        <v>25</v>
      </c>
      <c r="N425" s="2" t="s">
        <v>35</v>
      </c>
      <c r="O425" s="2" t="s">
        <v>27</v>
      </c>
      <c r="P425" s="2" t="s">
        <v>36</v>
      </c>
    </row>
    <row r="426" ht="14.25" customHeight="1">
      <c r="A426" s="6">
        <v>1.4272661E7</v>
      </c>
      <c r="B426" s="2" t="s">
        <v>2023</v>
      </c>
      <c r="C426" s="2" t="s">
        <v>17</v>
      </c>
      <c r="D426" s="2" t="s">
        <v>18</v>
      </c>
      <c r="E426" s="2" t="s">
        <v>2024</v>
      </c>
      <c r="F426" s="2" t="s">
        <v>2024</v>
      </c>
      <c r="G426" s="2" t="s">
        <v>2025</v>
      </c>
      <c r="H426" s="2" t="s">
        <v>2016</v>
      </c>
      <c r="I426" s="2" t="s">
        <v>825</v>
      </c>
      <c r="J426" s="2" t="s">
        <v>93</v>
      </c>
      <c r="K426" s="2" t="s">
        <v>113</v>
      </c>
      <c r="L426" s="7">
        <v>40513.0</v>
      </c>
      <c r="M426" s="2" t="s">
        <v>25</v>
      </c>
      <c r="N426" s="2" t="s">
        <v>35</v>
      </c>
      <c r="O426" s="2" t="s">
        <v>27</v>
      </c>
      <c r="P426" s="2" t="s">
        <v>36</v>
      </c>
    </row>
    <row r="427" ht="14.25" customHeight="1">
      <c r="A427" s="6">
        <v>1.6581708E7</v>
      </c>
      <c r="B427" s="2" t="s">
        <v>2026</v>
      </c>
      <c r="C427" s="2" t="s">
        <v>17</v>
      </c>
      <c r="D427" s="2" t="s">
        <v>18</v>
      </c>
      <c r="E427" s="2" t="s">
        <v>2027</v>
      </c>
      <c r="F427" s="2" t="s">
        <v>2028</v>
      </c>
      <c r="G427" s="2" t="s">
        <v>2029</v>
      </c>
      <c r="H427" s="2" t="s">
        <v>2030</v>
      </c>
      <c r="I427" s="2" t="s">
        <v>2031</v>
      </c>
      <c r="J427" s="2" t="s">
        <v>62</v>
      </c>
      <c r="K427" s="2" t="s">
        <v>113</v>
      </c>
      <c r="L427" s="7">
        <v>44287.0</v>
      </c>
      <c r="M427" s="2" t="s">
        <v>312</v>
      </c>
      <c r="N427" s="2" t="s">
        <v>35</v>
      </c>
      <c r="O427" s="2" t="s">
        <v>312</v>
      </c>
      <c r="P427" s="2" t="s">
        <v>36</v>
      </c>
    </row>
    <row r="428" ht="14.25" customHeight="1">
      <c r="A428" s="6">
        <v>1.2523598E7</v>
      </c>
      <c r="B428" s="2" t="s">
        <v>2032</v>
      </c>
      <c r="C428" s="2" t="s">
        <v>17</v>
      </c>
      <c r="D428" s="2" t="s">
        <v>18</v>
      </c>
      <c r="E428" s="2" t="s">
        <v>2033</v>
      </c>
      <c r="F428" s="2" t="s">
        <v>2034</v>
      </c>
      <c r="G428" s="2" t="s">
        <v>2035</v>
      </c>
      <c r="H428" s="2" t="s">
        <v>2036</v>
      </c>
      <c r="I428" s="2" t="s">
        <v>149</v>
      </c>
      <c r="J428" s="2" t="s">
        <v>62</v>
      </c>
      <c r="K428" s="2" t="s">
        <v>113</v>
      </c>
      <c r="L428" s="7">
        <v>44780.0</v>
      </c>
      <c r="M428" s="2" t="s">
        <v>25</v>
      </c>
      <c r="N428" s="2" t="s">
        <v>35</v>
      </c>
      <c r="O428" s="2" t="s">
        <v>27</v>
      </c>
      <c r="P428" s="2" t="s">
        <v>36</v>
      </c>
    </row>
    <row r="429" ht="14.25" customHeight="1">
      <c r="A429" s="6">
        <v>1.2341328E7</v>
      </c>
      <c r="B429" s="2" t="s">
        <v>2037</v>
      </c>
      <c r="C429" s="2" t="s">
        <v>17</v>
      </c>
      <c r="D429" s="2" t="s">
        <v>18</v>
      </c>
      <c r="E429" s="2" t="s">
        <v>2038</v>
      </c>
      <c r="F429" s="2" t="s">
        <v>2039</v>
      </c>
      <c r="G429" s="2" t="s">
        <v>2040</v>
      </c>
      <c r="H429" s="2" t="s">
        <v>2036</v>
      </c>
      <c r="I429" s="2" t="s">
        <v>149</v>
      </c>
      <c r="J429" s="2" t="s">
        <v>62</v>
      </c>
      <c r="K429" s="2" t="s">
        <v>113</v>
      </c>
      <c r="L429" s="7">
        <v>44207.0</v>
      </c>
      <c r="M429" s="2" t="s">
        <v>25</v>
      </c>
      <c r="N429" s="2" t="s">
        <v>35</v>
      </c>
      <c r="O429" s="2" t="s">
        <v>27</v>
      </c>
      <c r="P429" s="2" t="s">
        <v>36</v>
      </c>
    </row>
    <row r="430" ht="14.25" customHeight="1">
      <c r="A430" s="6">
        <v>1.6764398E7</v>
      </c>
      <c r="B430" s="2" t="s">
        <v>2041</v>
      </c>
      <c r="C430" s="2" t="s">
        <v>17</v>
      </c>
      <c r="D430" s="2" t="s">
        <v>18</v>
      </c>
      <c r="E430" s="2" t="s">
        <v>2042</v>
      </c>
      <c r="F430" s="2" t="s">
        <v>2043</v>
      </c>
      <c r="G430" s="2" t="s">
        <v>2044</v>
      </c>
      <c r="H430" s="2" t="s">
        <v>2036</v>
      </c>
      <c r="I430" s="2" t="s">
        <v>149</v>
      </c>
      <c r="J430" s="2" t="s">
        <v>62</v>
      </c>
      <c r="K430" s="2" t="s">
        <v>113</v>
      </c>
      <c r="L430" s="7">
        <v>45313.0</v>
      </c>
      <c r="M430" s="2" t="s">
        <v>25</v>
      </c>
      <c r="N430" s="2" t="s">
        <v>35</v>
      </c>
      <c r="O430" s="2" t="s">
        <v>27</v>
      </c>
      <c r="P430" s="2" t="s">
        <v>36</v>
      </c>
    </row>
    <row r="431" ht="14.25" customHeight="1">
      <c r="A431" s="6">
        <v>1.0416004E7</v>
      </c>
      <c r="B431" s="2" t="s">
        <v>2045</v>
      </c>
      <c r="C431" s="2" t="s">
        <v>17</v>
      </c>
      <c r="D431" s="2" t="s">
        <v>18</v>
      </c>
      <c r="E431" s="2" t="s">
        <v>2046</v>
      </c>
      <c r="F431" s="2" t="s">
        <v>2047</v>
      </c>
      <c r="G431" s="2" t="s">
        <v>2048</v>
      </c>
      <c r="H431" s="2" t="s">
        <v>2049</v>
      </c>
      <c r="I431" s="2" t="s">
        <v>622</v>
      </c>
      <c r="J431" s="2" t="s">
        <v>62</v>
      </c>
      <c r="K431" s="2" t="s">
        <v>113</v>
      </c>
      <c r="L431" s="7">
        <v>40513.0</v>
      </c>
      <c r="M431" s="2" t="s">
        <v>25</v>
      </c>
      <c r="N431" s="2" t="s">
        <v>35</v>
      </c>
      <c r="O431" s="2" t="s">
        <v>27</v>
      </c>
      <c r="P431" s="2" t="s">
        <v>36</v>
      </c>
    </row>
    <row r="432" ht="14.25" customHeight="1">
      <c r="A432" s="6">
        <v>1.0389847E7</v>
      </c>
      <c r="B432" s="2" t="s">
        <v>2050</v>
      </c>
      <c r="C432" s="2" t="s">
        <v>17</v>
      </c>
      <c r="D432" s="2" t="s">
        <v>18</v>
      </c>
      <c r="E432" s="2" t="s">
        <v>2051</v>
      </c>
      <c r="F432" s="2" t="s">
        <v>2052</v>
      </c>
      <c r="G432" s="2" t="s">
        <v>2053</v>
      </c>
      <c r="H432" s="2" t="s">
        <v>2049</v>
      </c>
      <c r="I432" s="2" t="s">
        <v>622</v>
      </c>
      <c r="J432" s="2" t="s">
        <v>62</v>
      </c>
      <c r="K432" s="2" t="s">
        <v>113</v>
      </c>
      <c r="L432" s="7">
        <v>40513.0</v>
      </c>
      <c r="M432" s="2" t="s">
        <v>25</v>
      </c>
      <c r="N432" s="2" t="s">
        <v>35</v>
      </c>
      <c r="O432" s="2" t="s">
        <v>27</v>
      </c>
      <c r="P432" s="2" t="s">
        <v>36</v>
      </c>
    </row>
    <row r="433" ht="14.25" customHeight="1">
      <c r="A433" s="6">
        <v>1.2703173E7</v>
      </c>
      <c r="B433" s="2" t="s">
        <v>2054</v>
      </c>
      <c r="C433" s="2" t="s">
        <v>17</v>
      </c>
      <c r="D433" s="2" t="s">
        <v>18</v>
      </c>
      <c r="E433" s="2" t="s">
        <v>2055</v>
      </c>
      <c r="F433" s="2" t="s">
        <v>2055</v>
      </c>
      <c r="G433" s="2" t="s">
        <v>2056</v>
      </c>
      <c r="H433" s="2" t="s">
        <v>2057</v>
      </c>
      <c r="I433" s="2" t="s">
        <v>61</v>
      </c>
      <c r="J433" s="2" t="s">
        <v>62</v>
      </c>
      <c r="K433" s="2" t="s">
        <v>113</v>
      </c>
      <c r="L433" s="7">
        <v>44501.0</v>
      </c>
      <c r="M433" s="2" t="s">
        <v>25</v>
      </c>
      <c r="N433" s="2" t="s">
        <v>35</v>
      </c>
      <c r="O433" s="2" t="s">
        <v>27</v>
      </c>
      <c r="P433" s="2" t="s">
        <v>36</v>
      </c>
    </row>
    <row r="434" ht="14.25" customHeight="1">
      <c r="A434" s="6">
        <v>2.0258588E7</v>
      </c>
      <c r="B434" s="2" t="s">
        <v>2058</v>
      </c>
      <c r="C434" s="2" t="s">
        <v>17</v>
      </c>
      <c r="D434" s="2" t="s">
        <v>88</v>
      </c>
      <c r="E434" s="2" t="s">
        <v>2059</v>
      </c>
      <c r="F434" s="2" t="s">
        <v>2059</v>
      </c>
      <c r="G434" s="2" t="s">
        <v>2060</v>
      </c>
      <c r="H434" s="2" t="s">
        <v>2057</v>
      </c>
      <c r="I434" s="2" t="s">
        <v>61</v>
      </c>
      <c r="J434" s="2" t="s">
        <v>62</v>
      </c>
      <c r="K434" s="2" t="s">
        <v>113</v>
      </c>
      <c r="L434" s="7">
        <v>45597.0</v>
      </c>
      <c r="M434" s="2" t="s">
        <v>25</v>
      </c>
      <c r="N434" s="2" t="s">
        <v>35</v>
      </c>
      <c r="O434" s="2" t="s">
        <v>27</v>
      </c>
      <c r="P434" s="2" t="s">
        <v>36</v>
      </c>
    </row>
    <row r="435" ht="14.25" customHeight="1">
      <c r="A435" s="6">
        <v>9517205.0</v>
      </c>
      <c r="B435" s="2" t="s">
        <v>2061</v>
      </c>
      <c r="C435" s="2" t="s">
        <v>17</v>
      </c>
      <c r="D435" s="2" t="s">
        <v>18</v>
      </c>
      <c r="E435" s="2" t="s">
        <v>2062</v>
      </c>
      <c r="F435" s="2" t="s">
        <v>2062</v>
      </c>
      <c r="G435" s="2" t="s">
        <v>2063</v>
      </c>
      <c r="H435" s="2" t="s">
        <v>2057</v>
      </c>
      <c r="I435" s="2" t="s">
        <v>61</v>
      </c>
      <c r="J435" s="2" t="s">
        <v>62</v>
      </c>
      <c r="K435" s="2" t="s">
        <v>113</v>
      </c>
      <c r="L435" s="7">
        <v>40513.0</v>
      </c>
      <c r="M435" s="2" t="s">
        <v>25</v>
      </c>
      <c r="N435" s="2" t="s">
        <v>35</v>
      </c>
      <c r="O435" s="2" t="s">
        <v>27</v>
      </c>
      <c r="P435" s="2" t="s">
        <v>36</v>
      </c>
    </row>
    <row r="436" ht="14.25" customHeight="1">
      <c r="A436" s="6">
        <v>1.0138663E7</v>
      </c>
      <c r="B436" s="2" t="s">
        <v>2064</v>
      </c>
      <c r="C436" s="2" t="s">
        <v>17</v>
      </c>
      <c r="D436" s="2" t="s">
        <v>18</v>
      </c>
      <c r="E436" s="2" t="s">
        <v>2065</v>
      </c>
      <c r="F436" s="2" t="s">
        <v>2065</v>
      </c>
      <c r="G436" s="2" t="s">
        <v>2066</v>
      </c>
      <c r="H436" s="2" t="s">
        <v>2057</v>
      </c>
      <c r="I436" s="2" t="s">
        <v>2031</v>
      </c>
      <c r="J436" s="2" t="s">
        <v>62</v>
      </c>
      <c r="K436" s="2" t="s">
        <v>113</v>
      </c>
      <c r="L436" s="7">
        <v>40513.0</v>
      </c>
      <c r="M436" s="2" t="s">
        <v>312</v>
      </c>
      <c r="N436" s="2" t="s">
        <v>35</v>
      </c>
      <c r="O436" s="2" t="s">
        <v>312</v>
      </c>
      <c r="P436" s="2" t="s">
        <v>36</v>
      </c>
    </row>
    <row r="437" ht="14.25" customHeight="1">
      <c r="A437" s="6">
        <v>7136551.0</v>
      </c>
      <c r="B437" s="2" t="s">
        <v>2067</v>
      </c>
      <c r="C437" s="2" t="s">
        <v>17</v>
      </c>
      <c r="D437" s="2" t="s">
        <v>18</v>
      </c>
      <c r="E437" s="2" t="s">
        <v>2068</v>
      </c>
      <c r="F437" s="2" t="s">
        <v>2069</v>
      </c>
      <c r="G437" s="2" t="s">
        <v>2070</v>
      </c>
      <c r="H437" s="2" t="s">
        <v>2057</v>
      </c>
      <c r="I437" s="2" t="s">
        <v>2031</v>
      </c>
      <c r="J437" s="2" t="s">
        <v>62</v>
      </c>
      <c r="K437" s="2" t="s">
        <v>113</v>
      </c>
      <c r="L437" s="7">
        <v>40513.0</v>
      </c>
      <c r="M437" s="2" t="s">
        <v>312</v>
      </c>
      <c r="N437" s="2" t="s">
        <v>35</v>
      </c>
      <c r="O437" s="2" t="s">
        <v>312</v>
      </c>
      <c r="P437" s="2" t="s">
        <v>36</v>
      </c>
    </row>
    <row r="438" ht="14.25" customHeight="1">
      <c r="A438" s="6">
        <v>1.2362391E7</v>
      </c>
      <c r="B438" s="2" t="s">
        <v>2071</v>
      </c>
      <c r="C438" s="2" t="s">
        <v>107</v>
      </c>
      <c r="D438" s="2" t="s">
        <v>88</v>
      </c>
      <c r="E438" s="2" t="s">
        <v>2072</v>
      </c>
      <c r="F438" s="2" t="s">
        <v>2073</v>
      </c>
      <c r="G438" s="2" t="s">
        <v>2074</v>
      </c>
      <c r="H438" s="2" t="s">
        <v>2075</v>
      </c>
      <c r="I438" s="2" t="s">
        <v>829</v>
      </c>
      <c r="J438" s="2" t="s">
        <v>185</v>
      </c>
      <c r="K438" s="2" t="s">
        <v>113</v>
      </c>
      <c r="L438" s="7">
        <v>45306.0</v>
      </c>
      <c r="M438" s="2" t="s">
        <v>154</v>
      </c>
      <c r="N438" s="2" t="s">
        <v>186</v>
      </c>
      <c r="O438" s="2" t="s">
        <v>27</v>
      </c>
      <c r="P438" s="2" t="s">
        <v>36</v>
      </c>
    </row>
    <row r="439" ht="14.25" customHeight="1">
      <c r="A439" s="6">
        <v>1.785792E7</v>
      </c>
      <c r="B439" s="2" t="s">
        <v>2076</v>
      </c>
      <c r="C439" s="2" t="s">
        <v>17</v>
      </c>
      <c r="D439" s="2" t="s">
        <v>18</v>
      </c>
      <c r="E439" s="2" t="s">
        <v>2077</v>
      </c>
      <c r="F439" s="2" t="s">
        <v>2078</v>
      </c>
      <c r="G439" s="2" t="s">
        <v>2079</v>
      </c>
      <c r="H439" s="2" t="s">
        <v>2080</v>
      </c>
      <c r="I439" s="2" t="s">
        <v>1745</v>
      </c>
      <c r="J439" s="2" t="s">
        <v>413</v>
      </c>
      <c r="K439" s="2" t="s">
        <v>113</v>
      </c>
      <c r="L439" s="7">
        <v>44900.0</v>
      </c>
      <c r="M439" s="2" t="s">
        <v>25</v>
      </c>
      <c r="N439" s="2" t="s">
        <v>161</v>
      </c>
      <c r="O439" s="2" t="s">
        <v>27</v>
      </c>
      <c r="P439" s="2" t="s">
        <v>36</v>
      </c>
    </row>
    <row r="440" ht="14.25" customHeight="1">
      <c r="A440" s="6">
        <v>1.7131376E7</v>
      </c>
      <c r="B440" s="2" t="s">
        <v>2081</v>
      </c>
      <c r="C440" s="2" t="s">
        <v>107</v>
      </c>
      <c r="D440" s="2" t="s">
        <v>18</v>
      </c>
      <c r="E440" s="2" t="s">
        <v>2082</v>
      </c>
      <c r="F440" s="2" t="s">
        <v>2083</v>
      </c>
      <c r="G440" s="2" t="s">
        <v>2084</v>
      </c>
      <c r="H440" s="2" t="s">
        <v>2085</v>
      </c>
      <c r="I440" s="2" t="s">
        <v>1926</v>
      </c>
      <c r="J440" s="2" t="s">
        <v>559</v>
      </c>
      <c r="K440" s="2" t="s">
        <v>113</v>
      </c>
      <c r="L440" s="7">
        <v>44389.0</v>
      </c>
      <c r="M440" s="2" t="s">
        <v>154</v>
      </c>
      <c r="N440" s="2" t="s">
        <v>26</v>
      </c>
      <c r="O440" s="2" t="s">
        <v>465</v>
      </c>
      <c r="P440" s="2" t="s">
        <v>36</v>
      </c>
    </row>
    <row r="441" ht="14.25" customHeight="1">
      <c r="A441" s="6">
        <v>1.0475147E7</v>
      </c>
      <c r="B441" s="2" t="s">
        <v>2086</v>
      </c>
      <c r="C441" s="2" t="s">
        <v>107</v>
      </c>
      <c r="D441" s="2" t="s">
        <v>88</v>
      </c>
      <c r="E441" s="2" t="s">
        <v>2087</v>
      </c>
      <c r="F441" s="2" t="s">
        <v>2088</v>
      </c>
      <c r="G441" s="2" t="s">
        <v>2089</v>
      </c>
      <c r="H441" s="2" t="s">
        <v>2090</v>
      </c>
      <c r="I441" s="2" t="s">
        <v>1739</v>
      </c>
      <c r="J441" s="2" t="s">
        <v>801</v>
      </c>
      <c r="K441" s="2" t="s">
        <v>113</v>
      </c>
      <c r="L441" s="7">
        <v>44529.0</v>
      </c>
      <c r="M441" s="2" t="s">
        <v>154</v>
      </c>
      <c r="N441" s="2" t="s">
        <v>26</v>
      </c>
      <c r="O441" s="2" t="s">
        <v>27</v>
      </c>
      <c r="P441" s="2" t="s">
        <v>36</v>
      </c>
    </row>
    <row r="442" ht="14.25" customHeight="1">
      <c r="A442" s="6">
        <v>1.6986452E7</v>
      </c>
      <c r="B442" s="2" t="s">
        <v>2091</v>
      </c>
      <c r="C442" s="2" t="s">
        <v>107</v>
      </c>
      <c r="D442" s="2" t="s">
        <v>88</v>
      </c>
      <c r="E442" s="2" t="s">
        <v>2092</v>
      </c>
      <c r="F442" s="2" t="s">
        <v>2093</v>
      </c>
      <c r="G442" s="2" t="s">
        <v>2094</v>
      </c>
      <c r="H442" s="2" t="s">
        <v>2095</v>
      </c>
      <c r="I442" s="2" t="s">
        <v>2096</v>
      </c>
      <c r="J442" s="2" t="s">
        <v>1581</v>
      </c>
      <c r="K442" s="2" t="s">
        <v>113</v>
      </c>
      <c r="L442" s="7">
        <v>44867.0</v>
      </c>
      <c r="M442" s="2" t="s">
        <v>154</v>
      </c>
      <c r="N442" s="2" t="s">
        <v>216</v>
      </c>
      <c r="O442" s="2" t="s">
        <v>116</v>
      </c>
      <c r="P442" s="2" t="s">
        <v>36</v>
      </c>
    </row>
    <row r="443" ht="14.25" customHeight="1">
      <c r="A443" s="6">
        <v>1.5530085E7</v>
      </c>
      <c r="B443" s="2" t="s">
        <v>2097</v>
      </c>
      <c r="C443" s="2" t="s">
        <v>17</v>
      </c>
      <c r="D443" s="2" t="s">
        <v>18</v>
      </c>
      <c r="E443" s="2" t="s">
        <v>2098</v>
      </c>
      <c r="F443" s="2" t="s">
        <v>2099</v>
      </c>
      <c r="G443" s="2" t="s">
        <v>2100</v>
      </c>
      <c r="H443" s="2" t="s">
        <v>2101</v>
      </c>
      <c r="I443" s="2" t="s">
        <v>1306</v>
      </c>
      <c r="J443" s="2" t="s">
        <v>185</v>
      </c>
      <c r="K443" s="2" t="s">
        <v>113</v>
      </c>
      <c r="L443" s="7">
        <v>44197.0</v>
      </c>
      <c r="M443" s="2" t="s">
        <v>25</v>
      </c>
      <c r="N443" s="2" t="s">
        <v>186</v>
      </c>
      <c r="O443" s="2" t="s">
        <v>27</v>
      </c>
      <c r="P443" s="2" t="s">
        <v>36</v>
      </c>
    </row>
    <row r="444" ht="14.25" customHeight="1">
      <c r="A444" s="6">
        <v>1.724222E7</v>
      </c>
      <c r="B444" s="2" t="s">
        <v>2102</v>
      </c>
      <c r="C444" s="2" t="s">
        <v>107</v>
      </c>
      <c r="D444" s="2" t="s">
        <v>88</v>
      </c>
      <c r="E444" s="2" t="s">
        <v>2103</v>
      </c>
      <c r="F444" s="2" t="s">
        <v>2104</v>
      </c>
      <c r="G444" s="2" t="s">
        <v>2105</v>
      </c>
      <c r="H444" s="2" t="s">
        <v>2106</v>
      </c>
      <c r="I444" s="2" t="s">
        <v>1592</v>
      </c>
      <c r="J444" s="2" t="s">
        <v>1581</v>
      </c>
      <c r="K444" s="2" t="s">
        <v>113</v>
      </c>
      <c r="L444" s="7">
        <v>44946.0</v>
      </c>
      <c r="M444" s="2" t="s">
        <v>154</v>
      </c>
      <c r="N444" s="2" t="s">
        <v>216</v>
      </c>
      <c r="O444" s="2" t="s">
        <v>116</v>
      </c>
      <c r="P444" s="2" t="s">
        <v>36</v>
      </c>
    </row>
    <row r="445" ht="14.25" customHeight="1">
      <c r="A445" s="6">
        <v>1.3796286E7</v>
      </c>
      <c r="B445" s="2" t="s">
        <v>2107</v>
      </c>
      <c r="C445" s="2" t="s">
        <v>17</v>
      </c>
      <c r="D445" s="2" t="s">
        <v>18</v>
      </c>
      <c r="E445" s="2" t="s">
        <v>2108</v>
      </c>
      <c r="F445" s="2" t="s">
        <v>2109</v>
      </c>
      <c r="G445" s="2" t="s">
        <v>2110</v>
      </c>
      <c r="H445" s="2" t="s">
        <v>2111</v>
      </c>
      <c r="I445" s="2" t="s">
        <v>524</v>
      </c>
      <c r="J445" s="2" t="s">
        <v>93</v>
      </c>
      <c r="K445" s="2" t="s">
        <v>113</v>
      </c>
      <c r="L445" s="7">
        <v>42401.0</v>
      </c>
      <c r="M445" s="2" t="s">
        <v>25</v>
      </c>
      <c r="N445" s="2" t="s">
        <v>35</v>
      </c>
      <c r="O445" s="2" t="s">
        <v>27</v>
      </c>
      <c r="P445" s="2" t="s">
        <v>36</v>
      </c>
    </row>
    <row r="446" ht="14.25" customHeight="1">
      <c r="A446" s="6">
        <v>1.3898025E7</v>
      </c>
      <c r="B446" s="2" t="s">
        <v>2112</v>
      </c>
      <c r="C446" s="2" t="s">
        <v>17</v>
      </c>
      <c r="D446" s="2" t="s">
        <v>18</v>
      </c>
      <c r="E446" s="2" t="s">
        <v>2113</v>
      </c>
      <c r="F446" s="2" t="s">
        <v>2114</v>
      </c>
      <c r="G446" s="2" t="s">
        <v>2115</v>
      </c>
      <c r="H446" s="2" t="s">
        <v>2116</v>
      </c>
      <c r="I446" s="2" t="s">
        <v>622</v>
      </c>
      <c r="J446" s="2" t="s">
        <v>62</v>
      </c>
      <c r="K446" s="2" t="s">
        <v>113</v>
      </c>
      <c r="L446" s="7">
        <v>44137.0</v>
      </c>
      <c r="M446" s="2" t="s">
        <v>25</v>
      </c>
      <c r="N446" s="2" t="s">
        <v>35</v>
      </c>
      <c r="O446" s="2" t="s">
        <v>27</v>
      </c>
      <c r="P446" s="2" t="s">
        <v>36</v>
      </c>
    </row>
    <row r="447" ht="14.25" customHeight="1">
      <c r="A447" s="6">
        <v>1.4372332E7</v>
      </c>
      <c r="B447" s="2" t="s">
        <v>2117</v>
      </c>
      <c r="C447" s="2" t="s">
        <v>17</v>
      </c>
      <c r="D447" s="2" t="s">
        <v>18</v>
      </c>
      <c r="E447" s="2" t="s">
        <v>2118</v>
      </c>
      <c r="F447" s="2" t="s">
        <v>2119</v>
      </c>
      <c r="G447" s="2" t="s">
        <v>2120</v>
      </c>
      <c r="H447" s="2" t="s">
        <v>2116</v>
      </c>
      <c r="I447" s="2" t="s">
        <v>622</v>
      </c>
      <c r="J447" s="2" t="s">
        <v>62</v>
      </c>
      <c r="K447" s="2" t="s">
        <v>113</v>
      </c>
      <c r="L447" s="7">
        <v>45294.0</v>
      </c>
      <c r="M447" s="2" t="s">
        <v>25</v>
      </c>
      <c r="N447" s="2" t="s">
        <v>35</v>
      </c>
      <c r="O447" s="2" t="s">
        <v>27</v>
      </c>
      <c r="P447" s="2" t="s">
        <v>36</v>
      </c>
    </row>
    <row r="448" ht="14.25" customHeight="1">
      <c r="A448" s="6">
        <v>1.6768536E7</v>
      </c>
      <c r="B448" s="2" t="s">
        <v>2121</v>
      </c>
      <c r="C448" s="2" t="s">
        <v>17</v>
      </c>
      <c r="D448" s="2" t="s">
        <v>18</v>
      </c>
      <c r="E448" s="2" t="s">
        <v>2122</v>
      </c>
      <c r="F448" s="2" t="s">
        <v>2123</v>
      </c>
      <c r="G448" s="2" t="s">
        <v>2124</v>
      </c>
      <c r="H448" s="2" t="s">
        <v>2116</v>
      </c>
      <c r="I448" s="2" t="s">
        <v>622</v>
      </c>
      <c r="J448" s="2" t="s">
        <v>62</v>
      </c>
      <c r="K448" s="2" t="s">
        <v>113</v>
      </c>
      <c r="L448" s="7">
        <v>44998.0</v>
      </c>
      <c r="M448" s="2" t="s">
        <v>25</v>
      </c>
      <c r="N448" s="2" t="s">
        <v>35</v>
      </c>
      <c r="O448" s="2" t="s">
        <v>27</v>
      </c>
      <c r="P448" s="2" t="s">
        <v>36</v>
      </c>
    </row>
    <row r="449" ht="14.25" customHeight="1">
      <c r="A449" s="6">
        <v>1.9083952E7</v>
      </c>
      <c r="B449" s="2" t="s">
        <v>2125</v>
      </c>
      <c r="C449" s="2" t="s">
        <v>107</v>
      </c>
      <c r="D449" s="2" t="s">
        <v>18</v>
      </c>
      <c r="E449" s="2" t="s">
        <v>2126</v>
      </c>
      <c r="F449" s="2" t="s">
        <v>2127</v>
      </c>
      <c r="G449" s="2" t="s">
        <v>2128</v>
      </c>
      <c r="H449" s="2" t="s">
        <v>2129</v>
      </c>
      <c r="I449" s="2" t="s">
        <v>2130</v>
      </c>
      <c r="J449" s="2" t="s">
        <v>1415</v>
      </c>
      <c r="K449" s="2" t="s">
        <v>113</v>
      </c>
      <c r="L449" s="7">
        <v>45621.0</v>
      </c>
      <c r="M449" s="2" t="s">
        <v>154</v>
      </c>
      <c r="N449" s="2" t="s">
        <v>161</v>
      </c>
      <c r="O449" s="2" t="s">
        <v>116</v>
      </c>
      <c r="P449" s="2" t="s">
        <v>36</v>
      </c>
    </row>
    <row r="450" ht="14.25" customHeight="1">
      <c r="A450" s="6">
        <v>8263948.0</v>
      </c>
      <c r="B450" s="2" t="s">
        <v>2131</v>
      </c>
      <c r="C450" s="2" t="s">
        <v>17</v>
      </c>
      <c r="D450" s="2" t="s">
        <v>18</v>
      </c>
      <c r="E450" s="2" t="s">
        <v>2132</v>
      </c>
      <c r="F450" s="2" t="s">
        <v>2132</v>
      </c>
      <c r="G450" s="2" t="s">
        <v>2133</v>
      </c>
      <c r="H450" s="2" t="s">
        <v>2134</v>
      </c>
      <c r="I450" s="2" t="s">
        <v>1099</v>
      </c>
      <c r="J450" s="2" t="s">
        <v>47</v>
      </c>
      <c r="K450" s="2" t="s">
        <v>113</v>
      </c>
      <c r="L450" s="7">
        <v>42748.0</v>
      </c>
      <c r="M450" s="2" t="s">
        <v>25</v>
      </c>
      <c r="N450" s="2" t="s">
        <v>35</v>
      </c>
      <c r="O450" s="2" t="s">
        <v>27</v>
      </c>
      <c r="P450" s="2" t="s">
        <v>36</v>
      </c>
    </row>
    <row r="451" ht="14.25" customHeight="1">
      <c r="A451" s="6">
        <v>1.0163077E7</v>
      </c>
      <c r="B451" s="2" t="s">
        <v>2135</v>
      </c>
      <c r="C451" s="2" t="s">
        <v>17</v>
      </c>
      <c r="D451" s="2" t="s">
        <v>18</v>
      </c>
      <c r="E451" s="2" t="s">
        <v>2136</v>
      </c>
      <c r="F451" s="2" t="s">
        <v>2136</v>
      </c>
      <c r="G451" s="2" t="s">
        <v>2137</v>
      </c>
      <c r="H451" s="2" t="s">
        <v>2134</v>
      </c>
      <c r="I451" s="2" t="s">
        <v>1099</v>
      </c>
      <c r="J451" s="2" t="s">
        <v>47</v>
      </c>
      <c r="K451" s="2" t="s">
        <v>113</v>
      </c>
      <c r="L451" s="7">
        <v>44503.0</v>
      </c>
      <c r="M451" s="2" t="s">
        <v>25</v>
      </c>
      <c r="N451" s="2" t="s">
        <v>35</v>
      </c>
      <c r="O451" s="2" t="s">
        <v>27</v>
      </c>
      <c r="P451" s="2" t="s">
        <v>36</v>
      </c>
    </row>
    <row r="452" ht="14.25" customHeight="1">
      <c r="A452" s="6">
        <v>1.595493E7</v>
      </c>
      <c r="B452" s="2" t="s">
        <v>2138</v>
      </c>
      <c r="C452" s="2" t="s">
        <v>17</v>
      </c>
      <c r="D452" s="2" t="s">
        <v>18</v>
      </c>
      <c r="E452" s="2" t="s">
        <v>2139</v>
      </c>
      <c r="F452" s="2" t="s">
        <v>2140</v>
      </c>
      <c r="G452" s="2" t="s">
        <v>2141</v>
      </c>
      <c r="H452" s="2" t="s">
        <v>2134</v>
      </c>
      <c r="I452" s="2" t="s">
        <v>1099</v>
      </c>
      <c r="J452" s="2" t="s">
        <v>47</v>
      </c>
      <c r="K452" s="2" t="s">
        <v>113</v>
      </c>
      <c r="L452" s="7">
        <v>41641.0</v>
      </c>
      <c r="M452" s="2" t="s">
        <v>25</v>
      </c>
      <c r="N452" s="2" t="s">
        <v>35</v>
      </c>
      <c r="O452" s="2" t="s">
        <v>27</v>
      </c>
      <c r="P452" s="2" t="s">
        <v>36</v>
      </c>
    </row>
    <row r="453" ht="14.25" customHeight="1">
      <c r="A453" s="6">
        <v>1.6598825E7</v>
      </c>
      <c r="B453" s="2" t="s">
        <v>2142</v>
      </c>
      <c r="C453" s="2" t="s">
        <v>17</v>
      </c>
      <c r="D453" s="2" t="s">
        <v>18</v>
      </c>
      <c r="E453" s="2" t="s">
        <v>2143</v>
      </c>
      <c r="F453" s="2" t="s">
        <v>2143</v>
      </c>
      <c r="G453" s="2" t="s">
        <v>2144</v>
      </c>
      <c r="H453" s="2" t="s">
        <v>2134</v>
      </c>
      <c r="I453" s="2" t="s">
        <v>1099</v>
      </c>
      <c r="J453" s="2" t="s">
        <v>47</v>
      </c>
      <c r="K453" s="2" t="s">
        <v>113</v>
      </c>
      <c r="L453" s="7">
        <v>42186.0</v>
      </c>
      <c r="M453" s="2" t="s">
        <v>25</v>
      </c>
      <c r="N453" s="2" t="s">
        <v>35</v>
      </c>
      <c r="O453" s="2" t="s">
        <v>27</v>
      </c>
      <c r="P453" s="2" t="s">
        <v>36</v>
      </c>
    </row>
    <row r="454" ht="14.25" customHeight="1">
      <c r="A454" s="6">
        <v>1.9598957E7</v>
      </c>
      <c r="B454" s="2" t="s">
        <v>2145</v>
      </c>
      <c r="C454" s="2" t="s">
        <v>17</v>
      </c>
      <c r="D454" s="2" t="s">
        <v>18</v>
      </c>
      <c r="E454" s="2" t="s">
        <v>2146</v>
      </c>
      <c r="F454" s="2" t="s">
        <v>2146</v>
      </c>
      <c r="G454" s="2" t="s">
        <v>2147</v>
      </c>
      <c r="H454" s="2" t="s">
        <v>2134</v>
      </c>
      <c r="I454" s="2" t="s">
        <v>1099</v>
      </c>
      <c r="J454" s="2" t="s">
        <v>47</v>
      </c>
      <c r="K454" s="2" t="s">
        <v>113</v>
      </c>
      <c r="L454" s="7">
        <v>45659.0</v>
      </c>
      <c r="M454" s="2" t="s">
        <v>25</v>
      </c>
      <c r="N454" s="2" t="s">
        <v>35</v>
      </c>
      <c r="O454" s="2" t="s">
        <v>27</v>
      </c>
      <c r="P454" s="2" t="s">
        <v>36</v>
      </c>
    </row>
    <row r="455" ht="14.25" customHeight="1">
      <c r="A455" s="6">
        <v>1.8414706E7</v>
      </c>
      <c r="B455" s="2" t="s">
        <v>2148</v>
      </c>
      <c r="C455" s="2" t="s">
        <v>17</v>
      </c>
      <c r="D455" s="2" t="s">
        <v>167</v>
      </c>
      <c r="E455" s="2" t="s">
        <v>2149</v>
      </c>
      <c r="F455" s="2" t="s">
        <v>2149</v>
      </c>
      <c r="G455" s="2" t="s">
        <v>2150</v>
      </c>
      <c r="H455" s="2" t="s">
        <v>2134</v>
      </c>
      <c r="I455" s="2" t="s">
        <v>1099</v>
      </c>
      <c r="J455" s="2" t="s">
        <v>47</v>
      </c>
      <c r="K455" s="2" t="s">
        <v>24</v>
      </c>
      <c r="L455" s="7">
        <v>45933.0</v>
      </c>
      <c r="M455" s="2" t="s">
        <v>25</v>
      </c>
      <c r="N455" s="2" t="s">
        <v>35</v>
      </c>
      <c r="O455" s="2" t="s">
        <v>27</v>
      </c>
      <c r="P455" s="2" t="s">
        <v>28</v>
      </c>
    </row>
    <row r="456" ht="14.25" customHeight="1">
      <c r="A456" s="6">
        <v>1.8404502E7</v>
      </c>
      <c r="B456" s="2" t="s">
        <v>2151</v>
      </c>
      <c r="C456" s="2" t="s">
        <v>17</v>
      </c>
      <c r="D456" s="2" t="s">
        <v>167</v>
      </c>
      <c r="E456" s="2" t="s">
        <v>2152</v>
      </c>
      <c r="F456" s="2" t="s">
        <v>2152</v>
      </c>
      <c r="G456" s="2" t="s">
        <v>2153</v>
      </c>
      <c r="H456" s="2" t="s">
        <v>2134</v>
      </c>
      <c r="I456" s="2" t="s">
        <v>1099</v>
      </c>
      <c r="J456" s="2" t="s">
        <v>47</v>
      </c>
      <c r="K456" s="2" t="s">
        <v>24</v>
      </c>
      <c r="L456" s="7">
        <v>45933.0</v>
      </c>
      <c r="M456" s="2" t="s">
        <v>25</v>
      </c>
      <c r="N456" s="2" t="s">
        <v>35</v>
      </c>
      <c r="O456" s="2" t="s">
        <v>27</v>
      </c>
      <c r="P456" s="2" t="s">
        <v>28</v>
      </c>
    </row>
    <row r="457" ht="14.25" customHeight="1">
      <c r="A457" s="6">
        <v>1.9408587E7</v>
      </c>
      <c r="B457" s="2" t="s">
        <v>2154</v>
      </c>
      <c r="C457" s="2" t="s">
        <v>107</v>
      </c>
      <c r="D457" s="2" t="s">
        <v>18</v>
      </c>
      <c r="E457" s="2" t="s">
        <v>2155</v>
      </c>
      <c r="F457" s="2" t="s">
        <v>2156</v>
      </c>
      <c r="G457" s="2" t="s">
        <v>2157</v>
      </c>
      <c r="H457" s="2" t="s">
        <v>2158</v>
      </c>
      <c r="I457" s="2" t="s">
        <v>400</v>
      </c>
      <c r="J457" s="2" t="s">
        <v>401</v>
      </c>
      <c r="K457" s="2" t="s">
        <v>113</v>
      </c>
      <c r="L457" s="7">
        <v>45474.0</v>
      </c>
      <c r="M457" s="2" t="s">
        <v>154</v>
      </c>
      <c r="N457" s="2" t="s">
        <v>208</v>
      </c>
      <c r="O457" s="2" t="s">
        <v>116</v>
      </c>
      <c r="P457" s="2" t="s">
        <v>36</v>
      </c>
    </row>
    <row r="458" ht="14.25" customHeight="1">
      <c r="A458" s="6">
        <v>9377237.0</v>
      </c>
      <c r="B458" s="2" t="s">
        <v>2159</v>
      </c>
      <c r="C458" s="2" t="s">
        <v>17</v>
      </c>
      <c r="D458" s="2" t="s">
        <v>18</v>
      </c>
      <c r="E458" s="2" t="s">
        <v>2160</v>
      </c>
      <c r="F458" s="2" t="s">
        <v>2161</v>
      </c>
      <c r="G458" s="2" t="s">
        <v>2162</v>
      </c>
      <c r="H458" s="2" t="s">
        <v>2163</v>
      </c>
      <c r="I458" s="2" t="s">
        <v>2164</v>
      </c>
      <c r="J458" s="2" t="s">
        <v>801</v>
      </c>
      <c r="K458" s="2" t="s">
        <v>113</v>
      </c>
      <c r="L458" s="7">
        <v>40513.0</v>
      </c>
      <c r="M458" s="2" t="s">
        <v>25</v>
      </c>
      <c r="N458" s="2" t="s">
        <v>26</v>
      </c>
      <c r="O458" s="2" t="s">
        <v>27</v>
      </c>
      <c r="P458" s="2" t="s">
        <v>36</v>
      </c>
    </row>
    <row r="459" ht="14.25" customHeight="1">
      <c r="A459" s="6">
        <v>1.1353351E7</v>
      </c>
      <c r="B459" s="2" t="s">
        <v>2165</v>
      </c>
      <c r="C459" s="2" t="s">
        <v>17</v>
      </c>
      <c r="D459" s="2" t="s">
        <v>18</v>
      </c>
      <c r="E459" s="2" t="s">
        <v>2166</v>
      </c>
      <c r="F459" s="2" t="s">
        <v>2167</v>
      </c>
      <c r="G459" s="2" t="s">
        <v>2168</v>
      </c>
      <c r="H459" s="2" t="s">
        <v>2163</v>
      </c>
      <c r="I459" s="2" t="s">
        <v>941</v>
      </c>
      <c r="J459" s="2" t="s">
        <v>801</v>
      </c>
      <c r="K459" s="2" t="s">
        <v>113</v>
      </c>
      <c r="L459" s="7">
        <v>40513.0</v>
      </c>
      <c r="M459" s="2" t="s">
        <v>25</v>
      </c>
      <c r="N459" s="2" t="s">
        <v>26</v>
      </c>
      <c r="O459" s="2" t="s">
        <v>27</v>
      </c>
      <c r="P459" s="2" t="s">
        <v>36</v>
      </c>
    </row>
    <row r="460" ht="14.25" customHeight="1">
      <c r="A460" s="6">
        <v>1.4372168E7</v>
      </c>
      <c r="B460" s="2" t="s">
        <v>2169</v>
      </c>
      <c r="C460" s="2" t="s">
        <v>17</v>
      </c>
      <c r="D460" s="2" t="s">
        <v>18</v>
      </c>
      <c r="E460" s="2" t="s">
        <v>2170</v>
      </c>
      <c r="F460" s="2" t="s">
        <v>2171</v>
      </c>
      <c r="G460" s="2" t="s">
        <v>2172</v>
      </c>
      <c r="H460" s="2" t="s">
        <v>2163</v>
      </c>
      <c r="I460" s="2" t="s">
        <v>941</v>
      </c>
      <c r="J460" s="2" t="s">
        <v>801</v>
      </c>
      <c r="K460" s="2" t="s">
        <v>113</v>
      </c>
      <c r="L460" s="7">
        <v>42186.0</v>
      </c>
      <c r="M460" s="2" t="s">
        <v>25</v>
      </c>
      <c r="N460" s="2" t="s">
        <v>26</v>
      </c>
      <c r="O460" s="2" t="s">
        <v>200</v>
      </c>
      <c r="P460" s="2" t="s">
        <v>36</v>
      </c>
    </row>
    <row r="461" ht="14.25" customHeight="1">
      <c r="A461" s="6">
        <v>9464925.0</v>
      </c>
      <c r="B461" s="2" t="s">
        <v>2173</v>
      </c>
      <c r="C461" s="2" t="s">
        <v>17</v>
      </c>
      <c r="D461" s="2" t="s">
        <v>18</v>
      </c>
      <c r="E461" s="2" t="s">
        <v>2174</v>
      </c>
      <c r="F461" s="2" t="s">
        <v>2175</v>
      </c>
      <c r="G461" s="2" t="s">
        <v>2176</v>
      </c>
      <c r="H461" s="2" t="s">
        <v>2163</v>
      </c>
      <c r="I461" s="2" t="s">
        <v>2177</v>
      </c>
      <c r="J461" s="2" t="s">
        <v>801</v>
      </c>
      <c r="K461" s="2" t="s">
        <v>113</v>
      </c>
      <c r="L461" s="7">
        <v>40513.0</v>
      </c>
      <c r="M461" s="2" t="s">
        <v>25</v>
      </c>
      <c r="N461" s="2" t="s">
        <v>26</v>
      </c>
      <c r="O461" s="2" t="s">
        <v>27</v>
      </c>
      <c r="P461" s="2" t="s">
        <v>36</v>
      </c>
    </row>
    <row r="462" ht="14.25" customHeight="1">
      <c r="A462" s="6">
        <v>2.036243E7</v>
      </c>
      <c r="B462" s="2" t="s">
        <v>2178</v>
      </c>
      <c r="C462" s="2" t="s">
        <v>17</v>
      </c>
      <c r="D462" s="2" t="s">
        <v>18</v>
      </c>
      <c r="E462" s="2" t="s">
        <v>2179</v>
      </c>
      <c r="F462" s="2" t="s">
        <v>2180</v>
      </c>
      <c r="G462" s="2" t="s">
        <v>2181</v>
      </c>
      <c r="H462" s="2" t="s">
        <v>2182</v>
      </c>
      <c r="I462" s="2" t="s">
        <v>2164</v>
      </c>
      <c r="J462" s="2" t="s">
        <v>801</v>
      </c>
      <c r="K462" s="2" t="s">
        <v>113</v>
      </c>
      <c r="L462" s="7">
        <v>44986.0</v>
      </c>
      <c r="M462" s="2" t="s">
        <v>25</v>
      </c>
      <c r="N462" s="2" t="s">
        <v>26</v>
      </c>
      <c r="O462" s="2" t="s">
        <v>27</v>
      </c>
      <c r="P462" s="2" t="s">
        <v>36</v>
      </c>
    </row>
    <row r="463" ht="14.25" customHeight="1">
      <c r="A463" s="6">
        <v>1.3110167E7</v>
      </c>
      <c r="B463" s="2" t="s">
        <v>2183</v>
      </c>
      <c r="C463" s="2" t="s">
        <v>17</v>
      </c>
      <c r="D463" s="2" t="s">
        <v>18</v>
      </c>
      <c r="E463" s="2" t="s">
        <v>2184</v>
      </c>
      <c r="F463" s="2" t="s">
        <v>2185</v>
      </c>
      <c r="G463" s="2" t="s">
        <v>2186</v>
      </c>
      <c r="H463" s="2" t="s">
        <v>2182</v>
      </c>
      <c r="I463" s="2" t="s">
        <v>2164</v>
      </c>
      <c r="J463" s="2" t="s">
        <v>801</v>
      </c>
      <c r="K463" s="2" t="s">
        <v>113</v>
      </c>
      <c r="L463" s="7">
        <v>44571.0</v>
      </c>
      <c r="M463" s="2" t="s">
        <v>25</v>
      </c>
      <c r="N463" s="2" t="s">
        <v>26</v>
      </c>
      <c r="O463" s="2" t="s">
        <v>27</v>
      </c>
      <c r="P463" s="2" t="s">
        <v>36</v>
      </c>
    </row>
    <row r="464" ht="14.25" customHeight="1">
      <c r="A464" s="6">
        <v>1.8808896E7</v>
      </c>
      <c r="B464" s="2" t="s">
        <v>2187</v>
      </c>
      <c r="C464" s="2" t="s">
        <v>17</v>
      </c>
      <c r="D464" s="2" t="s">
        <v>18</v>
      </c>
      <c r="E464" s="2" t="s">
        <v>2188</v>
      </c>
      <c r="F464" s="2" t="s">
        <v>2189</v>
      </c>
      <c r="G464" s="2" t="s">
        <v>2190</v>
      </c>
      <c r="H464" s="2" t="s">
        <v>2182</v>
      </c>
      <c r="I464" s="2" t="s">
        <v>2164</v>
      </c>
      <c r="J464" s="2" t="s">
        <v>801</v>
      </c>
      <c r="K464" s="2" t="s">
        <v>113</v>
      </c>
      <c r="L464" s="7">
        <v>44459.0</v>
      </c>
      <c r="M464" s="2" t="s">
        <v>25</v>
      </c>
      <c r="N464" s="2" t="s">
        <v>26</v>
      </c>
      <c r="O464" s="2" t="s">
        <v>27</v>
      </c>
      <c r="P464" s="2" t="s">
        <v>36</v>
      </c>
    </row>
    <row r="465" ht="14.25" customHeight="1">
      <c r="A465" s="6">
        <v>8973214.0</v>
      </c>
      <c r="B465" s="2" t="s">
        <v>2191</v>
      </c>
      <c r="C465" s="2" t="s">
        <v>17</v>
      </c>
      <c r="D465" s="2" t="s">
        <v>18</v>
      </c>
      <c r="E465" s="2" t="s">
        <v>2192</v>
      </c>
      <c r="F465" s="2" t="s">
        <v>2192</v>
      </c>
      <c r="G465" s="2" t="s">
        <v>2193</v>
      </c>
      <c r="H465" s="2" t="s">
        <v>2182</v>
      </c>
      <c r="I465" s="2" t="s">
        <v>2177</v>
      </c>
      <c r="J465" s="2" t="s">
        <v>801</v>
      </c>
      <c r="K465" s="2" t="s">
        <v>113</v>
      </c>
      <c r="L465" s="7">
        <v>40588.0</v>
      </c>
      <c r="M465" s="2" t="s">
        <v>25</v>
      </c>
      <c r="N465" s="2" t="s">
        <v>26</v>
      </c>
      <c r="O465" s="2" t="s">
        <v>27</v>
      </c>
      <c r="P465" s="2" t="s">
        <v>36</v>
      </c>
    </row>
    <row r="466" ht="14.25" customHeight="1">
      <c r="A466" s="6">
        <v>1.5188052E7</v>
      </c>
      <c r="B466" s="2" t="s">
        <v>2194</v>
      </c>
      <c r="C466" s="2" t="s">
        <v>17</v>
      </c>
      <c r="D466" s="2" t="s">
        <v>18</v>
      </c>
      <c r="E466" s="2" t="s">
        <v>2195</v>
      </c>
      <c r="F466" s="2" t="s">
        <v>2195</v>
      </c>
      <c r="G466" s="2" t="s">
        <v>2196</v>
      </c>
      <c r="H466" s="2" t="s">
        <v>2182</v>
      </c>
      <c r="I466" s="2" t="s">
        <v>2177</v>
      </c>
      <c r="J466" s="2" t="s">
        <v>801</v>
      </c>
      <c r="K466" s="2" t="s">
        <v>24</v>
      </c>
      <c r="L466" s="7">
        <v>45870.0</v>
      </c>
      <c r="M466" s="2" t="s">
        <v>25</v>
      </c>
      <c r="N466" s="2" t="s">
        <v>26</v>
      </c>
      <c r="O466" s="2" t="s">
        <v>27</v>
      </c>
      <c r="P466" s="2" t="s">
        <v>28</v>
      </c>
    </row>
    <row r="467" ht="14.25" customHeight="1">
      <c r="A467" s="6">
        <v>2.0441624E7</v>
      </c>
      <c r="B467" s="2" t="s">
        <v>2197</v>
      </c>
      <c r="C467" s="2" t="s">
        <v>17</v>
      </c>
      <c r="D467" s="2" t="s">
        <v>18</v>
      </c>
      <c r="E467" s="2" t="s">
        <v>2198</v>
      </c>
      <c r="F467" s="2" t="s">
        <v>2199</v>
      </c>
      <c r="G467" s="2" t="s">
        <v>2200</v>
      </c>
      <c r="H467" s="2" t="s">
        <v>2182</v>
      </c>
      <c r="I467" s="2" t="s">
        <v>2201</v>
      </c>
      <c r="J467" s="2" t="s">
        <v>801</v>
      </c>
      <c r="K467" s="2" t="s">
        <v>113</v>
      </c>
      <c r="L467" s="7">
        <v>44868.0</v>
      </c>
      <c r="M467" s="2" t="s">
        <v>312</v>
      </c>
      <c r="N467" s="2" t="s">
        <v>26</v>
      </c>
      <c r="O467" s="2" t="s">
        <v>312</v>
      </c>
      <c r="P467" s="2" t="s">
        <v>36</v>
      </c>
    </row>
    <row r="468" ht="14.25" customHeight="1">
      <c r="A468" s="6">
        <v>1.5588476E7</v>
      </c>
      <c r="B468" s="2" t="s">
        <v>2202</v>
      </c>
      <c r="C468" s="2" t="s">
        <v>17</v>
      </c>
      <c r="D468" s="2" t="s">
        <v>38</v>
      </c>
      <c r="E468" s="2" t="s">
        <v>2203</v>
      </c>
      <c r="F468" s="2" t="s">
        <v>2203</v>
      </c>
      <c r="G468" s="2" t="s">
        <v>2204</v>
      </c>
      <c r="H468" s="2" t="s">
        <v>2182</v>
      </c>
      <c r="I468" s="2" t="s">
        <v>941</v>
      </c>
      <c r="J468" s="2" t="s">
        <v>801</v>
      </c>
      <c r="K468" s="2" t="s">
        <v>24</v>
      </c>
      <c r="L468" s="7">
        <v>45922.0</v>
      </c>
      <c r="M468" s="2" t="s">
        <v>25</v>
      </c>
      <c r="N468" s="2" t="s">
        <v>26</v>
      </c>
      <c r="O468" s="2" t="s">
        <v>27</v>
      </c>
      <c r="P468" s="2" t="s">
        <v>28</v>
      </c>
    </row>
    <row r="469" ht="14.25" customHeight="1">
      <c r="A469" s="6">
        <v>9520956.0</v>
      </c>
      <c r="B469" s="2" t="s">
        <v>2205</v>
      </c>
      <c r="C469" s="2" t="s">
        <v>17</v>
      </c>
      <c r="D469" s="2" t="s">
        <v>88</v>
      </c>
      <c r="E469" s="2" t="s">
        <v>2206</v>
      </c>
      <c r="F469" s="2" t="s">
        <v>2206</v>
      </c>
      <c r="G469" s="2" t="s">
        <v>2207</v>
      </c>
      <c r="H469" s="2" t="s">
        <v>2182</v>
      </c>
      <c r="I469" s="2" t="s">
        <v>2177</v>
      </c>
      <c r="J469" s="2" t="s">
        <v>801</v>
      </c>
      <c r="K469" s="2" t="s">
        <v>24</v>
      </c>
      <c r="L469" s="7">
        <v>45922.0</v>
      </c>
      <c r="M469" s="2" t="s">
        <v>25</v>
      </c>
      <c r="N469" s="2" t="s">
        <v>26</v>
      </c>
      <c r="O469" s="2" t="s">
        <v>27</v>
      </c>
      <c r="P469" s="2" t="s">
        <v>28</v>
      </c>
    </row>
    <row r="470" ht="14.25" customHeight="1">
      <c r="A470" s="6">
        <v>1.9577743E7</v>
      </c>
      <c r="B470" s="2" t="s">
        <v>2208</v>
      </c>
      <c r="C470" s="2" t="s">
        <v>17</v>
      </c>
      <c r="D470" s="2" t="s">
        <v>88</v>
      </c>
      <c r="E470" s="2" t="s">
        <v>2209</v>
      </c>
      <c r="F470" s="2" t="s">
        <v>2209</v>
      </c>
      <c r="G470" s="2" t="s">
        <v>2210</v>
      </c>
      <c r="H470" s="2" t="s">
        <v>2182</v>
      </c>
      <c r="I470" s="2" t="s">
        <v>941</v>
      </c>
      <c r="J470" s="2" t="s">
        <v>801</v>
      </c>
      <c r="K470" s="2" t="s">
        <v>24</v>
      </c>
      <c r="L470" s="7">
        <v>45936.0</v>
      </c>
      <c r="M470" s="2" t="s">
        <v>25</v>
      </c>
      <c r="N470" s="2" t="s">
        <v>26</v>
      </c>
      <c r="O470" s="2" t="s">
        <v>27</v>
      </c>
      <c r="P470" s="2" t="s">
        <v>28</v>
      </c>
    </row>
    <row r="471" ht="14.25" customHeight="1">
      <c r="A471" s="6">
        <v>1.7450701E7</v>
      </c>
      <c r="B471" s="2" t="s">
        <v>2211</v>
      </c>
      <c r="C471" s="2" t="s">
        <v>17</v>
      </c>
      <c r="D471" s="2" t="s">
        <v>18</v>
      </c>
      <c r="E471" s="2" t="s">
        <v>2212</v>
      </c>
      <c r="F471" s="2" t="s">
        <v>2212</v>
      </c>
      <c r="G471" s="2" t="s">
        <v>2213</v>
      </c>
      <c r="H471" s="2" t="s">
        <v>2182</v>
      </c>
      <c r="I471" s="2" t="s">
        <v>941</v>
      </c>
      <c r="J471" s="2" t="s">
        <v>801</v>
      </c>
      <c r="K471" s="2" t="s">
        <v>24</v>
      </c>
      <c r="L471" s="7">
        <v>45936.0</v>
      </c>
      <c r="M471" s="2" t="s">
        <v>25</v>
      </c>
      <c r="N471" s="2" t="s">
        <v>26</v>
      </c>
      <c r="O471" s="2" t="s">
        <v>27</v>
      </c>
      <c r="P471" s="2" t="s">
        <v>28</v>
      </c>
    </row>
    <row r="472" ht="14.25" customHeight="1">
      <c r="A472" s="6">
        <v>1.1901061E7</v>
      </c>
      <c r="B472" s="2" t="s">
        <v>2214</v>
      </c>
      <c r="C472" s="2" t="s">
        <v>17</v>
      </c>
      <c r="D472" s="2" t="s">
        <v>18</v>
      </c>
      <c r="E472" s="2" t="s">
        <v>2215</v>
      </c>
      <c r="F472" s="2" t="s">
        <v>2216</v>
      </c>
      <c r="G472" s="2" t="s">
        <v>2217</v>
      </c>
      <c r="H472" s="2" t="s">
        <v>2218</v>
      </c>
      <c r="I472" s="2" t="s">
        <v>2177</v>
      </c>
      <c r="J472" s="2" t="s">
        <v>801</v>
      </c>
      <c r="K472" s="2" t="s">
        <v>113</v>
      </c>
      <c r="L472" s="7">
        <v>44586.0</v>
      </c>
      <c r="M472" s="2" t="s">
        <v>25</v>
      </c>
      <c r="N472" s="2" t="s">
        <v>26</v>
      </c>
      <c r="O472" s="2" t="s">
        <v>27</v>
      </c>
      <c r="P472" s="2" t="s">
        <v>36</v>
      </c>
    </row>
    <row r="473" ht="14.25" customHeight="1">
      <c r="A473" s="6">
        <v>1.519358E7</v>
      </c>
      <c r="B473" s="2" t="s">
        <v>2219</v>
      </c>
      <c r="C473" s="2" t="s">
        <v>17</v>
      </c>
      <c r="D473" s="2" t="s">
        <v>18</v>
      </c>
      <c r="E473" s="2" t="s">
        <v>2220</v>
      </c>
      <c r="F473" s="2" t="s">
        <v>2220</v>
      </c>
      <c r="G473" s="2" t="s">
        <v>2221</v>
      </c>
      <c r="H473" s="2" t="s">
        <v>2218</v>
      </c>
      <c r="I473" s="2" t="s">
        <v>2177</v>
      </c>
      <c r="J473" s="2" t="s">
        <v>801</v>
      </c>
      <c r="K473" s="2" t="s">
        <v>113</v>
      </c>
      <c r="L473" s="7">
        <v>44284.0</v>
      </c>
      <c r="M473" s="2" t="s">
        <v>25</v>
      </c>
      <c r="N473" s="2" t="s">
        <v>26</v>
      </c>
      <c r="O473" s="2" t="s">
        <v>27</v>
      </c>
      <c r="P473" s="2" t="s">
        <v>36</v>
      </c>
    </row>
    <row r="474" ht="14.25" customHeight="1">
      <c r="A474" s="6">
        <v>1.191346E7</v>
      </c>
      <c r="B474" s="2" t="s">
        <v>2222</v>
      </c>
      <c r="C474" s="2" t="s">
        <v>17</v>
      </c>
      <c r="D474" s="2" t="s">
        <v>18</v>
      </c>
      <c r="E474" s="2" t="s">
        <v>2223</v>
      </c>
      <c r="F474" s="2" t="s">
        <v>2224</v>
      </c>
      <c r="G474" s="2" t="s">
        <v>2225</v>
      </c>
      <c r="H474" s="2" t="s">
        <v>2218</v>
      </c>
      <c r="I474" s="2" t="s">
        <v>2177</v>
      </c>
      <c r="J474" s="2" t="s">
        <v>801</v>
      </c>
      <c r="K474" s="2" t="s">
        <v>113</v>
      </c>
      <c r="L474" s="7">
        <v>44929.0</v>
      </c>
      <c r="M474" s="2" t="s">
        <v>25</v>
      </c>
      <c r="N474" s="2" t="s">
        <v>26</v>
      </c>
      <c r="O474" s="2" t="s">
        <v>27</v>
      </c>
      <c r="P474" s="2" t="s">
        <v>36</v>
      </c>
    </row>
    <row r="475" ht="14.25" customHeight="1">
      <c r="A475" s="6">
        <v>1.3954612E7</v>
      </c>
      <c r="B475" s="2" t="s">
        <v>2226</v>
      </c>
      <c r="C475" s="2" t="s">
        <v>17</v>
      </c>
      <c r="D475" s="2" t="s">
        <v>18</v>
      </c>
      <c r="E475" s="2" t="s">
        <v>2227</v>
      </c>
      <c r="F475" s="2" t="s">
        <v>2227</v>
      </c>
      <c r="G475" s="2" t="s">
        <v>2228</v>
      </c>
      <c r="H475" s="2" t="s">
        <v>2218</v>
      </c>
      <c r="I475" s="2" t="s">
        <v>2177</v>
      </c>
      <c r="J475" s="2" t="s">
        <v>801</v>
      </c>
      <c r="K475" s="2" t="s">
        <v>113</v>
      </c>
      <c r="L475" s="7">
        <v>44317.0</v>
      </c>
      <c r="M475" s="2" t="s">
        <v>25</v>
      </c>
      <c r="N475" s="2" t="s">
        <v>26</v>
      </c>
      <c r="O475" s="2" t="s">
        <v>27</v>
      </c>
      <c r="P475" s="2" t="s">
        <v>36</v>
      </c>
    </row>
    <row r="476" ht="14.25" customHeight="1">
      <c r="A476" s="6">
        <v>2.0125042E7</v>
      </c>
      <c r="B476" s="2" t="s">
        <v>2229</v>
      </c>
      <c r="C476" s="2" t="s">
        <v>17</v>
      </c>
      <c r="D476" s="2" t="s">
        <v>38</v>
      </c>
      <c r="E476" s="2" t="s">
        <v>2230</v>
      </c>
      <c r="F476" s="2" t="s">
        <v>2230</v>
      </c>
      <c r="G476" s="2" t="s">
        <v>2231</v>
      </c>
      <c r="H476" s="2" t="s">
        <v>2218</v>
      </c>
      <c r="I476" s="2" t="s">
        <v>2164</v>
      </c>
      <c r="J476" s="2" t="s">
        <v>801</v>
      </c>
      <c r="K476" s="2" t="s">
        <v>24</v>
      </c>
      <c r="L476" s="7">
        <v>45922.0</v>
      </c>
      <c r="M476" s="2" t="s">
        <v>25</v>
      </c>
      <c r="N476" s="2" t="s">
        <v>26</v>
      </c>
      <c r="O476" s="2" t="s">
        <v>27</v>
      </c>
      <c r="P476" s="2" t="s">
        <v>28</v>
      </c>
    </row>
    <row r="477" ht="14.25" customHeight="1">
      <c r="A477" s="6">
        <v>1.1903785E7</v>
      </c>
      <c r="B477" s="2" t="s">
        <v>2232</v>
      </c>
      <c r="C477" s="2" t="s">
        <v>17</v>
      </c>
      <c r="D477" s="2" t="s">
        <v>88</v>
      </c>
      <c r="E477" s="2" t="s">
        <v>2233</v>
      </c>
      <c r="F477" s="2" t="s">
        <v>2233</v>
      </c>
      <c r="G477" s="2" t="s">
        <v>2234</v>
      </c>
      <c r="H477" s="2" t="s">
        <v>2218</v>
      </c>
      <c r="I477" s="2" t="s">
        <v>2177</v>
      </c>
      <c r="J477" s="2" t="s">
        <v>801</v>
      </c>
      <c r="K477" s="2" t="s">
        <v>24</v>
      </c>
      <c r="L477" s="7">
        <v>45922.0</v>
      </c>
      <c r="M477" s="2" t="s">
        <v>25</v>
      </c>
      <c r="N477" s="2" t="s">
        <v>26</v>
      </c>
      <c r="O477" s="2" t="s">
        <v>27</v>
      </c>
      <c r="P477" s="2" t="s">
        <v>28</v>
      </c>
    </row>
    <row r="478" ht="14.25" customHeight="1">
      <c r="A478" s="6">
        <v>9762103.0</v>
      </c>
      <c r="B478" s="2" t="s">
        <v>2235</v>
      </c>
      <c r="C478" s="2" t="s">
        <v>17</v>
      </c>
      <c r="D478" s="2" t="s">
        <v>18</v>
      </c>
      <c r="E478" s="2" t="s">
        <v>2236</v>
      </c>
      <c r="F478" s="2" t="s">
        <v>2237</v>
      </c>
      <c r="G478" s="2" t="s">
        <v>2238</v>
      </c>
      <c r="H478" s="2" t="s">
        <v>2239</v>
      </c>
      <c r="I478" s="2" t="s">
        <v>2164</v>
      </c>
      <c r="J478" s="2" t="s">
        <v>801</v>
      </c>
      <c r="K478" s="2" t="s">
        <v>113</v>
      </c>
      <c r="L478" s="7">
        <v>40513.0</v>
      </c>
      <c r="M478" s="2" t="s">
        <v>25</v>
      </c>
      <c r="N478" s="2" t="s">
        <v>26</v>
      </c>
      <c r="O478" s="2" t="s">
        <v>27</v>
      </c>
      <c r="P478" s="2" t="s">
        <v>36</v>
      </c>
    </row>
    <row r="479" ht="14.25" customHeight="1">
      <c r="A479" s="6">
        <v>1.4213032E7</v>
      </c>
      <c r="B479" s="2" t="s">
        <v>2240</v>
      </c>
      <c r="C479" s="2" t="s">
        <v>17</v>
      </c>
      <c r="D479" s="2" t="s">
        <v>18</v>
      </c>
      <c r="E479" s="2" t="s">
        <v>2241</v>
      </c>
      <c r="F479" s="2" t="s">
        <v>2241</v>
      </c>
      <c r="G479" s="2" t="s">
        <v>2242</v>
      </c>
      <c r="H479" s="2" t="s">
        <v>2243</v>
      </c>
      <c r="I479" s="2" t="s">
        <v>2244</v>
      </c>
      <c r="J479" s="2" t="s">
        <v>34</v>
      </c>
      <c r="K479" s="2" t="s">
        <v>113</v>
      </c>
      <c r="L479" s="7">
        <v>45017.0</v>
      </c>
      <c r="M479" s="2" t="s">
        <v>25</v>
      </c>
      <c r="N479" s="2" t="s">
        <v>35</v>
      </c>
      <c r="O479" s="2" t="s">
        <v>27</v>
      </c>
      <c r="P479" s="2" t="s">
        <v>36</v>
      </c>
    </row>
    <row r="480" ht="14.25" customHeight="1">
      <c r="A480" s="6">
        <v>1.5955455E7</v>
      </c>
      <c r="B480" s="2" t="s">
        <v>2245</v>
      </c>
      <c r="C480" s="2" t="s">
        <v>17</v>
      </c>
      <c r="D480" s="2" t="s">
        <v>18</v>
      </c>
      <c r="E480" s="2" t="s">
        <v>2246</v>
      </c>
      <c r="F480" s="2" t="s">
        <v>2246</v>
      </c>
      <c r="G480" s="2" t="s">
        <v>2247</v>
      </c>
      <c r="H480" s="2" t="s">
        <v>2243</v>
      </c>
      <c r="I480" s="2" t="s">
        <v>2244</v>
      </c>
      <c r="J480" s="2" t="s">
        <v>34</v>
      </c>
      <c r="K480" s="2" t="s">
        <v>113</v>
      </c>
      <c r="L480" s="7">
        <v>40513.0</v>
      </c>
      <c r="M480" s="2" t="s">
        <v>25</v>
      </c>
      <c r="N480" s="2" t="s">
        <v>35</v>
      </c>
      <c r="O480" s="2" t="s">
        <v>27</v>
      </c>
      <c r="P480" s="2" t="s">
        <v>36</v>
      </c>
    </row>
    <row r="481" ht="14.25" customHeight="1">
      <c r="A481" s="6">
        <v>1.7969311E7</v>
      </c>
      <c r="B481" s="2" t="s">
        <v>2248</v>
      </c>
      <c r="C481" s="2" t="s">
        <v>17</v>
      </c>
      <c r="D481" s="2" t="s">
        <v>18</v>
      </c>
      <c r="E481" s="2" t="s">
        <v>2249</v>
      </c>
      <c r="F481" s="2" t="s">
        <v>2249</v>
      </c>
      <c r="G481" s="2" t="s">
        <v>2250</v>
      </c>
      <c r="H481" s="2" t="s">
        <v>2243</v>
      </c>
      <c r="I481" s="2" t="s">
        <v>1674</v>
      </c>
      <c r="J481" s="2" t="s">
        <v>34</v>
      </c>
      <c r="K481" s="2" t="s">
        <v>113</v>
      </c>
      <c r="L481" s="7">
        <v>45110.0</v>
      </c>
      <c r="M481" s="2" t="s">
        <v>25</v>
      </c>
      <c r="N481" s="2" t="s">
        <v>35</v>
      </c>
      <c r="O481" s="2" t="s">
        <v>27</v>
      </c>
      <c r="P481" s="2" t="s">
        <v>36</v>
      </c>
    </row>
    <row r="482" ht="14.25" customHeight="1">
      <c r="A482" s="6">
        <v>2.2346011E7</v>
      </c>
      <c r="B482" s="2" t="s">
        <v>2251</v>
      </c>
      <c r="C482" s="2" t="s">
        <v>17</v>
      </c>
      <c r="D482" s="2" t="s">
        <v>18</v>
      </c>
      <c r="E482" s="2" t="s">
        <v>2252</v>
      </c>
      <c r="F482" s="2" t="s">
        <v>2253</v>
      </c>
      <c r="G482" s="2" t="s">
        <v>2254</v>
      </c>
      <c r="H482" s="2" t="s">
        <v>2243</v>
      </c>
      <c r="I482" s="2" t="s">
        <v>1674</v>
      </c>
      <c r="J482" s="2" t="s">
        <v>34</v>
      </c>
      <c r="K482" s="2" t="s">
        <v>113</v>
      </c>
      <c r="L482" s="7">
        <v>45048.0</v>
      </c>
      <c r="M482" s="2" t="s">
        <v>25</v>
      </c>
      <c r="N482" s="2" t="s">
        <v>35</v>
      </c>
      <c r="O482" s="2" t="s">
        <v>27</v>
      </c>
      <c r="P482" s="2" t="s">
        <v>36</v>
      </c>
    </row>
    <row r="483" ht="14.25" customHeight="1">
      <c r="A483" s="6">
        <v>7969608.0</v>
      </c>
      <c r="B483" s="2" t="s">
        <v>2255</v>
      </c>
      <c r="C483" s="2" t="s">
        <v>17</v>
      </c>
      <c r="D483" s="2" t="s">
        <v>18</v>
      </c>
      <c r="E483" s="2" t="s">
        <v>2256</v>
      </c>
      <c r="F483" s="2" t="s">
        <v>2256</v>
      </c>
      <c r="G483" s="2" t="s">
        <v>2257</v>
      </c>
      <c r="H483" s="2" t="s">
        <v>2243</v>
      </c>
      <c r="I483" s="2" t="s">
        <v>2244</v>
      </c>
      <c r="J483" s="2" t="s">
        <v>34</v>
      </c>
      <c r="K483" s="2" t="s">
        <v>113</v>
      </c>
      <c r="L483" s="7">
        <v>40513.0</v>
      </c>
      <c r="M483" s="2" t="s">
        <v>25</v>
      </c>
      <c r="N483" s="2" t="s">
        <v>35</v>
      </c>
      <c r="O483" s="2" t="s">
        <v>27</v>
      </c>
      <c r="P483" s="2" t="s">
        <v>36</v>
      </c>
    </row>
    <row r="484" ht="14.25" customHeight="1">
      <c r="A484" s="6">
        <v>1.5170747E7</v>
      </c>
      <c r="B484" s="2" t="s">
        <v>2258</v>
      </c>
      <c r="C484" s="2" t="s">
        <v>17</v>
      </c>
      <c r="D484" s="2" t="s">
        <v>18</v>
      </c>
      <c r="E484" s="2" t="s">
        <v>2259</v>
      </c>
      <c r="F484" s="2" t="s">
        <v>2259</v>
      </c>
      <c r="G484" s="2" t="s">
        <v>2260</v>
      </c>
      <c r="H484" s="2" t="s">
        <v>2261</v>
      </c>
      <c r="I484" s="2" t="s">
        <v>2244</v>
      </c>
      <c r="J484" s="2" t="s">
        <v>34</v>
      </c>
      <c r="K484" s="2" t="s">
        <v>113</v>
      </c>
      <c r="L484" s="7">
        <v>45397.0</v>
      </c>
      <c r="M484" s="2" t="s">
        <v>25</v>
      </c>
      <c r="N484" s="2" t="s">
        <v>35</v>
      </c>
      <c r="O484" s="2" t="s">
        <v>27</v>
      </c>
      <c r="P484" s="2" t="s">
        <v>36</v>
      </c>
    </row>
    <row r="485" ht="14.25" customHeight="1">
      <c r="A485" s="6">
        <v>1.6442016E7</v>
      </c>
      <c r="B485" s="2" t="s">
        <v>2262</v>
      </c>
      <c r="C485" s="2" t="s">
        <v>17</v>
      </c>
      <c r="D485" s="2" t="s">
        <v>18</v>
      </c>
      <c r="E485" s="2" t="s">
        <v>2263</v>
      </c>
      <c r="F485" s="2" t="s">
        <v>2263</v>
      </c>
      <c r="G485" s="2" t="s">
        <v>2264</v>
      </c>
      <c r="H485" s="2" t="s">
        <v>2261</v>
      </c>
      <c r="I485" s="2" t="s">
        <v>1049</v>
      </c>
      <c r="J485" s="2" t="s">
        <v>34</v>
      </c>
      <c r="K485" s="2" t="s">
        <v>113</v>
      </c>
      <c r="L485" s="7">
        <v>44617.0</v>
      </c>
      <c r="M485" s="2" t="s">
        <v>312</v>
      </c>
      <c r="N485" s="2" t="s">
        <v>35</v>
      </c>
      <c r="O485" s="2" t="s">
        <v>312</v>
      </c>
      <c r="P485" s="2" t="s">
        <v>36</v>
      </c>
    </row>
    <row r="486" ht="14.25" customHeight="1">
      <c r="A486" s="6">
        <v>1.8633168E7</v>
      </c>
      <c r="B486" s="2" t="s">
        <v>2265</v>
      </c>
      <c r="C486" s="2" t="s">
        <v>17</v>
      </c>
      <c r="D486" s="2" t="s">
        <v>18</v>
      </c>
      <c r="E486" s="2" t="s">
        <v>2266</v>
      </c>
      <c r="F486" s="2" t="s">
        <v>2266</v>
      </c>
      <c r="G486" s="2" t="s">
        <v>2267</v>
      </c>
      <c r="H486" s="2" t="s">
        <v>2261</v>
      </c>
      <c r="I486" s="2" t="s">
        <v>1049</v>
      </c>
      <c r="J486" s="2" t="s">
        <v>34</v>
      </c>
      <c r="K486" s="2" t="s">
        <v>113</v>
      </c>
      <c r="L486" s="7">
        <v>45180.0</v>
      </c>
      <c r="M486" s="2" t="s">
        <v>312</v>
      </c>
      <c r="N486" s="2" t="s">
        <v>35</v>
      </c>
      <c r="O486" s="2" t="s">
        <v>312</v>
      </c>
      <c r="P486" s="2" t="s">
        <v>36</v>
      </c>
    </row>
    <row r="487" ht="14.25" customHeight="1">
      <c r="A487" s="6">
        <v>9590822.0</v>
      </c>
      <c r="B487" s="2" t="s">
        <v>2268</v>
      </c>
      <c r="C487" s="2" t="s">
        <v>17</v>
      </c>
      <c r="D487" s="2" t="s">
        <v>18</v>
      </c>
      <c r="E487" s="2" t="s">
        <v>2269</v>
      </c>
      <c r="F487" s="2" t="s">
        <v>2269</v>
      </c>
      <c r="G487" s="2" t="s">
        <v>2270</v>
      </c>
      <c r="H487" s="2" t="s">
        <v>2261</v>
      </c>
      <c r="I487" s="2" t="s">
        <v>1049</v>
      </c>
      <c r="J487" s="2" t="s">
        <v>34</v>
      </c>
      <c r="K487" s="2" t="s">
        <v>113</v>
      </c>
      <c r="L487" s="7">
        <v>40513.0</v>
      </c>
      <c r="M487" s="2" t="s">
        <v>312</v>
      </c>
      <c r="N487" s="2" t="s">
        <v>35</v>
      </c>
      <c r="O487" s="2" t="s">
        <v>312</v>
      </c>
      <c r="P487" s="2" t="s">
        <v>36</v>
      </c>
    </row>
    <row r="488" ht="14.25" customHeight="1">
      <c r="A488" s="6">
        <v>1.1755533E7</v>
      </c>
      <c r="B488" s="2" t="s">
        <v>2271</v>
      </c>
      <c r="C488" s="2" t="s">
        <v>17</v>
      </c>
      <c r="D488" s="2" t="s">
        <v>18</v>
      </c>
      <c r="E488" s="2" t="s">
        <v>2272</v>
      </c>
      <c r="F488" s="2" t="s">
        <v>2272</v>
      </c>
      <c r="G488" s="2" t="s">
        <v>2273</v>
      </c>
      <c r="H488" s="2" t="s">
        <v>2261</v>
      </c>
      <c r="I488" s="2" t="s">
        <v>1049</v>
      </c>
      <c r="J488" s="2" t="s">
        <v>34</v>
      </c>
      <c r="K488" s="2" t="s">
        <v>113</v>
      </c>
      <c r="L488" s="7">
        <v>45414.0</v>
      </c>
      <c r="M488" s="2" t="s">
        <v>312</v>
      </c>
      <c r="N488" s="2" t="s">
        <v>35</v>
      </c>
      <c r="O488" s="2" t="s">
        <v>312</v>
      </c>
      <c r="P488" s="2" t="s">
        <v>36</v>
      </c>
    </row>
    <row r="489" ht="14.25" customHeight="1">
      <c r="A489" s="6">
        <v>1.0117554E7</v>
      </c>
      <c r="B489" s="2" t="s">
        <v>2274</v>
      </c>
      <c r="C489" s="2" t="s">
        <v>17</v>
      </c>
      <c r="D489" s="2" t="s">
        <v>18</v>
      </c>
      <c r="E489" s="2" t="s">
        <v>2275</v>
      </c>
      <c r="F489" s="2" t="s">
        <v>2275</v>
      </c>
      <c r="G489" s="2" t="s">
        <v>2276</v>
      </c>
      <c r="H489" s="2" t="s">
        <v>2261</v>
      </c>
      <c r="I489" s="2" t="s">
        <v>2244</v>
      </c>
      <c r="J489" s="2" t="s">
        <v>34</v>
      </c>
      <c r="K489" s="2" t="s">
        <v>113</v>
      </c>
      <c r="L489" s="7">
        <v>44525.0</v>
      </c>
      <c r="M489" s="2" t="s">
        <v>25</v>
      </c>
      <c r="N489" s="2" t="s">
        <v>35</v>
      </c>
      <c r="O489" s="2" t="s">
        <v>27</v>
      </c>
      <c r="P489" s="2" t="s">
        <v>36</v>
      </c>
    </row>
    <row r="490" ht="14.25" customHeight="1">
      <c r="A490" s="6">
        <v>1.2965884E7</v>
      </c>
      <c r="B490" s="2" t="s">
        <v>2277</v>
      </c>
      <c r="C490" s="2" t="s">
        <v>17</v>
      </c>
      <c r="D490" s="2" t="s">
        <v>18</v>
      </c>
      <c r="E490" s="2" t="s">
        <v>2278</v>
      </c>
      <c r="F490" s="2" t="s">
        <v>2278</v>
      </c>
      <c r="G490" s="2" t="s">
        <v>2279</v>
      </c>
      <c r="H490" s="2" t="s">
        <v>2261</v>
      </c>
      <c r="I490" s="2" t="s">
        <v>2244</v>
      </c>
      <c r="J490" s="2" t="s">
        <v>34</v>
      </c>
      <c r="K490" s="2" t="s">
        <v>113</v>
      </c>
      <c r="L490" s="7">
        <v>44166.0</v>
      </c>
      <c r="M490" s="2" t="s">
        <v>25</v>
      </c>
      <c r="N490" s="2" t="s">
        <v>35</v>
      </c>
      <c r="O490" s="2" t="s">
        <v>27</v>
      </c>
      <c r="P490" s="2" t="s">
        <v>36</v>
      </c>
    </row>
    <row r="491" ht="14.25" customHeight="1">
      <c r="A491" s="6">
        <v>1.3807066E7</v>
      </c>
      <c r="B491" s="2" t="s">
        <v>2280</v>
      </c>
      <c r="C491" s="2" t="s">
        <v>17</v>
      </c>
      <c r="D491" s="2" t="s">
        <v>18</v>
      </c>
      <c r="E491" s="2" t="s">
        <v>2281</v>
      </c>
      <c r="F491" s="2" t="s">
        <v>2281</v>
      </c>
      <c r="G491" s="2" t="s">
        <v>2282</v>
      </c>
      <c r="H491" s="2" t="s">
        <v>2261</v>
      </c>
      <c r="I491" s="2" t="s">
        <v>2283</v>
      </c>
      <c r="J491" s="2" t="s">
        <v>34</v>
      </c>
      <c r="K491" s="2" t="s">
        <v>113</v>
      </c>
      <c r="L491" s="7">
        <v>44200.0</v>
      </c>
      <c r="M491" s="2" t="s">
        <v>25</v>
      </c>
      <c r="N491" s="2" t="s">
        <v>35</v>
      </c>
      <c r="O491" s="2" t="s">
        <v>27</v>
      </c>
      <c r="P491" s="2" t="s">
        <v>36</v>
      </c>
    </row>
    <row r="492" ht="14.25" customHeight="1">
      <c r="A492" s="6">
        <v>1.5518384E7</v>
      </c>
      <c r="B492" s="2" t="s">
        <v>2284</v>
      </c>
      <c r="C492" s="2" t="s">
        <v>17</v>
      </c>
      <c r="D492" s="2" t="s">
        <v>18</v>
      </c>
      <c r="E492" s="2" t="s">
        <v>2285</v>
      </c>
      <c r="F492" s="2" t="s">
        <v>2285</v>
      </c>
      <c r="G492" s="2" t="s">
        <v>2286</v>
      </c>
      <c r="H492" s="2" t="s">
        <v>2261</v>
      </c>
      <c r="I492" s="2" t="s">
        <v>2244</v>
      </c>
      <c r="J492" s="2" t="s">
        <v>34</v>
      </c>
      <c r="K492" s="2" t="s">
        <v>113</v>
      </c>
      <c r="L492" s="7">
        <v>44524.0</v>
      </c>
      <c r="M492" s="2" t="s">
        <v>25</v>
      </c>
      <c r="N492" s="2" t="s">
        <v>35</v>
      </c>
      <c r="O492" s="2" t="s">
        <v>27</v>
      </c>
      <c r="P492" s="2" t="s">
        <v>36</v>
      </c>
    </row>
    <row r="493" ht="14.25" customHeight="1">
      <c r="A493" s="6">
        <v>1.5616166E7</v>
      </c>
      <c r="B493" s="2" t="s">
        <v>2287</v>
      </c>
      <c r="C493" s="2" t="s">
        <v>17</v>
      </c>
      <c r="D493" s="2" t="s">
        <v>18</v>
      </c>
      <c r="E493" s="2" t="s">
        <v>2288</v>
      </c>
      <c r="F493" s="2" t="s">
        <v>2288</v>
      </c>
      <c r="G493" s="2" t="s">
        <v>2289</v>
      </c>
      <c r="H493" s="2" t="s">
        <v>2261</v>
      </c>
      <c r="I493" s="2" t="s">
        <v>2244</v>
      </c>
      <c r="J493" s="2" t="s">
        <v>34</v>
      </c>
      <c r="K493" s="2" t="s">
        <v>113</v>
      </c>
      <c r="L493" s="7">
        <v>44247.0</v>
      </c>
      <c r="M493" s="2" t="s">
        <v>25</v>
      </c>
      <c r="N493" s="2" t="s">
        <v>35</v>
      </c>
      <c r="O493" s="2" t="s">
        <v>27</v>
      </c>
      <c r="P493" s="2" t="s">
        <v>36</v>
      </c>
    </row>
    <row r="494" ht="14.25" customHeight="1">
      <c r="A494" s="6">
        <v>1.9509722E7</v>
      </c>
      <c r="B494" s="2" t="s">
        <v>2290</v>
      </c>
      <c r="C494" s="2" t="s">
        <v>17</v>
      </c>
      <c r="D494" s="2" t="s">
        <v>18</v>
      </c>
      <c r="E494" s="2" t="s">
        <v>2291</v>
      </c>
      <c r="F494" s="2" t="s">
        <v>2291</v>
      </c>
      <c r="G494" s="2" t="s">
        <v>2292</v>
      </c>
      <c r="H494" s="2" t="s">
        <v>2261</v>
      </c>
      <c r="I494" s="2" t="s">
        <v>2244</v>
      </c>
      <c r="J494" s="2" t="s">
        <v>34</v>
      </c>
      <c r="K494" s="2" t="s">
        <v>113</v>
      </c>
      <c r="L494" s="7">
        <v>44601.0</v>
      </c>
      <c r="M494" s="2" t="s">
        <v>25</v>
      </c>
      <c r="N494" s="2" t="s">
        <v>35</v>
      </c>
      <c r="O494" s="2" t="s">
        <v>27</v>
      </c>
      <c r="P494" s="2" t="s">
        <v>36</v>
      </c>
    </row>
    <row r="495" ht="14.25" customHeight="1">
      <c r="A495" s="6">
        <v>2.0125627E7</v>
      </c>
      <c r="B495" s="2" t="s">
        <v>2293</v>
      </c>
      <c r="C495" s="2" t="s">
        <v>17</v>
      </c>
      <c r="D495" s="2" t="s">
        <v>18</v>
      </c>
      <c r="E495" s="2" t="s">
        <v>2294</v>
      </c>
      <c r="F495" s="2" t="s">
        <v>2294</v>
      </c>
      <c r="G495" s="2" t="s">
        <v>2295</v>
      </c>
      <c r="H495" s="2" t="s">
        <v>2261</v>
      </c>
      <c r="I495" s="2" t="s">
        <v>2283</v>
      </c>
      <c r="J495" s="2" t="s">
        <v>34</v>
      </c>
      <c r="K495" s="2" t="s">
        <v>113</v>
      </c>
      <c r="L495" s="7">
        <v>44536.0</v>
      </c>
      <c r="M495" s="2" t="s">
        <v>25</v>
      </c>
      <c r="N495" s="2" t="s">
        <v>35</v>
      </c>
      <c r="O495" s="2" t="s">
        <v>27</v>
      </c>
      <c r="P495" s="2" t="s">
        <v>36</v>
      </c>
    </row>
    <row r="496" ht="14.25" customHeight="1">
      <c r="A496" s="6">
        <v>8398857.0</v>
      </c>
      <c r="B496" s="2" t="s">
        <v>2296</v>
      </c>
      <c r="C496" s="2" t="s">
        <v>17</v>
      </c>
      <c r="D496" s="2" t="s">
        <v>18</v>
      </c>
      <c r="E496" s="2" t="s">
        <v>2297</v>
      </c>
      <c r="F496" s="2" t="s">
        <v>2297</v>
      </c>
      <c r="G496" s="2" t="s">
        <v>2298</v>
      </c>
      <c r="H496" s="2" t="s">
        <v>2261</v>
      </c>
      <c r="I496" s="2" t="s">
        <v>2283</v>
      </c>
      <c r="J496" s="2" t="s">
        <v>34</v>
      </c>
      <c r="K496" s="2" t="s">
        <v>113</v>
      </c>
      <c r="L496" s="7">
        <v>40513.0</v>
      </c>
      <c r="M496" s="2" t="s">
        <v>25</v>
      </c>
      <c r="N496" s="2" t="s">
        <v>35</v>
      </c>
      <c r="O496" s="2" t="s">
        <v>27</v>
      </c>
      <c r="P496" s="2" t="s">
        <v>36</v>
      </c>
    </row>
    <row r="497" ht="14.25" customHeight="1">
      <c r="A497" s="6">
        <v>9287145.0</v>
      </c>
      <c r="B497" s="2" t="s">
        <v>2299</v>
      </c>
      <c r="C497" s="2" t="s">
        <v>17</v>
      </c>
      <c r="D497" s="2" t="s">
        <v>18</v>
      </c>
      <c r="E497" s="2" t="s">
        <v>2300</v>
      </c>
      <c r="F497" s="2" t="s">
        <v>2300</v>
      </c>
      <c r="G497" s="2" t="s">
        <v>2301</v>
      </c>
      <c r="H497" s="2" t="s">
        <v>2261</v>
      </c>
      <c r="I497" s="2" t="s">
        <v>2244</v>
      </c>
      <c r="J497" s="2" t="s">
        <v>34</v>
      </c>
      <c r="K497" s="2" t="s">
        <v>113</v>
      </c>
      <c r="L497" s="7">
        <v>44564.0</v>
      </c>
      <c r="M497" s="2" t="s">
        <v>25</v>
      </c>
      <c r="N497" s="2" t="s">
        <v>35</v>
      </c>
      <c r="O497" s="2" t="s">
        <v>27</v>
      </c>
      <c r="P497" s="2" t="s">
        <v>36</v>
      </c>
    </row>
    <row r="498" ht="14.25" customHeight="1">
      <c r="A498" s="6">
        <v>9363315.0</v>
      </c>
      <c r="B498" s="2" t="s">
        <v>2302</v>
      </c>
      <c r="C498" s="2" t="s">
        <v>17</v>
      </c>
      <c r="D498" s="2" t="s">
        <v>18</v>
      </c>
      <c r="E498" s="2" t="s">
        <v>2303</v>
      </c>
      <c r="F498" s="2" t="s">
        <v>2303</v>
      </c>
      <c r="G498" s="2" t="s">
        <v>2304</v>
      </c>
      <c r="H498" s="2" t="s">
        <v>2261</v>
      </c>
      <c r="I498" s="2" t="s">
        <v>2283</v>
      </c>
      <c r="J498" s="2" t="s">
        <v>34</v>
      </c>
      <c r="K498" s="2" t="s">
        <v>113</v>
      </c>
      <c r="L498" s="7">
        <v>40513.0</v>
      </c>
      <c r="M498" s="2" t="s">
        <v>25</v>
      </c>
      <c r="N498" s="2" t="s">
        <v>35</v>
      </c>
      <c r="O498" s="2" t="s">
        <v>27</v>
      </c>
      <c r="P498" s="2" t="s">
        <v>36</v>
      </c>
    </row>
    <row r="499" ht="14.25" customHeight="1">
      <c r="A499" s="6">
        <v>9762178.0</v>
      </c>
      <c r="B499" s="2" t="s">
        <v>2305</v>
      </c>
      <c r="C499" s="2" t="s">
        <v>17</v>
      </c>
      <c r="D499" s="2" t="s">
        <v>18</v>
      </c>
      <c r="E499" s="2" t="s">
        <v>2306</v>
      </c>
      <c r="F499" s="2" t="s">
        <v>2306</v>
      </c>
      <c r="G499" s="2" t="s">
        <v>2307</v>
      </c>
      <c r="H499" s="2" t="s">
        <v>2261</v>
      </c>
      <c r="I499" s="2" t="s">
        <v>2283</v>
      </c>
      <c r="J499" s="2" t="s">
        <v>34</v>
      </c>
      <c r="K499" s="2" t="s">
        <v>113</v>
      </c>
      <c r="L499" s="7">
        <v>40513.0</v>
      </c>
      <c r="M499" s="2" t="s">
        <v>25</v>
      </c>
      <c r="N499" s="2" t="s">
        <v>35</v>
      </c>
      <c r="O499" s="2" t="s">
        <v>27</v>
      </c>
      <c r="P499" s="2" t="s">
        <v>36</v>
      </c>
    </row>
    <row r="500" ht="14.25" customHeight="1">
      <c r="A500" s="6">
        <v>1.9506467E7</v>
      </c>
      <c r="B500" s="2" t="s">
        <v>2308</v>
      </c>
      <c r="C500" s="2" t="s">
        <v>17</v>
      </c>
      <c r="D500" s="2" t="s">
        <v>18</v>
      </c>
      <c r="E500" s="2" t="s">
        <v>2309</v>
      </c>
      <c r="F500" s="2" t="s">
        <v>2309</v>
      </c>
      <c r="G500" s="2" t="s">
        <v>2310</v>
      </c>
      <c r="H500" s="2" t="s">
        <v>2261</v>
      </c>
      <c r="I500" s="2" t="s">
        <v>1049</v>
      </c>
      <c r="J500" s="2" t="s">
        <v>34</v>
      </c>
      <c r="K500" s="2" t="s">
        <v>24</v>
      </c>
      <c r="L500" s="7">
        <v>45931.0</v>
      </c>
      <c r="M500" s="2" t="s">
        <v>312</v>
      </c>
      <c r="N500" s="2" t="s">
        <v>35</v>
      </c>
      <c r="O500" s="2" t="s">
        <v>312</v>
      </c>
      <c r="P500" s="2" t="s">
        <v>28</v>
      </c>
    </row>
    <row r="501" ht="14.25" customHeight="1">
      <c r="A501" s="6">
        <v>1.0163521E7</v>
      </c>
      <c r="B501" s="2" t="s">
        <v>2311</v>
      </c>
      <c r="C501" s="2" t="s">
        <v>17</v>
      </c>
      <c r="D501" s="2" t="s">
        <v>18</v>
      </c>
      <c r="E501" s="2" t="s">
        <v>2312</v>
      </c>
      <c r="F501" s="2" t="s">
        <v>2312</v>
      </c>
      <c r="G501" s="2" t="s">
        <v>2313</v>
      </c>
      <c r="H501" s="2" t="s">
        <v>2314</v>
      </c>
      <c r="I501" s="2" t="s">
        <v>2283</v>
      </c>
      <c r="J501" s="2" t="s">
        <v>34</v>
      </c>
      <c r="K501" s="2" t="s">
        <v>113</v>
      </c>
      <c r="L501" s="7">
        <v>40513.0</v>
      </c>
      <c r="M501" s="2" t="s">
        <v>25</v>
      </c>
      <c r="N501" s="2" t="s">
        <v>35</v>
      </c>
      <c r="O501" s="2" t="s">
        <v>27</v>
      </c>
      <c r="P501" s="2" t="s">
        <v>36</v>
      </c>
    </row>
    <row r="502" ht="14.25" customHeight="1">
      <c r="A502" s="6">
        <v>1.0495901E7</v>
      </c>
      <c r="B502" s="2" t="s">
        <v>2315</v>
      </c>
      <c r="C502" s="2" t="s">
        <v>17</v>
      </c>
      <c r="D502" s="2" t="s">
        <v>18</v>
      </c>
      <c r="E502" s="2" t="s">
        <v>2316</v>
      </c>
      <c r="F502" s="2" t="s">
        <v>2316</v>
      </c>
      <c r="G502" s="2" t="s">
        <v>2317</v>
      </c>
      <c r="H502" s="2" t="s">
        <v>2318</v>
      </c>
      <c r="I502" s="2" t="s">
        <v>2244</v>
      </c>
      <c r="J502" s="2" t="s">
        <v>34</v>
      </c>
      <c r="K502" s="2" t="s">
        <v>113</v>
      </c>
      <c r="L502" s="7">
        <v>40513.0</v>
      </c>
      <c r="M502" s="2" t="s">
        <v>25</v>
      </c>
      <c r="N502" s="2" t="s">
        <v>35</v>
      </c>
      <c r="O502" s="2" t="s">
        <v>27</v>
      </c>
      <c r="P502" s="2" t="s">
        <v>36</v>
      </c>
    </row>
    <row r="503" ht="14.25" customHeight="1">
      <c r="A503" s="6">
        <v>9429227.0</v>
      </c>
      <c r="B503" s="2" t="s">
        <v>2319</v>
      </c>
      <c r="C503" s="2" t="s">
        <v>17</v>
      </c>
      <c r="D503" s="2" t="s">
        <v>18</v>
      </c>
      <c r="E503" s="2" t="s">
        <v>2320</v>
      </c>
      <c r="F503" s="2" t="s">
        <v>2320</v>
      </c>
      <c r="G503" s="2" t="s">
        <v>2321</v>
      </c>
      <c r="H503" s="2" t="s">
        <v>2318</v>
      </c>
      <c r="I503" s="2" t="s">
        <v>2244</v>
      </c>
      <c r="J503" s="2" t="s">
        <v>34</v>
      </c>
      <c r="K503" s="2" t="s">
        <v>113</v>
      </c>
      <c r="L503" s="7">
        <v>44166.0</v>
      </c>
      <c r="M503" s="2" t="s">
        <v>25</v>
      </c>
      <c r="N503" s="2" t="s">
        <v>35</v>
      </c>
      <c r="O503" s="2" t="s">
        <v>27</v>
      </c>
      <c r="P503" s="2" t="s">
        <v>36</v>
      </c>
    </row>
    <row r="504" ht="14.25" customHeight="1">
      <c r="A504" s="6">
        <v>7560116.0</v>
      </c>
      <c r="B504" s="2" t="s">
        <v>2322</v>
      </c>
      <c r="C504" s="2" t="s">
        <v>17</v>
      </c>
      <c r="D504" s="2" t="s">
        <v>18</v>
      </c>
      <c r="E504" s="2" t="s">
        <v>2323</v>
      </c>
      <c r="F504" s="2" t="s">
        <v>2323</v>
      </c>
      <c r="G504" s="2" t="s">
        <v>2324</v>
      </c>
      <c r="H504" s="2" t="s">
        <v>2325</v>
      </c>
      <c r="I504" s="2" t="s">
        <v>1063</v>
      </c>
      <c r="J504" s="2" t="s">
        <v>93</v>
      </c>
      <c r="K504" s="2" t="s">
        <v>113</v>
      </c>
      <c r="L504" s="7">
        <v>40513.0</v>
      </c>
      <c r="M504" s="2" t="s">
        <v>25</v>
      </c>
      <c r="N504" s="2" t="s">
        <v>35</v>
      </c>
      <c r="O504" s="2" t="s">
        <v>27</v>
      </c>
      <c r="P504" s="2" t="s">
        <v>36</v>
      </c>
    </row>
    <row r="505" ht="14.25" customHeight="1">
      <c r="A505" s="6">
        <v>1.1285661E7</v>
      </c>
      <c r="B505" s="2" t="s">
        <v>2326</v>
      </c>
      <c r="C505" s="2" t="s">
        <v>17</v>
      </c>
      <c r="D505" s="2" t="s">
        <v>18</v>
      </c>
      <c r="E505" s="2" t="s">
        <v>2327</v>
      </c>
      <c r="F505" s="2" t="s">
        <v>2327</v>
      </c>
      <c r="G505" s="2" t="s">
        <v>2328</v>
      </c>
      <c r="H505" s="2" t="s">
        <v>2325</v>
      </c>
      <c r="I505" s="2" t="s">
        <v>1063</v>
      </c>
      <c r="J505" s="2" t="s">
        <v>93</v>
      </c>
      <c r="K505" s="2" t="s">
        <v>113</v>
      </c>
      <c r="L505" s="7">
        <v>40513.0</v>
      </c>
      <c r="M505" s="2" t="s">
        <v>25</v>
      </c>
      <c r="N505" s="2" t="s">
        <v>35</v>
      </c>
      <c r="O505" s="2" t="s">
        <v>27</v>
      </c>
      <c r="P505" s="2" t="s">
        <v>36</v>
      </c>
    </row>
    <row r="506" ht="14.25" customHeight="1">
      <c r="A506" s="6">
        <v>1.8684733E7</v>
      </c>
      <c r="B506" s="2" t="s">
        <v>2329</v>
      </c>
      <c r="C506" s="2" t="s">
        <v>17</v>
      </c>
      <c r="D506" s="2" t="s">
        <v>18</v>
      </c>
      <c r="E506" s="2" t="s">
        <v>2330</v>
      </c>
      <c r="F506" s="2" t="s">
        <v>2330</v>
      </c>
      <c r="G506" s="2" t="s">
        <v>2331</v>
      </c>
      <c r="H506" s="2" t="s">
        <v>2325</v>
      </c>
      <c r="I506" s="2" t="s">
        <v>1063</v>
      </c>
      <c r="J506" s="2" t="s">
        <v>93</v>
      </c>
      <c r="K506" s="2" t="s">
        <v>113</v>
      </c>
      <c r="L506" s="7">
        <v>44817.0</v>
      </c>
      <c r="M506" s="2" t="s">
        <v>25</v>
      </c>
      <c r="N506" s="2" t="s">
        <v>35</v>
      </c>
      <c r="O506" s="2" t="s">
        <v>27</v>
      </c>
      <c r="P506" s="2" t="s">
        <v>36</v>
      </c>
    </row>
    <row r="507" ht="14.25" customHeight="1">
      <c r="A507" s="6">
        <v>1.5755929E7</v>
      </c>
      <c r="B507" s="2" t="s">
        <v>2332</v>
      </c>
      <c r="C507" s="2" t="s">
        <v>17</v>
      </c>
      <c r="D507" s="2" t="s">
        <v>18</v>
      </c>
      <c r="E507" s="2" t="s">
        <v>2333</v>
      </c>
      <c r="F507" s="2" t="s">
        <v>2333</v>
      </c>
      <c r="G507" s="2" t="s">
        <v>2334</v>
      </c>
      <c r="H507" s="2" t="s">
        <v>80</v>
      </c>
      <c r="I507" s="2" t="s">
        <v>81</v>
      </c>
      <c r="J507" s="2" t="s">
        <v>34</v>
      </c>
      <c r="K507" s="2" t="s">
        <v>113</v>
      </c>
      <c r="L507" s="7">
        <v>40513.0</v>
      </c>
      <c r="M507" s="2" t="s">
        <v>25</v>
      </c>
      <c r="N507" s="2" t="s">
        <v>35</v>
      </c>
      <c r="O507" s="2" t="s">
        <v>27</v>
      </c>
      <c r="P507" s="2" t="s">
        <v>36</v>
      </c>
    </row>
    <row r="508" ht="14.25" customHeight="1">
      <c r="A508" s="6">
        <v>1.5187959E7</v>
      </c>
      <c r="B508" s="2" t="s">
        <v>2335</v>
      </c>
      <c r="C508" s="2" t="s">
        <v>17</v>
      </c>
      <c r="D508" s="2" t="s">
        <v>18</v>
      </c>
      <c r="E508" s="2" t="s">
        <v>2336</v>
      </c>
      <c r="F508" s="2" t="s">
        <v>2336</v>
      </c>
      <c r="G508" s="2" t="s">
        <v>2337</v>
      </c>
      <c r="H508" s="2" t="s">
        <v>80</v>
      </c>
      <c r="I508" s="2" t="s">
        <v>81</v>
      </c>
      <c r="J508" s="2" t="s">
        <v>34</v>
      </c>
      <c r="K508" s="2" t="s">
        <v>113</v>
      </c>
      <c r="L508" s="7">
        <v>44547.0</v>
      </c>
      <c r="M508" s="2" t="s">
        <v>25</v>
      </c>
      <c r="N508" s="2" t="s">
        <v>35</v>
      </c>
      <c r="O508" s="2" t="s">
        <v>76</v>
      </c>
      <c r="P508" s="2" t="s">
        <v>36</v>
      </c>
    </row>
    <row r="509" ht="14.25" customHeight="1">
      <c r="A509" s="6">
        <v>1.2207842E7</v>
      </c>
      <c r="B509" s="2" t="s">
        <v>2338</v>
      </c>
      <c r="C509" s="2" t="s">
        <v>17</v>
      </c>
      <c r="D509" s="2" t="s">
        <v>18</v>
      </c>
      <c r="E509" s="2" t="s">
        <v>2339</v>
      </c>
      <c r="F509" s="2" t="s">
        <v>2339</v>
      </c>
      <c r="G509" s="2" t="s">
        <v>2340</v>
      </c>
      <c r="H509" s="2" t="s">
        <v>80</v>
      </c>
      <c r="I509" s="2" t="s">
        <v>81</v>
      </c>
      <c r="J509" s="2" t="s">
        <v>34</v>
      </c>
      <c r="K509" s="2" t="s">
        <v>113</v>
      </c>
      <c r="L509" s="7">
        <v>40513.0</v>
      </c>
      <c r="M509" s="2" t="s">
        <v>25</v>
      </c>
      <c r="N509" s="2" t="s">
        <v>35</v>
      </c>
      <c r="O509" s="2" t="s">
        <v>76</v>
      </c>
      <c r="P509" s="2" t="s">
        <v>36</v>
      </c>
    </row>
    <row r="510" ht="14.25" customHeight="1">
      <c r="A510" s="6">
        <v>1.3311824E7</v>
      </c>
      <c r="B510" s="2" t="s">
        <v>2341</v>
      </c>
      <c r="C510" s="2" t="s">
        <v>17</v>
      </c>
      <c r="D510" s="2" t="s">
        <v>18</v>
      </c>
      <c r="E510" s="2" t="s">
        <v>2342</v>
      </c>
      <c r="F510" s="2" t="s">
        <v>2342</v>
      </c>
      <c r="G510" s="2" t="s">
        <v>2343</v>
      </c>
      <c r="H510" s="2" t="s">
        <v>80</v>
      </c>
      <c r="I510" s="2" t="s">
        <v>81</v>
      </c>
      <c r="J510" s="2" t="s">
        <v>34</v>
      </c>
      <c r="K510" s="2" t="s">
        <v>113</v>
      </c>
      <c r="L510" s="7">
        <v>40513.0</v>
      </c>
      <c r="M510" s="2" t="s">
        <v>25</v>
      </c>
      <c r="N510" s="2" t="s">
        <v>35</v>
      </c>
      <c r="O510" s="2" t="s">
        <v>27</v>
      </c>
      <c r="P510" s="2" t="s">
        <v>36</v>
      </c>
    </row>
    <row r="511" ht="14.25" customHeight="1">
      <c r="A511" s="6">
        <v>1.3312519E7</v>
      </c>
      <c r="B511" s="2" t="s">
        <v>2344</v>
      </c>
      <c r="C511" s="2" t="s">
        <v>17</v>
      </c>
      <c r="D511" s="2" t="s">
        <v>18</v>
      </c>
      <c r="E511" s="2" t="s">
        <v>2345</v>
      </c>
      <c r="F511" s="2" t="s">
        <v>2345</v>
      </c>
      <c r="G511" s="2" t="s">
        <v>2346</v>
      </c>
      <c r="H511" s="2" t="s">
        <v>80</v>
      </c>
      <c r="I511" s="2" t="s">
        <v>81</v>
      </c>
      <c r="J511" s="2" t="s">
        <v>34</v>
      </c>
      <c r="K511" s="2" t="s">
        <v>113</v>
      </c>
      <c r="L511" s="7">
        <v>40513.0</v>
      </c>
      <c r="M511" s="2" t="s">
        <v>25</v>
      </c>
      <c r="N511" s="2" t="s">
        <v>35</v>
      </c>
      <c r="O511" s="2" t="s">
        <v>27</v>
      </c>
      <c r="P511" s="2" t="s">
        <v>36</v>
      </c>
    </row>
    <row r="512" ht="14.25" customHeight="1">
      <c r="A512" s="6">
        <v>1.5193046E7</v>
      </c>
      <c r="B512" s="2" t="s">
        <v>2347</v>
      </c>
      <c r="C512" s="2" t="s">
        <v>17</v>
      </c>
      <c r="D512" s="2" t="s">
        <v>18</v>
      </c>
      <c r="E512" s="2" t="s">
        <v>2348</v>
      </c>
      <c r="F512" s="2" t="s">
        <v>2348</v>
      </c>
      <c r="G512" s="2" t="s">
        <v>2349</v>
      </c>
      <c r="H512" s="2" t="s">
        <v>80</v>
      </c>
      <c r="I512" s="2" t="s">
        <v>81</v>
      </c>
      <c r="J512" s="2" t="s">
        <v>34</v>
      </c>
      <c r="K512" s="2" t="s">
        <v>113</v>
      </c>
      <c r="L512" s="7">
        <v>40513.0</v>
      </c>
      <c r="M512" s="2" t="s">
        <v>25</v>
      </c>
      <c r="N512" s="2" t="s">
        <v>35</v>
      </c>
      <c r="O512" s="2" t="s">
        <v>27</v>
      </c>
      <c r="P512" s="2" t="s">
        <v>36</v>
      </c>
    </row>
    <row r="513" ht="14.25" customHeight="1">
      <c r="A513" s="6">
        <v>1.5421559E7</v>
      </c>
      <c r="B513" s="2" t="s">
        <v>2350</v>
      </c>
      <c r="C513" s="2" t="s">
        <v>17</v>
      </c>
      <c r="D513" s="2" t="s">
        <v>18</v>
      </c>
      <c r="E513" s="2" t="s">
        <v>2351</v>
      </c>
      <c r="F513" s="2" t="s">
        <v>2351</v>
      </c>
      <c r="G513" s="2" t="s">
        <v>2352</v>
      </c>
      <c r="H513" s="2" t="s">
        <v>80</v>
      </c>
      <c r="I513" s="2" t="s">
        <v>81</v>
      </c>
      <c r="J513" s="2" t="s">
        <v>34</v>
      </c>
      <c r="K513" s="2" t="s">
        <v>113</v>
      </c>
      <c r="L513" s="7">
        <v>44613.0</v>
      </c>
      <c r="M513" s="2" t="s">
        <v>25</v>
      </c>
      <c r="N513" s="2" t="s">
        <v>35</v>
      </c>
      <c r="O513" s="2" t="s">
        <v>27</v>
      </c>
      <c r="P513" s="2" t="s">
        <v>36</v>
      </c>
    </row>
    <row r="514" ht="14.25" customHeight="1">
      <c r="A514" s="6">
        <v>1.5528827E7</v>
      </c>
      <c r="B514" s="2" t="s">
        <v>2353</v>
      </c>
      <c r="C514" s="2" t="s">
        <v>17</v>
      </c>
      <c r="D514" s="2" t="s">
        <v>18</v>
      </c>
      <c r="E514" s="2" t="s">
        <v>2354</v>
      </c>
      <c r="F514" s="2" t="s">
        <v>2354</v>
      </c>
      <c r="G514" s="2" t="s">
        <v>2355</v>
      </c>
      <c r="H514" s="2" t="s">
        <v>80</v>
      </c>
      <c r="I514" s="2" t="s">
        <v>81</v>
      </c>
      <c r="J514" s="2" t="s">
        <v>34</v>
      </c>
      <c r="K514" s="2" t="s">
        <v>113</v>
      </c>
      <c r="L514" s="7">
        <v>44531.0</v>
      </c>
      <c r="M514" s="2" t="s">
        <v>25</v>
      </c>
      <c r="N514" s="2" t="s">
        <v>35</v>
      </c>
      <c r="O514" s="2" t="s">
        <v>27</v>
      </c>
      <c r="P514" s="2" t="s">
        <v>36</v>
      </c>
    </row>
    <row r="515" ht="14.25" customHeight="1">
      <c r="A515" s="6">
        <v>1.650392E7</v>
      </c>
      <c r="B515" s="2" t="s">
        <v>2356</v>
      </c>
      <c r="C515" s="2" t="s">
        <v>17</v>
      </c>
      <c r="D515" s="2" t="s">
        <v>18</v>
      </c>
      <c r="E515" s="2" t="s">
        <v>2357</v>
      </c>
      <c r="F515" s="2" t="s">
        <v>2357</v>
      </c>
      <c r="G515" s="2" t="s">
        <v>2358</v>
      </c>
      <c r="H515" s="2" t="s">
        <v>80</v>
      </c>
      <c r="I515" s="2" t="s">
        <v>81</v>
      </c>
      <c r="J515" s="2" t="s">
        <v>34</v>
      </c>
      <c r="K515" s="2" t="s">
        <v>113</v>
      </c>
      <c r="L515" s="7">
        <v>44524.0</v>
      </c>
      <c r="M515" s="2" t="s">
        <v>25</v>
      </c>
      <c r="N515" s="2" t="s">
        <v>35</v>
      </c>
      <c r="O515" s="2" t="s">
        <v>76</v>
      </c>
      <c r="P515" s="2" t="s">
        <v>36</v>
      </c>
    </row>
    <row r="516" ht="14.25" customHeight="1">
      <c r="A516" s="6">
        <v>8324258.0</v>
      </c>
      <c r="B516" s="2" t="s">
        <v>2359</v>
      </c>
      <c r="C516" s="2" t="s">
        <v>17</v>
      </c>
      <c r="D516" s="2" t="s">
        <v>18</v>
      </c>
      <c r="E516" s="2" t="s">
        <v>2360</v>
      </c>
      <c r="F516" s="2" t="s">
        <v>2360</v>
      </c>
      <c r="G516" s="2" t="s">
        <v>2361</v>
      </c>
      <c r="H516" s="2" t="s">
        <v>80</v>
      </c>
      <c r="I516" s="2" t="s">
        <v>81</v>
      </c>
      <c r="J516" s="2" t="s">
        <v>34</v>
      </c>
      <c r="K516" s="2" t="s">
        <v>113</v>
      </c>
      <c r="L516" s="7">
        <v>40513.0</v>
      </c>
      <c r="M516" s="2" t="s">
        <v>25</v>
      </c>
      <c r="N516" s="2" t="s">
        <v>35</v>
      </c>
      <c r="O516" s="2" t="s">
        <v>27</v>
      </c>
      <c r="P516" s="2" t="s">
        <v>36</v>
      </c>
    </row>
    <row r="517" ht="14.25" customHeight="1">
      <c r="A517" s="6">
        <v>9756898.0</v>
      </c>
      <c r="B517" s="2" t="s">
        <v>2362</v>
      </c>
      <c r="C517" s="2" t="s">
        <v>17</v>
      </c>
      <c r="D517" s="2" t="s">
        <v>18</v>
      </c>
      <c r="E517" s="2" t="s">
        <v>2363</v>
      </c>
      <c r="F517" s="2" t="s">
        <v>2363</v>
      </c>
      <c r="G517" s="2" t="s">
        <v>2364</v>
      </c>
      <c r="H517" s="2" t="s">
        <v>80</v>
      </c>
      <c r="I517" s="2" t="s">
        <v>81</v>
      </c>
      <c r="J517" s="2" t="s">
        <v>34</v>
      </c>
      <c r="K517" s="2" t="s">
        <v>113</v>
      </c>
      <c r="L517" s="7">
        <v>44886.0</v>
      </c>
      <c r="M517" s="2" t="s">
        <v>25</v>
      </c>
      <c r="N517" s="2" t="s">
        <v>35</v>
      </c>
      <c r="O517" s="2" t="s">
        <v>27</v>
      </c>
      <c r="P517" s="2" t="s">
        <v>36</v>
      </c>
    </row>
    <row r="518" ht="14.25" customHeight="1">
      <c r="A518" s="6">
        <v>1.8412576E7</v>
      </c>
      <c r="B518" s="2" t="s">
        <v>2365</v>
      </c>
      <c r="C518" s="2" t="s">
        <v>17</v>
      </c>
      <c r="D518" s="2" t="s">
        <v>57</v>
      </c>
      <c r="E518" s="2" t="s">
        <v>2366</v>
      </c>
      <c r="F518" s="2" t="s">
        <v>2366</v>
      </c>
      <c r="G518" s="2" t="s">
        <v>2367</v>
      </c>
      <c r="H518" s="2" t="s">
        <v>45</v>
      </c>
      <c r="I518" s="2" t="s">
        <v>46</v>
      </c>
      <c r="J518" s="2" t="s">
        <v>47</v>
      </c>
      <c r="K518" s="2" t="s">
        <v>630</v>
      </c>
      <c r="L518" s="7">
        <v>45890.0</v>
      </c>
      <c r="M518" s="2" t="s">
        <v>48</v>
      </c>
      <c r="N518" s="2" t="s">
        <v>35</v>
      </c>
      <c r="O518" s="2" t="s">
        <v>200</v>
      </c>
      <c r="P518" s="2" t="s">
        <v>194</v>
      </c>
    </row>
    <row r="519" ht="14.25" customHeight="1">
      <c r="A519" s="6">
        <v>9781706.0</v>
      </c>
      <c r="B519" s="2" t="s">
        <v>2368</v>
      </c>
      <c r="C519" s="2" t="s">
        <v>17</v>
      </c>
      <c r="D519" s="2" t="s">
        <v>831</v>
      </c>
      <c r="E519" s="2" t="s">
        <v>2369</v>
      </c>
      <c r="F519" s="2" t="s">
        <v>2369</v>
      </c>
      <c r="G519" s="2" t="s">
        <v>2370</v>
      </c>
      <c r="H519" s="2" t="s">
        <v>45</v>
      </c>
      <c r="I519" s="2" t="s">
        <v>46</v>
      </c>
      <c r="J519" s="2" t="s">
        <v>47</v>
      </c>
      <c r="K519" s="2" t="s">
        <v>630</v>
      </c>
      <c r="L519" s="7">
        <v>45890.0</v>
      </c>
      <c r="M519" s="2" t="s">
        <v>48</v>
      </c>
      <c r="N519" s="2" t="s">
        <v>35</v>
      </c>
      <c r="O519" s="2" t="s">
        <v>200</v>
      </c>
      <c r="P519" s="2" t="s">
        <v>194</v>
      </c>
    </row>
    <row r="520" ht="14.25" customHeight="1">
      <c r="A520" s="6">
        <v>1.5216995E7</v>
      </c>
      <c r="B520" s="2" t="s">
        <v>2371</v>
      </c>
      <c r="C520" s="2" t="s">
        <v>17</v>
      </c>
      <c r="D520" s="2" t="s">
        <v>18</v>
      </c>
      <c r="E520" s="2" t="s">
        <v>2372</v>
      </c>
      <c r="F520" s="2" t="s">
        <v>2372</v>
      </c>
      <c r="G520" s="2" t="s">
        <v>2373</v>
      </c>
      <c r="H520" s="2" t="s">
        <v>45</v>
      </c>
      <c r="I520" s="2" t="s">
        <v>46</v>
      </c>
      <c r="J520" s="2" t="s">
        <v>47</v>
      </c>
      <c r="K520" s="2" t="s">
        <v>113</v>
      </c>
      <c r="L520" s="7">
        <v>42370.0</v>
      </c>
      <c r="M520" s="2" t="s">
        <v>25</v>
      </c>
      <c r="N520" s="2" t="s">
        <v>35</v>
      </c>
      <c r="O520" s="2" t="s">
        <v>27</v>
      </c>
      <c r="P520" s="2" t="s">
        <v>36</v>
      </c>
    </row>
    <row r="521" ht="14.25" customHeight="1">
      <c r="A521" s="6">
        <v>1.7320459E7</v>
      </c>
      <c r="B521" s="2" t="s">
        <v>2374</v>
      </c>
      <c r="C521" s="2" t="s">
        <v>17</v>
      </c>
      <c r="D521" s="2" t="s">
        <v>167</v>
      </c>
      <c r="E521" s="2" t="s">
        <v>2375</v>
      </c>
      <c r="F521" s="2" t="s">
        <v>2375</v>
      </c>
      <c r="G521" s="2" t="s">
        <v>2376</v>
      </c>
      <c r="H521" s="2" t="s">
        <v>45</v>
      </c>
      <c r="I521" s="2" t="s">
        <v>46</v>
      </c>
      <c r="J521" s="2" t="s">
        <v>47</v>
      </c>
      <c r="K521" s="2" t="s">
        <v>24</v>
      </c>
      <c r="L521" s="7">
        <v>45940.0</v>
      </c>
      <c r="M521" s="2" t="s">
        <v>48</v>
      </c>
      <c r="N521" s="2" t="s">
        <v>35</v>
      </c>
      <c r="O521" s="2" t="s">
        <v>27</v>
      </c>
      <c r="P521" s="2" t="s">
        <v>28</v>
      </c>
    </row>
    <row r="522" ht="14.25" customHeight="1">
      <c r="A522" s="6">
        <v>1.7076094E7</v>
      </c>
      <c r="B522" s="2" t="s">
        <v>2377</v>
      </c>
      <c r="C522" s="2" t="s">
        <v>17</v>
      </c>
      <c r="D522" s="2" t="s">
        <v>167</v>
      </c>
      <c r="E522" s="2" t="s">
        <v>2378</v>
      </c>
      <c r="F522" s="2" t="s">
        <v>2378</v>
      </c>
      <c r="G522" s="2" t="s">
        <v>2379</v>
      </c>
      <c r="H522" s="2" t="s">
        <v>45</v>
      </c>
      <c r="I522" s="2" t="s">
        <v>46</v>
      </c>
      <c r="J522" s="2" t="s">
        <v>47</v>
      </c>
      <c r="K522" s="2" t="s">
        <v>24</v>
      </c>
      <c r="L522" s="7">
        <v>45940.0</v>
      </c>
      <c r="M522" s="2" t="s">
        <v>48</v>
      </c>
      <c r="N522" s="2" t="s">
        <v>35</v>
      </c>
      <c r="O522" s="2" t="s">
        <v>27</v>
      </c>
      <c r="P522" s="2" t="s">
        <v>28</v>
      </c>
    </row>
    <row r="523" ht="14.25" customHeight="1">
      <c r="A523" s="6">
        <v>1.3507953E7</v>
      </c>
      <c r="B523" s="2" t="s">
        <v>2380</v>
      </c>
      <c r="C523" s="2" t="s">
        <v>17</v>
      </c>
      <c r="D523" s="2" t="s">
        <v>38</v>
      </c>
      <c r="E523" s="2" t="s">
        <v>2381</v>
      </c>
      <c r="F523" s="2" t="s">
        <v>2381</v>
      </c>
      <c r="G523" s="2" t="s">
        <v>2382</v>
      </c>
      <c r="H523" s="2" t="s">
        <v>45</v>
      </c>
      <c r="I523" s="2" t="s">
        <v>46</v>
      </c>
      <c r="J523" s="2" t="s">
        <v>47</v>
      </c>
      <c r="K523" s="2" t="s">
        <v>24</v>
      </c>
      <c r="L523" s="7">
        <v>45940.0</v>
      </c>
      <c r="M523" s="2" t="s">
        <v>48</v>
      </c>
      <c r="N523" s="2" t="s">
        <v>35</v>
      </c>
      <c r="O523" s="2" t="s">
        <v>27</v>
      </c>
      <c r="P523" s="2" t="s">
        <v>28</v>
      </c>
    </row>
    <row r="524" ht="14.25" customHeight="1">
      <c r="A524" s="6">
        <v>1.3508114E7</v>
      </c>
      <c r="B524" s="2" t="s">
        <v>2383</v>
      </c>
      <c r="C524" s="2" t="s">
        <v>17</v>
      </c>
      <c r="D524" s="2" t="s">
        <v>167</v>
      </c>
      <c r="E524" s="2" t="s">
        <v>2384</v>
      </c>
      <c r="F524" s="2" t="s">
        <v>2384</v>
      </c>
      <c r="G524" s="2" t="s">
        <v>2385</v>
      </c>
      <c r="H524" s="2" t="s">
        <v>45</v>
      </c>
      <c r="I524" s="2" t="s">
        <v>46</v>
      </c>
      <c r="J524" s="2" t="s">
        <v>47</v>
      </c>
      <c r="K524" s="2" t="s">
        <v>24</v>
      </c>
      <c r="L524" s="7">
        <v>45940.0</v>
      </c>
      <c r="M524" s="2" t="s">
        <v>48</v>
      </c>
      <c r="N524" s="2" t="s">
        <v>35</v>
      </c>
      <c r="O524" s="2" t="s">
        <v>27</v>
      </c>
      <c r="P524" s="2" t="s">
        <v>28</v>
      </c>
    </row>
    <row r="525" ht="14.25" customHeight="1">
      <c r="A525" s="6">
        <v>1.6764125E7</v>
      </c>
      <c r="B525" s="2" t="s">
        <v>2386</v>
      </c>
      <c r="C525" s="2" t="s">
        <v>17</v>
      </c>
      <c r="D525" s="2" t="s">
        <v>57</v>
      </c>
      <c r="E525" s="2" t="s">
        <v>2387</v>
      </c>
      <c r="F525" s="2" t="s">
        <v>2387</v>
      </c>
      <c r="G525" s="2" t="s">
        <v>2388</v>
      </c>
      <c r="H525" s="2" t="s">
        <v>45</v>
      </c>
      <c r="I525" s="2" t="s">
        <v>46</v>
      </c>
      <c r="J525" s="2" t="s">
        <v>47</v>
      </c>
      <c r="K525" s="2" t="s">
        <v>24</v>
      </c>
      <c r="L525" s="7">
        <v>45940.0</v>
      </c>
      <c r="M525" s="2" t="s">
        <v>48</v>
      </c>
      <c r="N525" s="2" t="s">
        <v>35</v>
      </c>
      <c r="O525" s="2" t="s">
        <v>27</v>
      </c>
      <c r="P525" s="2" t="s">
        <v>28</v>
      </c>
    </row>
    <row r="526" ht="14.25" customHeight="1">
      <c r="A526" s="6">
        <v>1.603689E7</v>
      </c>
      <c r="B526" s="2" t="s">
        <v>2389</v>
      </c>
      <c r="C526" s="2" t="s">
        <v>17</v>
      </c>
      <c r="D526" s="2" t="s">
        <v>38</v>
      </c>
      <c r="E526" s="2" t="s">
        <v>2390</v>
      </c>
      <c r="F526" s="2" t="s">
        <v>2390</v>
      </c>
      <c r="G526" s="2" t="s">
        <v>2391</v>
      </c>
      <c r="H526" s="2" t="s">
        <v>45</v>
      </c>
      <c r="I526" s="2" t="s">
        <v>46</v>
      </c>
      <c r="J526" s="2" t="s">
        <v>47</v>
      </c>
      <c r="K526" s="2" t="s">
        <v>24</v>
      </c>
      <c r="L526" s="7">
        <v>45940.0</v>
      </c>
      <c r="M526" s="2" t="s">
        <v>48</v>
      </c>
      <c r="N526" s="2" t="s">
        <v>35</v>
      </c>
      <c r="O526" s="2" t="s">
        <v>27</v>
      </c>
      <c r="P526" s="2" t="s">
        <v>28</v>
      </c>
    </row>
    <row r="527" ht="14.25" customHeight="1">
      <c r="A527" s="6">
        <v>1.7000676E7</v>
      </c>
      <c r="B527" s="2" t="s">
        <v>2392</v>
      </c>
      <c r="C527" s="2" t="s">
        <v>17</v>
      </c>
      <c r="D527" s="2" t="s">
        <v>38</v>
      </c>
      <c r="E527" s="2" t="s">
        <v>2393</v>
      </c>
      <c r="F527" s="2" t="s">
        <v>2393</v>
      </c>
      <c r="G527" s="2" t="s">
        <v>2394</v>
      </c>
      <c r="H527" s="2" t="s">
        <v>45</v>
      </c>
      <c r="I527" s="2" t="s">
        <v>46</v>
      </c>
      <c r="J527" s="2" t="s">
        <v>47</v>
      </c>
      <c r="K527" s="2" t="s">
        <v>24</v>
      </c>
      <c r="L527" s="7">
        <v>45940.0</v>
      </c>
      <c r="M527" s="2" t="s">
        <v>48</v>
      </c>
      <c r="N527" s="2" t="s">
        <v>35</v>
      </c>
      <c r="O527" s="2" t="s">
        <v>27</v>
      </c>
      <c r="P527" s="2" t="s">
        <v>28</v>
      </c>
    </row>
    <row r="528" ht="14.25" customHeight="1">
      <c r="A528" s="6">
        <v>1.6601015E7</v>
      </c>
      <c r="B528" s="2" t="s">
        <v>2395</v>
      </c>
      <c r="C528" s="2" t="s">
        <v>17</v>
      </c>
      <c r="D528" s="2" t="s">
        <v>167</v>
      </c>
      <c r="E528" s="2" t="s">
        <v>2396</v>
      </c>
      <c r="F528" s="2" t="s">
        <v>2396</v>
      </c>
      <c r="G528" s="2" t="s">
        <v>2397</v>
      </c>
      <c r="H528" s="2" t="s">
        <v>45</v>
      </c>
      <c r="I528" s="2" t="s">
        <v>46</v>
      </c>
      <c r="J528" s="2" t="s">
        <v>47</v>
      </c>
      <c r="K528" s="2" t="s">
        <v>24</v>
      </c>
      <c r="L528" s="7">
        <v>45940.0</v>
      </c>
      <c r="M528" s="2" t="s">
        <v>48</v>
      </c>
      <c r="N528" s="2" t="s">
        <v>35</v>
      </c>
      <c r="O528" s="2" t="s">
        <v>27</v>
      </c>
      <c r="P528" s="2" t="s">
        <v>28</v>
      </c>
    </row>
    <row r="529" ht="14.25" customHeight="1">
      <c r="A529" s="6">
        <v>1.6347939E7</v>
      </c>
      <c r="B529" s="2" t="s">
        <v>2398</v>
      </c>
      <c r="C529" s="2" t="s">
        <v>17</v>
      </c>
      <c r="D529" s="2" t="s">
        <v>38</v>
      </c>
      <c r="E529" s="2" t="s">
        <v>2399</v>
      </c>
      <c r="F529" s="2" t="s">
        <v>2399</v>
      </c>
      <c r="G529" s="2" t="s">
        <v>2400</v>
      </c>
      <c r="H529" s="2" t="s">
        <v>45</v>
      </c>
      <c r="I529" s="2" t="s">
        <v>46</v>
      </c>
      <c r="J529" s="2" t="s">
        <v>47</v>
      </c>
      <c r="K529" s="2" t="s">
        <v>24</v>
      </c>
      <c r="L529" s="7">
        <v>45940.0</v>
      </c>
      <c r="M529" s="2" t="s">
        <v>48</v>
      </c>
      <c r="N529" s="2" t="s">
        <v>35</v>
      </c>
      <c r="O529" s="2" t="s">
        <v>27</v>
      </c>
      <c r="P529" s="2" t="s">
        <v>28</v>
      </c>
    </row>
    <row r="530" ht="14.25" customHeight="1">
      <c r="A530" s="6">
        <v>1.9566539E7</v>
      </c>
      <c r="B530" s="2" t="s">
        <v>2401</v>
      </c>
      <c r="C530" s="2" t="s">
        <v>17</v>
      </c>
      <c r="D530" s="2" t="s">
        <v>18</v>
      </c>
      <c r="E530" s="2" t="s">
        <v>2402</v>
      </c>
      <c r="F530" s="2" t="s">
        <v>2402</v>
      </c>
      <c r="G530" s="2" t="s">
        <v>2403</v>
      </c>
      <c r="H530" s="2" t="s">
        <v>52</v>
      </c>
      <c r="I530" s="2" t="s">
        <v>46</v>
      </c>
      <c r="J530" s="2" t="s">
        <v>47</v>
      </c>
      <c r="K530" s="2" t="s">
        <v>630</v>
      </c>
      <c r="L530" s="7">
        <v>45881.0</v>
      </c>
      <c r="M530" s="2" t="s">
        <v>48</v>
      </c>
      <c r="N530" s="2" t="s">
        <v>35</v>
      </c>
      <c r="O530" s="2" t="s">
        <v>27</v>
      </c>
      <c r="P530" s="2" t="s">
        <v>28</v>
      </c>
    </row>
    <row r="531" ht="14.25" customHeight="1">
      <c r="A531" s="6">
        <v>1.6818256E7</v>
      </c>
      <c r="B531" s="2" t="s">
        <v>2404</v>
      </c>
      <c r="C531" s="2" t="s">
        <v>17</v>
      </c>
      <c r="D531" s="2" t="s">
        <v>18</v>
      </c>
      <c r="E531" s="2" t="s">
        <v>2405</v>
      </c>
      <c r="F531" s="2" t="s">
        <v>2405</v>
      </c>
      <c r="G531" s="2" t="s">
        <v>2406</v>
      </c>
      <c r="H531" s="2" t="s">
        <v>52</v>
      </c>
      <c r="I531" s="2" t="s">
        <v>46</v>
      </c>
      <c r="J531" s="2" t="s">
        <v>47</v>
      </c>
      <c r="K531" s="2" t="s">
        <v>113</v>
      </c>
      <c r="L531" s="7">
        <v>44805.0</v>
      </c>
      <c r="M531" s="2" t="s">
        <v>25</v>
      </c>
      <c r="N531" s="2" t="s">
        <v>35</v>
      </c>
      <c r="O531" s="2" t="s">
        <v>27</v>
      </c>
      <c r="P531" s="2" t="s">
        <v>36</v>
      </c>
    </row>
    <row r="532" ht="14.25" customHeight="1">
      <c r="A532" s="6">
        <v>1.1449083E7</v>
      </c>
      <c r="B532" s="2" t="s">
        <v>2407</v>
      </c>
      <c r="C532" s="2" t="s">
        <v>17</v>
      </c>
      <c r="D532" s="2" t="s">
        <v>18</v>
      </c>
      <c r="G532" s="2" t="s">
        <v>2408</v>
      </c>
      <c r="H532" s="2" t="s">
        <v>52</v>
      </c>
      <c r="I532" s="2" t="s">
        <v>46</v>
      </c>
      <c r="J532" s="2" t="s">
        <v>47</v>
      </c>
      <c r="K532" s="2" t="s">
        <v>113</v>
      </c>
      <c r="L532" s="7">
        <v>42370.0</v>
      </c>
      <c r="M532" s="2" t="s">
        <v>25</v>
      </c>
      <c r="N532" s="2" t="s">
        <v>35</v>
      </c>
      <c r="O532" s="2" t="s">
        <v>27</v>
      </c>
      <c r="P532" s="2" t="s">
        <v>36</v>
      </c>
    </row>
    <row r="533" ht="14.25" customHeight="1">
      <c r="A533" s="6">
        <v>1.3953625E7</v>
      </c>
      <c r="B533" s="2" t="s">
        <v>2409</v>
      </c>
      <c r="C533" s="2" t="s">
        <v>17</v>
      </c>
      <c r="D533" s="2" t="s">
        <v>18</v>
      </c>
      <c r="E533" s="2" t="s">
        <v>2410</v>
      </c>
      <c r="F533" s="2" t="s">
        <v>2411</v>
      </c>
      <c r="G533" s="2" t="s">
        <v>2412</v>
      </c>
      <c r="H533" s="2" t="s">
        <v>52</v>
      </c>
      <c r="I533" s="2" t="s">
        <v>46</v>
      </c>
      <c r="J533" s="2" t="s">
        <v>47</v>
      </c>
      <c r="K533" s="2" t="s">
        <v>113</v>
      </c>
      <c r="L533" s="7">
        <v>43466.0</v>
      </c>
      <c r="M533" s="2" t="s">
        <v>25</v>
      </c>
      <c r="N533" s="2" t="s">
        <v>35</v>
      </c>
      <c r="O533" s="2" t="s">
        <v>200</v>
      </c>
      <c r="P533" s="2" t="s">
        <v>36</v>
      </c>
    </row>
    <row r="534" ht="14.25" customHeight="1">
      <c r="A534" s="6">
        <v>1.8069608E7</v>
      </c>
      <c r="B534" s="2" t="s">
        <v>2413</v>
      </c>
      <c r="C534" s="2" t="s">
        <v>17</v>
      </c>
      <c r="D534" s="2" t="s">
        <v>18</v>
      </c>
      <c r="E534" s="2" t="s">
        <v>2414</v>
      </c>
      <c r="F534" s="2" t="s">
        <v>2415</v>
      </c>
      <c r="G534" s="2" t="s">
        <v>2416</v>
      </c>
      <c r="H534" s="2" t="s">
        <v>52</v>
      </c>
      <c r="I534" s="2" t="s">
        <v>46</v>
      </c>
      <c r="J534" s="2" t="s">
        <v>47</v>
      </c>
      <c r="K534" s="2" t="s">
        <v>113</v>
      </c>
      <c r="L534" s="7">
        <v>44460.0</v>
      </c>
      <c r="M534" s="2" t="s">
        <v>25</v>
      </c>
      <c r="N534" s="2" t="s">
        <v>35</v>
      </c>
      <c r="O534" s="2" t="s">
        <v>76</v>
      </c>
      <c r="P534" s="2" t="s">
        <v>36</v>
      </c>
    </row>
    <row r="535" ht="14.25" customHeight="1">
      <c r="A535" s="6">
        <v>1.8135151E7</v>
      </c>
      <c r="B535" s="2" t="s">
        <v>2417</v>
      </c>
      <c r="C535" s="2" t="s">
        <v>17</v>
      </c>
      <c r="D535" s="2" t="s">
        <v>18</v>
      </c>
      <c r="E535" s="2" t="s">
        <v>2418</v>
      </c>
      <c r="F535" s="2" t="s">
        <v>2418</v>
      </c>
      <c r="G535" s="2" t="s">
        <v>2419</v>
      </c>
      <c r="H535" s="2" t="s">
        <v>52</v>
      </c>
      <c r="I535" s="2" t="s">
        <v>46</v>
      </c>
      <c r="J535" s="2" t="s">
        <v>47</v>
      </c>
      <c r="K535" s="2" t="s">
        <v>113</v>
      </c>
      <c r="L535" s="7">
        <v>44805.0</v>
      </c>
      <c r="M535" s="2" t="s">
        <v>25</v>
      </c>
      <c r="N535" s="2" t="s">
        <v>35</v>
      </c>
      <c r="O535" s="2" t="s">
        <v>27</v>
      </c>
      <c r="P535" s="2" t="s">
        <v>36</v>
      </c>
    </row>
    <row r="536" ht="14.25" customHeight="1">
      <c r="A536" s="6">
        <v>1.0021264E7</v>
      </c>
      <c r="B536" s="2" t="s">
        <v>2420</v>
      </c>
      <c r="C536" s="2" t="s">
        <v>17</v>
      </c>
      <c r="D536" s="2" t="s">
        <v>18</v>
      </c>
      <c r="E536" s="2" t="s">
        <v>2421</v>
      </c>
      <c r="F536" s="2" t="s">
        <v>2421</v>
      </c>
      <c r="G536" s="2" t="s">
        <v>2422</v>
      </c>
      <c r="H536" s="2" t="s">
        <v>52</v>
      </c>
      <c r="I536" s="2" t="s">
        <v>46</v>
      </c>
      <c r="J536" s="2" t="s">
        <v>47</v>
      </c>
      <c r="K536" s="2" t="s">
        <v>113</v>
      </c>
      <c r="L536" s="7">
        <v>40513.0</v>
      </c>
      <c r="M536" s="2" t="s">
        <v>25</v>
      </c>
      <c r="N536" s="2" t="s">
        <v>35</v>
      </c>
      <c r="O536" s="2" t="s">
        <v>27</v>
      </c>
      <c r="P536" s="2" t="s">
        <v>36</v>
      </c>
    </row>
    <row r="537" ht="14.25" customHeight="1">
      <c r="A537" s="6">
        <v>1.2703195E7</v>
      </c>
      <c r="B537" s="2" t="s">
        <v>2423</v>
      </c>
      <c r="C537" s="2" t="s">
        <v>17</v>
      </c>
      <c r="D537" s="2" t="s">
        <v>18</v>
      </c>
      <c r="E537" s="2" t="s">
        <v>2424</v>
      </c>
      <c r="F537" s="2" t="s">
        <v>2424</v>
      </c>
      <c r="G537" s="2" t="s">
        <v>2425</v>
      </c>
      <c r="H537" s="2" t="s">
        <v>52</v>
      </c>
      <c r="I537" s="2" t="s">
        <v>46</v>
      </c>
      <c r="J537" s="2" t="s">
        <v>47</v>
      </c>
      <c r="K537" s="2" t="s">
        <v>113</v>
      </c>
      <c r="L537" s="7">
        <v>42618.0</v>
      </c>
      <c r="M537" s="2" t="s">
        <v>25</v>
      </c>
      <c r="N537" s="2" t="s">
        <v>35</v>
      </c>
      <c r="O537" s="2" t="s">
        <v>27</v>
      </c>
      <c r="P537" s="2" t="s">
        <v>36</v>
      </c>
    </row>
    <row r="538" ht="14.25" customHeight="1">
      <c r="A538" s="6">
        <v>1.9332061E7</v>
      </c>
      <c r="B538" s="2" t="s">
        <v>2426</v>
      </c>
      <c r="C538" s="2" t="s">
        <v>17</v>
      </c>
      <c r="D538" s="2" t="s">
        <v>18</v>
      </c>
      <c r="E538" s="2" t="s">
        <v>2427</v>
      </c>
      <c r="F538" s="2" t="s">
        <v>2427</v>
      </c>
      <c r="G538" s="2" t="s">
        <v>2428</v>
      </c>
      <c r="H538" s="2" t="s">
        <v>52</v>
      </c>
      <c r="I538" s="2" t="s">
        <v>46</v>
      </c>
      <c r="J538" s="2" t="s">
        <v>47</v>
      </c>
      <c r="K538" s="2" t="s">
        <v>113</v>
      </c>
      <c r="L538" s="7">
        <v>45017.0</v>
      </c>
      <c r="M538" s="2" t="s">
        <v>25</v>
      </c>
      <c r="N538" s="2" t="s">
        <v>35</v>
      </c>
      <c r="O538" s="2" t="s">
        <v>27</v>
      </c>
      <c r="P538" s="2" t="s">
        <v>36</v>
      </c>
    </row>
    <row r="539" ht="14.25" customHeight="1">
      <c r="A539" s="6">
        <v>1.5529872E7</v>
      </c>
      <c r="B539" s="2" t="s">
        <v>2429</v>
      </c>
      <c r="C539" s="2" t="s">
        <v>17</v>
      </c>
      <c r="D539" s="2" t="s">
        <v>18</v>
      </c>
      <c r="E539" s="2" t="s">
        <v>2430</v>
      </c>
      <c r="F539" s="2" t="s">
        <v>2430</v>
      </c>
      <c r="G539" s="2" t="s">
        <v>2431</v>
      </c>
      <c r="H539" s="2" t="s">
        <v>52</v>
      </c>
      <c r="I539" s="2" t="s">
        <v>46</v>
      </c>
      <c r="J539" s="2" t="s">
        <v>47</v>
      </c>
      <c r="K539" s="2" t="s">
        <v>113</v>
      </c>
      <c r="L539" s="7">
        <v>43831.0</v>
      </c>
      <c r="M539" s="2" t="s">
        <v>25</v>
      </c>
      <c r="N539" s="2" t="s">
        <v>35</v>
      </c>
      <c r="O539" s="2" t="s">
        <v>27</v>
      </c>
      <c r="P539" s="2" t="s">
        <v>36</v>
      </c>
    </row>
    <row r="540" ht="14.25" customHeight="1">
      <c r="A540" s="6">
        <v>1.813485E7</v>
      </c>
      <c r="B540" s="2" t="s">
        <v>2432</v>
      </c>
      <c r="C540" s="2" t="s">
        <v>17</v>
      </c>
      <c r="D540" s="2" t="s">
        <v>18</v>
      </c>
      <c r="E540" s="2" t="s">
        <v>2433</v>
      </c>
      <c r="F540" s="2" t="s">
        <v>2433</v>
      </c>
      <c r="G540" s="2" t="s">
        <v>2434</v>
      </c>
      <c r="H540" s="2" t="s">
        <v>52</v>
      </c>
      <c r="I540" s="2" t="s">
        <v>46</v>
      </c>
      <c r="J540" s="2" t="s">
        <v>47</v>
      </c>
      <c r="K540" s="2" t="s">
        <v>630</v>
      </c>
      <c r="L540" s="7">
        <v>44896.0</v>
      </c>
      <c r="M540" s="2" t="s">
        <v>48</v>
      </c>
      <c r="N540" s="2" t="s">
        <v>35</v>
      </c>
      <c r="O540" s="2" t="s">
        <v>27</v>
      </c>
      <c r="P540" s="2" t="s">
        <v>28</v>
      </c>
    </row>
    <row r="541" ht="14.25" customHeight="1">
      <c r="A541" s="6">
        <v>1.784442E7</v>
      </c>
      <c r="B541" s="2" t="s">
        <v>2435</v>
      </c>
      <c r="C541" s="2" t="s">
        <v>17</v>
      </c>
      <c r="D541" s="2" t="s">
        <v>18</v>
      </c>
      <c r="E541" s="2" t="s">
        <v>2436</v>
      </c>
      <c r="F541" s="2" t="s">
        <v>2436</v>
      </c>
      <c r="G541" s="2" t="s">
        <v>2437</v>
      </c>
      <c r="H541" s="2" t="s">
        <v>52</v>
      </c>
      <c r="I541" s="2" t="s">
        <v>46</v>
      </c>
      <c r="J541" s="2" t="s">
        <v>47</v>
      </c>
      <c r="K541" s="2" t="s">
        <v>113</v>
      </c>
      <c r="L541" s="7">
        <v>44137.0</v>
      </c>
      <c r="M541" s="2" t="s">
        <v>25</v>
      </c>
      <c r="N541" s="2" t="s">
        <v>35</v>
      </c>
      <c r="O541" s="2" t="s">
        <v>27</v>
      </c>
      <c r="P541" s="2" t="s">
        <v>36</v>
      </c>
    </row>
    <row r="542" ht="14.25" customHeight="1">
      <c r="A542" s="6">
        <v>1.8108706E7</v>
      </c>
      <c r="B542" s="2" t="s">
        <v>2438</v>
      </c>
      <c r="C542" s="2" t="s">
        <v>17</v>
      </c>
      <c r="D542" s="2" t="s">
        <v>18</v>
      </c>
      <c r="E542" s="2" t="s">
        <v>2439</v>
      </c>
      <c r="F542" s="2" t="s">
        <v>2439</v>
      </c>
      <c r="G542" s="2" t="s">
        <v>2440</v>
      </c>
      <c r="H542" s="2" t="s">
        <v>52</v>
      </c>
      <c r="I542" s="2" t="s">
        <v>46</v>
      </c>
      <c r="J542" s="2" t="s">
        <v>47</v>
      </c>
      <c r="K542" s="2" t="s">
        <v>113</v>
      </c>
      <c r="L542" s="7">
        <v>44805.0</v>
      </c>
      <c r="M542" s="2" t="s">
        <v>25</v>
      </c>
      <c r="N542" s="2" t="s">
        <v>35</v>
      </c>
      <c r="O542" s="2" t="s">
        <v>27</v>
      </c>
      <c r="P542" s="2" t="s">
        <v>36</v>
      </c>
    </row>
    <row r="543" ht="14.25" customHeight="1">
      <c r="A543" s="6">
        <v>8680798.0</v>
      </c>
      <c r="B543" s="2" t="s">
        <v>2441</v>
      </c>
      <c r="C543" s="2" t="s">
        <v>17</v>
      </c>
      <c r="D543" s="2" t="s">
        <v>18</v>
      </c>
      <c r="E543" s="2" t="s">
        <v>2442</v>
      </c>
      <c r="F543" s="2" t="s">
        <v>2442</v>
      </c>
      <c r="G543" s="2" t="s">
        <v>2443</v>
      </c>
      <c r="H543" s="2" t="s">
        <v>52</v>
      </c>
      <c r="I543" s="2" t="s">
        <v>46</v>
      </c>
      <c r="J543" s="2" t="s">
        <v>47</v>
      </c>
      <c r="K543" s="2" t="s">
        <v>113</v>
      </c>
      <c r="L543" s="7">
        <v>44781.0</v>
      </c>
      <c r="M543" s="2" t="s">
        <v>25</v>
      </c>
      <c r="N543" s="2" t="s">
        <v>35</v>
      </c>
      <c r="O543" s="2" t="s">
        <v>27</v>
      </c>
      <c r="P543" s="2" t="s">
        <v>36</v>
      </c>
    </row>
    <row r="544" ht="14.25" customHeight="1">
      <c r="A544" s="6">
        <v>1.9297515E7</v>
      </c>
      <c r="B544" s="2" t="s">
        <v>2444</v>
      </c>
      <c r="C544" s="2" t="s">
        <v>17</v>
      </c>
      <c r="D544" s="2" t="s">
        <v>38</v>
      </c>
      <c r="E544" s="2" t="s">
        <v>2445</v>
      </c>
      <c r="F544" s="2" t="s">
        <v>2445</v>
      </c>
      <c r="G544" s="2" t="s">
        <v>2446</v>
      </c>
      <c r="H544" s="2" t="s">
        <v>52</v>
      </c>
      <c r="I544" s="2" t="s">
        <v>622</v>
      </c>
      <c r="J544" s="2" t="s">
        <v>47</v>
      </c>
      <c r="K544" s="2" t="s">
        <v>630</v>
      </c>
      <c r="L544" s="7">
        <v>45600.0</v>
      </c>
      <c r="M544" s="2" t="s">
        <v>48</v>
      </c>
      <c r="N544" s="2" t="s">
        <v>35</v>
      </c>
      <c r="O544" s="2" t="s">
        <v>27</v>
      </c>
      <c r="P544" s="2" t="s">
        <v>28</v>
      </c>
    </row>
    <row r="545" ht="14.25" customHeight="1">
      <c r="A545" s="6">
        <v>1.7344598E7</v>
      </c>
      <c r="B545" s="2" t="s">
        <v>2447</v>
      </c>
      <c r="C545" s="2" t="s">
        <v>17</v>
      </c>
      <c r="D545" s="2" t="s">
        <v>18</v>
      </c>
      <c r="E545" s="2" t="s">
        <v>2448</v>
      </c>
      <c r="F545" s="2" t="s">
        <v>2448</v>
      </c>
      <c r="G545" s="2" t="s">
        <v>2449</v>
      </c>
      <c r="H545" s="2" t="s">
        <v>2450</v>
      </c>
      <c r="I545" s="2" t="s">
        <v>898</v>
      </c>
      <c r="J545" s="2" t="s">
        <v>93</v>
      </c>
      <c r="K545" s="2" t="s">
        <v>113</v>
      </c>
      <c r="L545" s="7">
        <v>45140.0</v>
      </c>
      <c r="M545" s="2" t="s">
        <v>94</v>
      </c>
      <c r="N545" s="2" t="s">
        <v>35</v>
      </c>
      <c r="O545" s="2" t="s">
        <v>27</v>
      </c>
      <c r="P545" s="2" t="s">
        <v>36</v>
      </c>
    </row>
    <row r="546" ht="14.25" customHeight="1">
      <c r="A546" s="6">
        <v>1.5518466E7</v>
      </c>
      <c r="B546" s="2" t="s">
        <v>2451</v>
      </c>
      <c r="C546" s="2" t="s">
        <v>17</v>
      </c>
      <c r="D546" s="2" t="s">
        <v>88</v>
      </c>
      <c r="E546" s="2" t="s">
        <v>2452</v>
      </c>
      <c r="F546" s="2" t="s">
        <v>2452</v>
      </c>
      <c r="G546" s="2" t="s">
        <v>2453</v>
      </c>
      <c r="H546" s="2" t="s">
        <v>2450</v>
      </c>
      <c r="I546" s="2" t="s">
        <v>890</v>
      </c>
      <c r="J546" s="2" t="s">
        <v>93</v>
      </c>
      <c r="K546" s="2" t="s">
        <v>113</v>
      </c>
      <c r="L546" s="7">
        <v>45595.0</v>
      </c>
      <c r="M546" s="2" t="s">
        <v>94</v>
      </c>
      <c r="N546" s="2" t="s">
        <v>35</v>
      </c>
      <c r="O546" s="2" t="s">
        <v>27</v>
      </c>
      <c r="P546" s="2" t="s">
        <v>36</v>
      </c>
    </row>
    <row r="547" ht="14.25" customHeight="1">
      <c r="A547" s="6">
        <v>1.0186425E7</v>
      </c>
      <c r="B547" s="2" t="s">
        <v>2454</v>
      </c>
      <c r="C547" s="2" t="s">
        <v>17</v>
      </c>
      <c r="D547" s="2" t="s">
        <v>18</v>
      </c>
      <c r="E547" s="2" t="s">
        <v>2455</v>
      </c>
      <c r="F547" s="2" t="s">
        <v>2455</v>
      </c>
      <c r="G547" s="2" t="s">
        <v>2456</v>
      </c>
      <c r="H547" s="2" t="s">
        <v>2450</v>
      </c>
      <c r="I547" s="2" t="s">
        <v>92</v>
      </c>
      <c r="J547" s="2" t="s">
        <v>93</v>
      </c>
      <c r="K547" s="2" t="s">
        <v>113</v>
      </c>
      <c r="L547" s="7">
        <v>40513.0</v>
      </c>
      <c r="M547" s="2" t="s">
        <v>94</v>
      </c>
      <c r="N547" s="2" t="s">
        <v>35</v>
      </c>
      <c r="O547" s="2" t="s">
        <v>27</v>
      </c>
      <c r="P547" s="2" t="s">
        <v>36</v>
      </c>
    </row>
    <row r="548" ht="14.25" customHeight="1">
      <c r="A548" s="6">
        <v>1.0513829E7</v>
      </c>
      <c r="B548" s="2" t="s">
        <v>2457</v>
      </c>
      <c r="C548" s="2" t="s">
        <v>17</v>
      </c>
      <c r="D548" s="2" t="s">
        <v>18</v>
      </c>
      <c r="E548" s="2" t="s">
        <v>2458</v>
      </c>
      <c r="F548" s="2" t="s">
        <v>2458</v>
      </c>
      <c r="G548" s="2" t="s">
        <v>2459</v>
      </c>
      <c r="H548" s="2" t="s">
        <v>2450</v>
      </c>
      <c r="I548" s="2" t="s">
        <v>894</v>
      </c>
      <c r="J548" s="2" t="s">
        <v>93</v>
      </c>
      <c r="K548" s="2" t="s">
        <v>113</v>
      </c>
      <c r="L548" s="7">
        <v>41640.0</v>
      </c>
      <c r="M548" s="2" t="s">
        <v>94</v>
      </c>
      <c r="N548" s="2" t="s">
        <v>35</v>
      </c>
      <c r="O548" s="2" t="s">
        <v>27</v>
      </c>
      <c r="P548" s="2" t="s">
        <v>36</v>
      </c>
    </row>
    <row r="549" ht="14.25" customHeight="1">
      <c r="A549" s="6">
        <v>1.1184301E7</v>
      </c>
      <c r="B549" s="2" t="s">
        <v>2460</v>
      </c>
      <c r="C549" s="2" t="s">
        <v>17</v>
      </c>
      <c r="D549" s="2" t="s">
        <v>18</v>
      </c>
      <c r="E549" s="2" t="s">
        <v>2461</v>
      </c>
      <c r="F549" s="2" t="s">
        <v>2461</v>
      </c>
      <c r="G549" s="2" t="s">
        <v>2462</v>
      </c>
      <c r="H549" s="2" t="s">
        <v>2450</v>
      </c>
      <c r="I549" s="2" t="s">
        <v>898</v>
      </c>
      <c r="J549" s="2" t="s">
        <v>93</v>
      </c>
      <c r="K549" s="2" t="s">
        <v>113</v>
      </c>
      <c r="L549" s="7">
        <v>40513.0</v>
      </c>
      <c r="M549" s="2" t="s">
        <v>94</v>
      </c>
      <c r="N549" s="2" t="s">
        <v>35</v>
      </c>
      <c r="O549" s="2" t="s">
        <v>27</v>
      </c>
      <c r="P549" s="2" t="s">
        <v>36</v>
      </c>
    </row>
    <row r="550" ht="14.25" customHeight="1">
      <c r="A550" s="6">
        <v>1.1446626E7</v>
      </c>
      <c r="B550" s="2" t="s">
        <v>2463</v>
      </c>
      <c r="C550" s="2" t="s">
        <v>17</v>
      </c>
      <c r="D550" s="2" t="s">
        <v>18</v>
      </c>
      <c r="E550" s="2" t="s">
        <v>2464</v>
      </c>
      <c r="F550" s="2" t="s">
        <v>2464</v>
      </c>
      <c r="G550" s="2" t="s">
        <v>2465</v>
      </c>
      <c r="H550" s="2" t="s">
        <v>2450</v>
      </c>
      <c r="I550" s="2" t="s">
        <v>178</v>
      </c>
      <c r="J550" s="2" t="s">
        <v>93</v>
      </c>
      <c r="K550" s="2" t="s">
        <v>113</v>
      </c>
      <c r="L550" s="7">
        <v>44780.0</v>
      </c>
      <c r="M550" s="2" t="s">
        <v>94</v>
      </c>
      <c r="N550" s="2" t="s">
        <v>35</v>
      </c>
      <c r="O550" s="2" t="s">
        <v>27</v>
      </c>
      <c r="P550" s="2" t="s">
        <v>36</v>
      </c>
    </row>
    <row r="551" ht="14.25" customHeight="1">
      <c r="A551" s="6">
        <v>1.1537154E7</v>
      </c>
      <c r="B551" s="2" t="s">
        <v>2466</v>
      </c>
      <c r="C551" s="2" t="s">
        <v>17</v>
      </c>
      <c r="D551" s="2" t="s">
        <v>18</v>
      </c>
      <c r="E551" s="2" t="s">
        <v>2467</v>
      </c>
      <c r="F551" s="2" t="s">
        <v>2467</v>
      </c>
      <c r="G551" s="2" t="s">
        <v>2468</v>
      </c>
      <c r="H551" s="2" t="s">
        <v>2450</v>
      </c>
      <c r="I551" s="2" t="s">
        <v>898</v>
      </c>
      <c r="J551" s="2" t="s">
        <v>93</v>
      </c>
      <c r="K551" s="2" t="s">
        <v>113</v>
      </c>
      <c r="L551" s="7">
        <v>40513.0</v>
      </c>
      <c r="M551" s="2" t="s">
        <v>94</v>
      </c>
      <c r="N551" s="2" t="s">
        <v>35</v>
      </c>
      <c r="O551" s="2" t="s">
        <v>27</v>
      </c>
      <c r="P551" s="2" t="s">
        <v>36</v>
      </c>
    </row>
    <row r="552" ht="14.25" customHeight="1">
      <c r="A552" s="6">
        <v>1.2995232E7</v>
      </c>
      <c r="B552" s="2" t="s">
        <v>2469</v>
      </c>
      <c r="C552" s="2" t="s">
        <v>17</v>
      </c>
      <c r="D552" s="2" t="s">
        <v>18</v>
      </c>
      <c r="E552" s="2" t="s">
        <v>2470</v>
      </c>
      <c r="F552" s="2" t="s">
        <v>2470</v>
      </c>
      <c r="G552" s="2" t="s">
        <v>2471</v>
      </c>
      <c r="H552" s="2" t="s">
        <v>2450</v>
      </c>
      <c r="I552" s="2" t="s">
        <v>178</v>
      </c>
      <c r="J552" s="2" t="s">
        <v>93</v>
      </c>
      <c r="K552" s="2" t="s">
        <v>113</v>
      </c>
      <c r="L552" s="7">
        <v>41046.0</v>
      </c>
      <c r="M552" s="2" t="s">
        <v>94</v>
      </c>
      <c r="N552" s="2" t="s">
        <v>35</v>
      </c>
      <c r="O552" s="2" t="s">
        <v>27</v>
      </c>
      <c r="P552" s="2" t="s">
        <v>36</v>
      </c>
    </row>
    <row r="553" ht="14.25" customHeight="1">
      <c r="A553" s="6">
        <v>1.4434304E7</v>
      </c>
      <c r="B553" s="2" t="s">
        <v>2472</v>
      </c>
      <c r="C553" s="2" t="s">
        <v>17</v>
      </c>
      <c r="D553" s="2" t="s">
        <v>18</v>
      </c>
      <c r="E553" s="2" t="s">
        <v>2473</v>
      </c>
      <c r="F553" s="2" t="s">
        <v>2473</v>
      </c>
      <c r="G553" s="2" t="s">
        <v>2474</v>
      </c>
      <c r="H553" s="2" t="s">
        <v>2450</v>
      </c>
      <c r="I553" s="2" t="s">
        <v>898</v>
      </c>
      <c r="J553" s="2" t="s">
        <v>93</v>
      </c>
      <c r="K553" s="2" t="s">
        <v>113</v>
      </c>
      <c r="L553" s="7">
        <v>40513.0</v>
      </c>
      <c r="M553" s="2" t="s">
        <v>94</v>
      </c>
      <c r="N553" s="2" t="s">
        <v>35</v>
      </c>
      <c r="O553" s="2" t="s">
        <v>27</v>
      </c>
      <c r="P553" s="2" t="s">
        <v>36</v>
      </c>
    </row>
    <row r="554" ht="14.25" customHeight="1">
      <c r="A554" s="6">
        <v>1.5855044E7</v>
      </c>
      <c r="B554" s="2" t="s">
        <v>2475</v>
      </c>
      <c r="C554" s="2" t="s">
        <v>17</v>
      </c>
      <c r="D554" s="2" t="s">
        <v>18</v>
      </c>
      <c r="E554" s="2" t="s">
        <v>2476</v>
      </c>
      <c r="F554" s="2" t="s">
        <v>2476</v>
      </c>
      <c r="G554" s="2" t="s">
        <v>2477</v>
      </c>
      <c r="H554" s="2" t="s">
        <v>2450</v>
      </c>
      <c r="I554" s="2" t="s">
        <v>890</v>
      </c>
      <c r="J554" s="2" t="s">
        <v>93</v>
      </c>
      <c r="K554" s="2" t="s">
        <v>113</v>
      </c>
      <c r="L554" s="7">
        <v>41456.0</v>
      </c>
      <c r="M554" s="2" t="s">
        <v>94</v>
      </c>
      <c r="N554" s="2" t="s">
        <v>35</v>
      </c>
      <c r="O554" s="2" t="s">
        <v>27</v>
      </c>
      <c r="P554" s="2" t="s">
        <v>36</v>
      </c>
    </row>
    <row r="555" ht="14.25" customHeight="1">
      <c r="A555" s="6">
        <v>1.5911853E7</v>
      </c>
      <c r="B555" s="2" t="s">
        <v>2478</v>
      </c>
      <c r="C555" s="2" t="s">
        <v>17</v>
      </c>
      <c r="D555" s="2" t="s">
        <v>18</v>
      </c>
      <c r="E555" s="2" t="s">
        <v>2479</v>
      </c>
      <c r="F555" s="2" t="s">
        <v>2479</v>
      </c>
      <c r="G555" s="2" t="s">
        <v>2480</v>
      </c>
      <c r="H555" s="2" t="s">
        <v>2450</v>
      </c>
      <c r="I555" s="2" t="s">
        <v>894</v>
      </c>
      <c r="J555" s="2" t="s">
        <v>93</v>
      </c>
      <c r="K555" s="2" t="s">
        <v>113</v>
      </c>
      <c r="L555" s="7">
        <v>43282.0</v>
      </c>
      <c r="M555" s="2" t="s">
        <v>94</v>
      </c>
      <c r="N555" s="2" t="s">
        <v>35</v>
      </c>
      <c r="O555" s="2" t="s">
        <v>27</v>
      </c>
      <c r="P555" s="2" t="s">
        <v>36</v>
      </c>
    </row>
    <row r="556" ht="14.25" customHeight="1">
      <c r="A556" s="6">
        <v>1.6039446E7</v>
      </c>
      <c r="B556" s="2" t="s">
        <v>2481</v>
      </c>
      <c r="C556" s="2" t="s">
        <v>17</v>
      </c>
      <c r="D556" s="2" t="s">
        <v>18</v>
      </c>
      <c r="E556" s="2" t="s">
        <v>2482</v>
      </c>
      <c r="F556" s="2" t="s">
        <v>2482</v>
      </c>
      <c r="G556" s="2" t="s">
        <v>2483</v>
      </c>
      <c r="H556" s="2" t="s">
        <v>2450</v>
      </c>
      <c r="I556" s="2" t="s">
        <v>120</v>
      </c>
      <c r="J556" s="2" t="s">
        <v>93</v>
      </c>
      <c r="K556" s="2" t="s">
        <v>113</v>
      </c>
      <c r="L556" s="7">
        <v>41047.0</v>
      </c>
      <c r="M556" s="2" t="s">
        <v>94</v>
      </c>
      <c r="N556" s="2" t="s">
        <v>35</v>
      </c>
      <c r="O556" s="2" t="s">
        <v>27</v>
      </c>
      <c r="P556" s="2" t="s">
        <v>36</v>
      </c>
    </row>
    <row r="557" ht="14.25" customHeight="1">
      <c r="A557" s="6">
        <v>1.7223664E7</v>
      </c>
      <c r="B557" s="2" t="s">
        <v>2484</v>
      </c>
      <c r="C557" s="2" t="s">
        <v>17</v>
      </c>
      <c r="D557" s="2" t="s">
        <v>18</v>
      </c>
      <c r="E557" s="2" t="s">
        <v>2485</v>
      </c>
      <c r="F557" s="2" t="s">
        <v>2485</v>
      </c>
      <c r="G557" s="2" t="s">
        <v>2486</v>
      </c>
      <c r="H557" s="2" t="s">
        <v>2450</v>
      </c>
      <c r="I557" s="2" t="s">
        <v>178</v>
      </c>
      <c r="J557" s="2" t="s">
        <v>93</v>
      </c>
      <c r="K557" s="2" t="s">
        <v>113</v>
      </c>
      <c r="L557" s="7">
        <v>45140.0</v>
      </c>
      <c r="M557" s="2" t="s">
        <v>94</v>
      </c>
      <c r="N557" s="2" t="s">
        <v>35</v>
      </c>
      <c r="O557" s="2" t="s">
        <v>27</v>
      </c>
      <c r="P557" s="2" t="s">
        <v>36</v>
      </c>
    </row>
    <row r="558" ht="14.25" customHeight="1">
      <c r="A558" s="6">
        <v>1.7897736E7</v>
      </c>
      <c r="B558" s="2" t="s">
        <v>2487</v>
      </c>
      <c r="C558" s="2" t="s">
        <v>17</v>
      </c>
      <c r="D558" s="2" t="s">
        <v>18</v>
      </c>
      <c r="E558" s="2" t="s">
        <v>2488</v>
      </c>
      <c r="F558" s="2" t="s">
        <v>2488</v>
      </c>
      <c r="G558" s="2" t="s">
        <v>2489</v>
      </c>
      <c r="H558" s="2" t="s">
        <v>2450</v>
      </c>
      <c r="I558" s="2" t="s">
        <v>178</v>
      </c>
      <c r="J558" s="2" t="s">
        <v>93</v>
      </c>
      <c r="K558" s="2" t="s">
        <v>113</v>
      </c>
      <c r="L558" s="7">
        <v>44780.0</v>
      </c>
      <c r="M558" s="2" t="s">
        <v>94</v>
      </c>
      <c r="N558" s="2" t="s">
        <v>35</v>
      </c>
      <c r="O558" s="2" t="s">
        <v>27</v>
      </c>
      <c r="P558" s="2" t="s">
        <v>36</v>
      </c>
    </row>
    <row r="559" ht="14.25" customHeight="1">
      <c r="A559" s="6">
        <v>1.8318714E7</v>
      </c>
      <c r="B559" s="2" t="s">
        <v>2490</v>
      </c>
      <c r="C559" s="2" t="s">
        <v>17</v>
      </c>
      <c r="D559" s="2" t="s">
        <v>18</v>
      </c>
      <c r="E559" s="2" t="s">
        <v>2491</v>
      </c>
      <c r="F559" s="2" t="s">
        <v>2491</v>
      </c>
      <c r="G559" s="2" t="s">
        <v>2492</v>
      </c>
      <c r="H559" s="2" t="s">
        <v>2450</v>
      </c>
      <c r="I559" s="2" t="s">
        <v>120</v>
      </c>
      <c r="J559" s="2" t="s">
        <v>93</v>
      </c>
      <c r="K559" s="2" t="s">
        <v>113</v>
      </c>
      <c r="L559" s="7">
        <v>44780.0</v>
      </c>
      <c r="M559" s="2" t="s">
        <v>94</v>
      </c>
      <c r="N559" s="2" t="s">
        <v>35</v>
      </c>
      <c r="O559" s="2" t="s">
        <v>27</v>
      </c>
      <c r="P559" s="2" t="s">
        <v>36</v>
      </c>
    </row>
    <row r="560" ht="14.25" customHeight="1">
      <c r="A560" s="6">
        <v>1.8321753E7</v>
      </c>
      <c r="B560" s="2" t="s">
        <v>2493</v>
      </c>
      <c r="C560" s="2" t="s">
        <v>17</v>
      </c>
      <c r="D560" s="2" t="s">
        <v>18</v>
      </c>
      <c r="E560" s="2" t="s">
        <v>2494</v>
      </c>
      <c r="F560" s="2" t="s">
        <v>2494</v>
      </c>
      <c r="G560" s="2" t="s">
        <v>2495</v>
      </c>
      <c r="H560" s="2" t="s">
        <v>2450</v>
      </c>
      <c r="I560" s="2" t="s">
        <v>894</v>
      </c>
      <c r="J560" s="2" t="s">
        <v>93</v>
      </c>
      <c r="K560" s="2" t="s">
        <v>113</v>
      </c>
      <c r="L560" s="7">
        <v>45140.0</v>
      </c>
      <c r="M560" s="2" t="s">
        <v>94</v>
      </c>
      <c r="N560" s="2" t="s">
        <v>35</v>
      </c>
      <c r="O560" s="2" t="s">
        <v>27</v>
      </c>
      <c r="P560" s="2" t="s">
        <v>36</v>
      </c>
    </row>
    <row r="561" ht="14.25" customHeight="1">
      <c r="A561" s="6">
        <v>7645492.0</v>
      </c>
      <c r="B561" s="2" t="s">
        <v>2496</v>
      </c>
      <c r="C561" s="2" t="s">
        <v>17</v>
      </c>
      <c r="D561" s="2" t="s">
        <v>18</v>
      </c>
      <c r="E561" s="2" t="s">
        <v>2497</v>
      </c>
      <c r="F561" s="2" t="s">
        <v>2497</v>
      </c>
      <c r="G561" s="2" t="s">
        <v>2498</v>
      </c>
      <c r="H561" s="2" t="s">
        <v>2450</v>
      </c>
      <c r="I561" s="2" t="s">
        <v>890</v>
      </c>
      <c r="J561" s="2" t="s">
        <v>93</v>
      </c>
      <c r="K561" s="2" t="s">
        <v>113</v>
      </c>
      <c r="L561" s="7">
        <v>40513.0</v>
      </c>
      <c r="M561" s="2" t="s">
        <v>94</v>
      </c>
      <c r="N561" s="2" t="s">
        <v>35</v>
      </c>
      <c r="O561" s="2" t="s">
        <v>27</v>
      </c>
      <c r="P561" s="2" t="s">
        <v>36</v>
      </c>
    </row>
    <row r="562" ht="14.25" customHeight="1">
      <c r="A562" s="6">
        <v>8686633.0</v>
      </c>
      <c r="B562" s="2" t="s">
        <v>2499</v>
      </c>
      <c r="C562" s="2" t="s">
        <v>17</v>
      </c>
      <c r="D562" s="2" t="s">
        <v>18</v>
      </c>
      <c r="E562" s="2" t="s">
        <v>2500</v>
      </c>
      <c r="F562" s="2" t="s">
        <v>2500</v>
      </c>
      <c r="G562" s="2" t="s">
        <v>2501</v>
      </c>
      <c r="H562" s="2" t="s">
        <v>2450</v>
      </c>
      <c r="I562" s="2" t="s">
        <v>894</v>
      </c>
      <c r="J562" s="2" t="s">
        <v>93</v>
      </c>
      <c r="K562" s="2" t="s">
        <v>113</v>
      </c>
      <c r="L562" s="7">
        <v>43435.0</v>
      </c>
      <c r="M562" s="2" t="s">
        <v>94</v>
      </c>
      <c r="N562" s="2" t="s">
        <v>35</v>
      </c>
      <c r="O562" s="2" t="s">
        <v>27</v>
      </c>
      <c r="P562" s="2" t="s">
        <v>36</v>
      </c>
    </row>
    <row r="563" ht="14.25" customHeight="1">
      <c r="A563" s="6">
        <v>8700518.0</v>
      </c>
      <c r="B563" s="2" t="s">
        <v>2502</v>
      </c>
      <c r="C563" s="2" t="s">
        <v>17</v>
      </c>
      <c r="D563" s="2" t="s">
        <v>18</v>
      </c>
      <c r="E563" s="2" t="s">
        <v>2503</v>
      </c>
      <c r="F563" s="2" t="s">
        <v>2503</v>
      </c>
      <c r="G563" s="2" t="s">
        <v>2504</v>
      </c>
      <c r="H563" s="2" t="s">
        <v>2450</v>
      </c>
      <c r="I563" s="2" t="s">
        <v>890</v>
      </c>
      <c r="J563" s="2" t="s">
        <v>93</v>
      </c>
      <c r="K563" s="2" t="s">
        <v>113</v>
      </c>
      <c r="L563" s="7">
        <v>40513.0</v>
      </c>
      <c r="M563" s="2" t="s">
        <v>94</v>
      </c>
      <c r="N563" s="2" t="s">
        <v>35</v>
      </c>
      <c r="O563" s="2" t="s">
        <v>27</v>
      </c>
      <c r="P563" s="2" t="s">
        <v>36</v>
      </c>
    </row>
    <row r="564" ht="14.25" customHeight="1">
      <c r="A564" s="6">
        <v>8874224.0</v>
      </c>
      <c r="B564" s="2" t="s">
        <v>2505</v>
      </c>
      <c r="C564" s="2" t="s">
        <v>17</v>
      </c>
      <c r="D564" s="2" t="s">
        <v>18</v>
      </c>
      <c r="E564" s="2" t="s">
        <v>2506</v>
      </c>
      <c r="F564" s="2" t="s">
        <v>2506</v>
      </c>
      <c r="G564" s="2" t="s">
        <v>2507</v>
      </c>
      <c r="H564" s="2" t="s">
        <v>2450</v>
      </c>
      <c r="I564" s="2" t="s">
        <v>178</v>
      </c>
      <c r="J564" s="2" t="s">
        <v>93</v>
      </c>
      <c r="K564" s="2" t="s">
        <v>113</v>
      </c>
      <c r="L564" s="7">
        <v>40513.0</v>
      </c>
      <c r="M564" s="2" t="s">
        <v>94</v>
      </c>
      <c r="N564" s="2" t="s">
        <v>35</v>
      </c>
      <c r="O564" s="2" t="s">
        <v>27</v>
      </c>
      <c r="P564" s="2" t="s">
        <v>36</v>
      </c>
    </row>
    <row r="565" ht="14.25" customHeight="1">
      <c r="A565" s="6">
        <v>9334103.0</v>
      </c>
      <c r="B565" s="2" t="s">
        <v>2508</v>
      </c>
      <c r="C565" s="2" t="s">
        <v>17</v>
      </c>
      <c r="D565" s="2" t="s">
        <v>18</v>
      </c>
      <c r="E565" s="2" t="s">
        <v>2509</v>
      </c>
      <c r="F565" s="2" t="s">
        <v>2509</v>
      </c>
      <c r="G565" s="2" t="s">
        <v>2510</v>
      </c>
      <c r="H565" s="2" t="s">
        <v>2450</v>
      </c>
      <c r="I565" s="2" t="s">
        <v>92</v>
      </c>
      <c r="J565" s="2" t="s">
        <v>93</v>
      </c>
      <c r="K565" s="2" t="s">
        <v>113</v>
      </c>
      <c r="L565" s="7">
        <v>44317.0</v>
      </c>
      <c r="M565" s="2" t="s">
        <v>94</v>
      </c>
      <c r="N565" s="2" t="s">
        <v>35</v>
      </c>
      <c r="O565" s="2" t="s">
        <v>27</v>
      </c>
      <c r="P565" s="2" t="s">
        <v>36</v>
      </c>
    </row>
    <row r="566" ht="14.25" customHeight="1">
      <c r="A566" s="6">
        <v>9339076.0</v>
      </c>
      <c r="B566" s="2" t="s">
        <v>2511</v>
      </c>
      <c r="C566" s="2" t="s">
        <v>17</v>
      </c>
      <c r="D566" s="2" t="s">
        <v>18</v>
      </c>
      <c r="E566" s="2" t="s">
        <v>2512</v>
      </c>
      <c r="F566" s="2" t="s">
        <v>2512</v>
      </c>
      <c r="G566" s="2" t="s">
        <v>2513</v>
      </c>
      <c r="H566" s="2" t="s">
        <v>2450</v>
      </c>
      <c r="I566" s="2" t="s">
        <v>120</v>
      </c>
      <c r="J566" s="2" t="s">
        <v>93</v>
      </c>
      <c r="K566" s="2" t="s">
        <v>113</v>
      </c>
      <c r="L566" s="7">
        <v>40513.0</v>
      </c>
      <c r="M566" s="2" t="s">
        <v>94</v>
      </c>
      <c r="N566" s="2" t="s">
        <v>35</v>
      </c>
      <c r="O566" s="2" t="s">
        <v>27</v>
      </c>
      <c r="P566" s="2" t="s">
        <v>36</v>
      </c>
    </row>
    <row r="567" ht="14.25" customHeight="1">
      <c r="A567" s="6">
        <v>9428171.0</v>
      </c>
      <c r="B567" s="2" t="s">
        <v>2514</v>
      </c>
      <c r="C567" s="2" t="s">
        <v>17</v>
      </c>
      <c r="D567" s="2" t="s">
        <v>18</v>
      </c>
      <c r="E567" s="2" t="s">
        <v>2515</v>
      </c>
      <c r="F567" s="2" t="s">
        <v>2515</v>
      </c>
      <c r="G567" s="2" t="s">
        <v>2516</v>
      </c>
      <c r="H567" s="2" t="s">
        <v>2450</v>
      </c>
      <c r="I567" s="2" t="s">
        <v>92</v>
      </c>
      <c r="J567" s="2" t="s">
        <v>93</v>
      </c>
      <c r="K567" s="2" t="s">
        <v>113</v>
      </c>
      <c r="L567" s="7">
        <v>40513.0</v>
      </c>
      <c r="M567" s="2" t="s">
        <v>94</v>
      </c>
      <c r="N567" s="2" t="s">
        <v>35</v>
      </c>
      <c r="O567" s="2" t="s">
        <v>27</v>
      </c>
      <c r="P567" s="2" t="s">
        <v>36</v>
      </c>
    </row>
    <row r="568" ht="14.25" customHeight="1">
      <c r="A568" s="6">
        <v>9431961.0</v>
      </c>
      <c r="B568" s="2" t="s">
        <v>2517</v>
      </c>
      <c r="C568" s="2" t="s">
        <v>17</v>
      </c>
      <c r="D568" s="2" t="s">
        <v>18</v>
      </c>
      <c r="E568" s="2" t="s">
        <v>2518</v>
      </c>
      <c r="F568" s="2" t="s">
        <v>2518</v>
      </c>
      <c r="G568" s="2" t="s">
        <v>2519</v>
      </c>
      <c r="H568" s="2" t="s">
        <v>2450</v>
      </c>
      <c r="I568" s="2" t="s">
        <v>890</v>
      </c>
      <c r="J568" s="2" t="s">
        <v>93</v>
      </c>
      <c r="K568" s="2" t="s">
        <v>113</v>
      </c>
      <c r="L568" s="7">
        <v>40513.0</v>
      </c>
      <c r="M568" s="2" t="s">
        <v>94</v>
      </c>
      <c r="N568" s="2" t="s">
        <v>35</v>
      </c>
      <c r="O568" s="2" t="s">
        <v>27</v>
      </c>
      <c r="P568" s="2" t="s">
        <v>36</v>
      </c>
    </row>
    <row r="569" ht="14.25" customHeight="1">
      <c r="A569" s="6">
        <v>9703440.0</v>
      </c>
      <c r="B569" s="2" t="s">
        <v>2520</v>
      </c>
      <c r="C569" s="2" t="s">
        <v>17</v>
      </c>
      <c r="D569" s="2" t="s">
        <v>18</v>
      </c>
      <c r="E569" s="2" t="s">
        <v>2521</v>
      </c>
      <c r="F569" s="2" t="s">
        <v>2521</v>
      </c>
      <c r="G569" s="2" t="s">
        <v>2522</v>
      </c>
      <c r="H569" s="2" t="s">
        <v>2450</v>
      </c>
      <c r="I569" s="2" t="s">
        <v>120</v>
      </c>
      <c r="J569" s="2" t="s">
        <v>93</v>
      </c>
      <c r="K569" s="2" t="s">
        <v>113</v>
      </c>
      <c r="L569" s="7">
        <v>40513.0</v>
      </c>
      <c r="M569" s="2" t="s">
        <v>94</v>
      </c>
      <c r="N569" s="2" t="s">
        <v>35</v>
      </c>
      <c r="O569" s="2" t="s">
        <v>27</v>
      </c>
      <c r="P569" s="2" t="s">
        <v>36</v>
      </c>
    </row>
    <row r="570" ht="14.25" customHeight="1">
      <c r="A570" s="6">
        <v>9747340.0</v>
      </c>
      <c r="B570" s="2" t="s">
        <v>2523</v>
      </c>
      <c r="C570" s="2" t="s">
        <v>17</v>
      </c>
      <c r="D570" s="2" t="s">
        <v>18</v>
      </c>
      <c r="E570" s="2" t="s">
        <v>2524</v>
      </c>
      <c r="F570" s="2" t="s">
        <v>2524</v>
      </c>
      <c r="G570" s="2" t="s">
        <v>2525</v>
      </c>
      <c r="H570" s="2" t="s">
        <v>2450</v>
      </c>
      <c r="I570" s="2" t="s">
        <v>92</v>
      </c>
      <c r="J570" s="2" t="s">
        <v>93</v>
      </c>
      <c r="K570" s="2" t="s">
        <v>113</v>
      </c>
      <c r="L570" s="7">
        <v>40513.0</v>
      </c>
      <c r="M570" s="2" t="s">
        <v>94</v>
      </c>
      <c r="N570" s="2" t="s">
        <v>35</v>
      </c>
      <c r="O570" s="2" t="s">
        <v>27</v>
      </c>
      <c r="P570" s="2" t="s">
        <v>36</v>
      </c>
    </row>
    <row r="571" ht="14.25" customHeight="1">
      <c r="A571" s="6">
        <v>1.4274033E7</v>
      </c>
      <c r="B571" s="2" t="s">
        <v>2526</v>
      </c>
      <c r="C571" s="2" t="s">
        <v>17</v>
      </c>
      <c r="D571" s="2" t="s">
        <v>18</v>
      </c>
      <c r="E571" s="2" t="s">
        <v>2527</v>
      </c>
      <c r="F571" s="2" t="s">
        <v>2527</v>
      </c>
      <c r="G571" s="2" t="s">
        <v>2528</v>
      </c>
      <c r="H571" s="2" t="s">
        <v>2450</v>
      </c>
      <c r="I571" s="2" t="s">
        <v>2529</v>
      </c>
      <c r="J571" s="2" t="s">
        <v>93</v>
      </c>
      <c r="K571" s="2" t="s">
        <v>113</v>
      </c>
      <c r="L571" s="7">
        <v>40513.0</v>
      </c>
      <c r="M571" s="2" t="s">
        <v>94</v>
      </c>
      <c r="N571" s="2" t="s">
        <v>35</v>
      </c>
      <c r="O571" s="2" t="s">
        <v>27</v>
      </c>
      <c r="P571" s="2" t="s">
        <v>36</v>
      </c>
    </row>
    <row r="572" ht="14.25" customHeight="1">
      <c r="A572" s="6">
        <v>1.761689E7</v>
      </c>
      <c r="B572" s="2" t="s">
        <v>2530</v>
      </c>
      <c r="C572" s="2" t="s">
        <v>17</v>
      </c>
      <c r="D572" s="2" t="s">
        <v>18</v>
      </c>
      <c r="E572" s="2" t="s">
        <v>2531</v>
      </c>
      <c r="F572" s="2" t="s">
        <v>2531</v>
      </c>
      <c r="G572" s="2" t="s">
        <v>2532</v>
      </c>
      <c r="H572" s="2" t="s">
        <v>2450</v>
      </c>
      <c r="I572" s="2" t="s">
        <v>898</v>
      </c>
      <c r="J572" s="2" t="s">
        <v>93</v>
      </c>
      <c r="K572" s="2" t="s">
        <v>113</v>
      </c>
      <c r="L572" s="7">
        <v>45299.0</v>
      </c>
      <c r="M572" s="2" t="s">
        <v>94</v>
      </c>
      <c r="N572" s="2" t="s">
        <v>35</v>
      </c>
      <c r="O572" s="2" t="s">
        <v>27</v>
      </c>
      <c r="P572" s="2" t="s">
        <v>36</v>
      </c>
    </row>
    <row r="573" ht="14.25" customHeight="1">
      <c r="A573" s="6">
        <v>2.2735006E7</v>
      </c>
      <c r="B573" s="2" t="s">
        <v>2533</v>
      </c>
      <c r="C573" s="2" t="s">
        <v>17</v>
      </c>
      <c r="D573" s="2" t="s">
        <v>18</v>
      </c>
      <c r="E573" s="2" t="s">
        <v>2534</v>
      </c>
      <c r="F573" s="2" t="s">
        <v>2534</v>
      </c>
      <c r="G573" s="2" t="s">
        <v>2535</v>
      </c>
      <c r="H573" s="2" t="s">
        <v>2450</v>
      </c>
      <c r="I573" s="2" t="s">
        <v>92</v>
      </c>
      <c r="J573" s="2" t="s">
        <v>93</v>
      </c>
      <c r="K573" s="2" t="s">
        <v>113</v>
      </c>
      <c r="L573" s="7">
        <v>45469.0</v>
      </c>
      <c r="M573" s="2" t="s">
        <v>94</v>
      </c>
      <c r="N573" s="2" t="s">
        <v>35</v>
      </c>
      <c r="O573" s="2" t="s">
        <v>27</v>
      </c>
      <c r="P573" s="2" t="s">
        <v>36</v>
      </c>
    </row>
    <row r="574" ht="14.25" customHeight="1">
      <c r="A574" s="6">
        <v>2.0116576E7</v>
      </c>
      <c r="B574" s="2" t="s">
        <v>2536</v>
      </c>
      <c r="C574" s="2" t="s">
        <v>17</v>
      </c>
      <c r="D574" s="2" t="s">
        <v>18</v>
      </c>
      <c r="E574" s="2" t="s">
        <v>2537</v>
      </c>
      <c r="F574" s="2" t="s">
        <v>2537</v>
      </c>
      <c r="G574" s="2" t="s">
        <v>2538</v>
      </c>
      <c r="H574" s="2" t="s">
        <v>2539</v>
      </c>
      <c r="I574" s="2" t="s">
        <v>2540</v>
      </c>
      <c r="J574" s="2" t="s">
        <v>34</v>
      </c>
      <c r="K574" s="2" t="s">
        <v>113</v>
      </c>
      <c r="L574" s="7">
        <v>44743.0</v>
      </c>
      <c r="M574" s="2" t="s">
        <v>25</v>
      </c>
      <c r="N574" s="2" t="s">
        <v>35</v>
      </c>
      <c r="O574" s="2" t="s">
        <v>27</v>
      </c>
      <c r="P574" s="2" t="s">
        <v>36</v>
      </c>
    </row>
    <row r="575" ht="14.25" customHeight="1">
      <c r="A575" s="6">
        <v>9331796.0</v>
      </c>
      <c r="B575" s="2" t="s">
        <v>2541</v>
      </c>
      <c r="C575" s="2" t="s">
        <v>17</v>
      </c>
      <c r="D575" s="2" t="s">
        <v>18</v>
      </c>
      <c r="E575" s="2" t="s">
        <v>2542</v>
      </c>
      <c r="F575" s="2" t="s">
        <v>2542</v>
      </c>
      <c r="G575" s="2" t="s">
        <v>2543</v>
      </c>
      <c r="H575" s="2" t="s">
        <v>2539</v>
      </c>
      <c r="I575" s="2" t="s">
        <v>2540</v>
      </c>
      <c r="J575" s="2" t="s">
        <v>34</v>
      </c>
      <c r="K575" s="2" t="s">
        <v>113</v>
      </c>
      <c r="L575" s="7">
        <v>40513.0</v>
      </c>
      <c r="M575" s="2" t="s">
        <v>25</v>
      </c>
      <c r="N575" s="2" t="s">
        <v>35</v>
      </c>
      <c r="O575" s="2" t="s">
        <v>27</v>
      </c>
      <c r="P575" s="2" t="s">
        <v>36</v>
      </c>
    </row>
    <row r="576" ht="14.25" customHeight="1">
      <c r="A576" s="6">
        <v>9550571.0</v>
      </c>
      <c r="B576" s="2" t="s">
        <v>2544</v>
      </c>
      <c r="C576" s="2" t="s">
        <v>17</v>
      </c>
      <c r="D576" s="2" t="s">
        <v>18</v>
      </c>
      <c r="E576" s="2" t="s">
        <v>2545</v>
      </c>
      <c r="F576" s="2" t="s">
        <v>2545</v>
      </c>
      <c r="G576" s="2" t="s">
        <v>2546</v>
      </c>
      <c r="H576" s="2" t="s">
        <v>2539</v>
      </c>
      <c r="I576" s="2" t="s">
        <v>2540</v>
      </c>
      <c r="J576" s="2" t="s">
        <v>34</v>
      </c>
      <c r="K576" s="2" t="s">
        <v>113</v>
      </c>
      <c r="L576" s="7">
        <v>41640.0</v>
      </c>
      <c r="M576" s="2" t="s">
        <v>25</v>
      </c>
      <c r="N576" s="2" t="s">
        <v>35</v>
      </c>
      <c r="O576" s="2" t="s">
        <v>27</v>
      </c>
      <c r="P576" s="2" t="s">
        <v>36</v>
      </c>
    </row>
    <row r="577" ht="14.25" customHeight="1">
      <c r="A577" s="6">
        <v>1.9826842E7</v>
      </c>
      <c r="B577" s="2" t="s">
        <v>2547</v>
      </c>
      <c r="C577" s="2" t="s">
        <v>17</v>
      </c>
      <c r="D577" s="2" t="s">
        <v>38</v>
      </c>
      <c r="E577" s="2" t="s">
        <v>2548</v>
      </c>
      <c r="F577" s="2" t="s">
        <v>2548</v>
      </c>
      <c r="G577" s="2" t="s">
        <v>2549</v>
      </c>
      <c r="H577" s="2" t="s">
        <v>2550</v>
      </c>
      <c r="I577" s="2" t="s">
        <v>199</v>
      </c>
      <c r="J577" s="2" t="s">
        <v>62</v>
      </c>
      <c r="K577" s="2" t="s">
        <v>24</v>
      </c>
      <c r="L577" s="7">
        <v>45940.0</v>
      </c>
      <c r="M577" s="2" t="s">
        <v>48</v>
      </c>
      <c r="N577" s="2" t="s">
        <v>35</v>
      </c>
      <c r="O577" s="2" t="s">
        <v>27</v>
      </c>
      <c r="P577" s="2" t="s">
        <v>28</v>
      </c>
    </row>
    <row r="578" ht="14.25" customHeight="1">
      <c r="A578" s="6">
        <v>2.0785939E7</v>
      </c>
      <c r="B578" s="2" t="s">
        <v>2551</v>
      </c>
      <c r="C578" s="2" t="s">
        <v>17</v>
      </c>
      <c r="D578" s="2" t="s">
        <v>18</v>
      </c>
      <c r="E578" s="2" t="s">
        <v>2552</v>
      </c>
      <c r="F578" s="2" t="s">
        <v>2552</v>
      </c>
      <c r="G578" s="2" t="s">
        <v>2553</v>
      </c>
      <c r="H578" s="2" t="s">
        <v>2550</v>
      </c>
      <c r="I578" s="2" t="s">
        <v>199</v>
      </c>
      <c r="J578" s="2" t="s">
        <v>62</v>
      </c>
      <c r="K578" s="2" t="s">
        <v>24</v>
      </c>
      <c r="L578" s="7">
        <v>45950.0</v>
      </c>
      <c r="M578" s="2" t="s">
        <v>48</v>
      </c>
      <c r="N578" s="2" t="s">
        <v>35</v>
      </c>
      <c r="O578" s="2" t="s">
        <v>27</v>
      </c>
      <c r="P578" s="2" t="s">
        <v>28</v>
      </c>
    </row>
    <row r="579" ht="14.25" customHeight="1">
      <c r="A579" s="6">
        <v>1.882199E7</v>
      </c>
      <c r="B579" s="2" t="s">
        <v>2554</v>
      </c>
      <c r="C579" s="2" t="s">
        <v>17</v>
      </c>
      <c r="D579" s="2" t="s">
        <v>88</v>
      </c>
      <c r="E579" s="2" t="s">
        <v>2555</v>
      </c>
      <c r="F579" s="2" t="s">
        <v>2555</v>
      </c>
      <c r="G579" s="2" t="s">
        <v>2556</v>
      </c>
      <c r="H579" s="2" t="s">
        <v>2557</v>
      </c>
      <c r="I579" s="2" t="s">
        <v>2558</v>
      </c>
      <c r="J579" s="2" t="s">
        <v>62</v>
      </c>
      <c r="K579" s="2" t="s">
        <v>113</v>
      </c>
      <c r="L579" s="7">
        <v>45271.0</v>
      </c>
      <c r="M579" s="2" t="s">
        <v>25</v>
      </c>
      <c r="N579" s="2" t="s">
        <v>35</v>
      </c>
      <c r="O579" s="2" t="s">
        <v>27</v>
      </c>
      <c r="P579" s="2" t="s">
        <v>36</v>
      </c>
    </row>
    <row r="580" ht="14.25" customHeight="1">
      <c r="A580" s="6">
        <v>1.7000762E7</v>
      </c>
      <c r="B580" s="2" t="s">
        <v>2559</v>
      </c>
      <c r="C580" s="2" t="s">
        <v>17</v>
      </c>
      <c r="D580" s="2" t="s">
        <v>18</v>
      </c>
      <c r="E580" s="2" t="s">
        <v>2560</v>
      </c>
      <c r="F580" s="2" t="s">
        <v>2560</v>
      </c>
      <c r="G580" s="2" t="s">
        <v>2561</v>
      </c>
      <c r="H580" s="2" t="s">
        <v>2557</v>
      </c>
      <c r="I580" s="2" t="s">
        <v>135</v>
      </c>
      <c r="J580" s="2" t="s">
        <v>62</v>
      </c>
      <c r="K580" s="2" t="s">
        <v>113</v>
      </c>
      <c r="L580" s="7">
        <v>44896.0</v>
      </c>
      <c r="M580" s="2" t="s">
        <v>25</v>
      </c>
      <c r="N580" s="2" t="s">
        <v>35</v>
      </c>
      <c r="O580" s="2" t="s">
        <v>27</v>
      </c>
      <c r="P580" s="2" t="s">
        <v>36</v>
      </c>
    </row>
    <row r="581" ht="14.25" customHeight="1">
      <c r="A581" s="6">
        <v>1.1903293E7</v>
      </c>
      <c r="B581" s="2" t="s">
        <v>2562</v>
      </c>
      <c r="C581" s="2" t="s">
        <v>17</v>
      </c>
      <c r="D581" s="2" t="s">
        <v>18</v>
      </c>
      <c r="E581" s="2" t="s">
        <v>2563</v>
      </c>
      <c r="F581" s="2" t="s">
        <v>2563</v>
      </c>
      <c r="G581" s="2" t="s">
        <v>2564</v>
      </c>
      <c r="H581" s="2" t="s">
        <v>2557</v>
      </c>
      <c r="I581" s="2" t="s">
        <v>2565</v>
      </c>
      <c r="J581" s="2" t="s">
        <v>62</v>
      </c>
      <c r="K581" s="2" t="s">
        <v>113</v>
      </c>
      <c r="L581" s="7">
        <v>40513.0</v>
      </c>
      <c r="M581" s="2" t="s">
        <v>25</v>
      </c>
      <c r="N581" s="2" t="s">
        <v>35</v>
      </c>
      <c r="O581" s="2" t="s">
        <v>27</v>
      </c>
      <c r="P581" s="2" t="s">
        <v>36</v>
      </c>
    </row>
    <row r="582" ht="14.25" customHeight="1">
      <c r="A582" s="6">
        <v>2.002E7</v>
      </c>
      <c r="B582" s="2" t="s">
        <v>2566</v>
      </c>
      <c r="C582" s="2" t="s">
        <v>17</v>
      </c>
      <c r="D582" s="2" t="s">
        <v>18</v>
      </c>
      <c r="E582" s="2" t="s">
        <v>2567</v>
      </c>
      <c r="F582" s="2" t="s">
        <v>2567</v>
      </c>
      <c r="G582" s="2" t="s">
        <v>2568</v>
      </c>
      <c r="H582" s="2" t="s">
        <v>2557</v>
      </c>
      <c r="I582" s="2" t="s">
        <v>128</v>
      </c>
      <c r="J582" s="2" t="s">
        <v>62</v>
      </c>
      <c r="K582" s="2" t="s">
        <v>113</v>
      </c>
      <c r="L582" s="7">
        <v>44896.0</v>
      </c>
      <c r="M582" s="2" t="s">
        <v>25</v>
      </c>
      <c r="N582" s="2" t="s">
        <v>35</v>
      </c>
      <c r="O582" s="2" t="s">
        <v>27</v>
      </c>
      <c r="P582" s="2" t="s">
        <v>36</v>
      </c>
    </row>
    <row r="583" ht="14.25" customHeight="1">
      <c r="A583" s="6">
        <v>2.061317E7</v>
      </c>
      <c r="B583" s="2" t="s">
        <v>2569</v>
      </c>
      <c r="C583" s="2" t="s">
        <v>17</v>
      </c>
      <c r="D583" s="2" t="s">
        <v>18</v>
      </c>
      <c r="E583" s="2" t="s">
        <v>2570</v>
      </c>
      <c r="F583" s="2" t="s">
        <v>2570</v>
      </c>
      <c r="G583" s="2" t="s">
        <v>2571</v>
      </c>
      <c r="H583" s="2" t="s">
        <v>2557</v>
      </c>
      <c r="I583" s="2" t="s">
        <v>2572</v>
      </c>
      <c r="J583" s="2" t="s">
        <v>62</v>
      </c>
      <c r="K583" s="2" t="s">
        <v>113</v>
      </c>
      <c r="L583" s="7">
        <v>44531.0</v>
      </c>
      <c r="M583" s="2" t="s">
        <v>25</v>
      </c>
      <c r="N583" s="2" t="s">
        <v>35</v>
      </c>
      <c r="O583" s="2" t="s">
        <v>27</v>
      </c>
      <c r="P583" s="2" t="s">
        <v>36</v>
      </c>
    </row>
    <row r="584" ht="14.25" customHeight="1">
      <c r="A584" s="6">
        <v>2.1145845E7</v>
      </c>
      <c r="B584" s="2" t="s">
        <v>2573</v>
      </c>
      <c r="C584" s="2" t="s">
        <v>17</v>
      </c>
      <c r="D584" s="2" t="s">
        <v>18</v>
      </c>
      <c r="E584" s="2" t="s">
        <v>2574</v>
      </c>
      <c r="F584" s="2" t="s">
        <v>2574</v>
      </c>
      <c r="G584" s="2" t="s">
        <v>2575</v>
      </c>
      <c r="H584" s="2" t="s">
        <v>2557</v>
      </c>
      <c r="I584" s="2" t="s">
        <v>2565</v>
      </c>
      <c r="J584" s="2" t="s">
        <v>62</v>
      </c>
      <c r="K584" s="2" t="s">
        <v>113</v>
      </c>
      <c r="L584" s="7">
        <v>44137.0</v>
      </c>
      <c r="M584" s="2" t="s">
        <v>25</v>
      </c>
      <c r="N584" s="2" t="s">
        <v>35</v>
      </c>
      <c r="O584" s="2" t="s">
        <v>27</v>
      </c>
      <c r="P584" s="2" t="s">
        <v>36</v>
      </c>
    </row>
    <row r="585" ht="14.25" customHeight="1">
      <c r="A585" s="6">
        <v>9658425.0</v>
      </c>
      <c r="B585" s="2" t="s">
        <v>2576</v>
      </c>
      <c r="C585" s="2" t="s">
        <v>17</v>
      </c>
      <c r="D585" s="2" t="s">
        <v>18</v>
      </c>
      <c r="E585" s="2" t="s">
        <v>2577</v>
      </c>
      <c r="F585" s="2" t="s">
        <v>2577</v>
      </c>
      <c r="G585" s="2" t="s">
        <v>2578</v>
      </c>
      <c r="H585" s="2" t="s">
        <v>2557</v>
      </c>
      <c r="I585" s="2" t="s">
        <v>2572</v>
      </c>
      <c r="J585" s="2" t="s">
        <v>62</v>
      </c>
      <c r="K585" s="2" t="s">
        <v>113</v>
      </c>
      <c r="L585" s="7">
        <v>40513.0</v>
      </c>
      <c r="M585" s="2" t="s">
        <v>25</v>
      </c>
      <c r="N585" s="2" t="s">
        <v>35</v>
      </c>
      <c r="O585" s="2" t="s">
        <v>27</v>
      </c>
      <c r="P585" s="2" t="s">
        <v>36</v>
      </c>
    </row>
    <row r="586" ht="14.25" customHeight="1">
      <c r="A586" s="6">
        <v>9273647.0</v>
      </c>
      <c r="B586" s="2" t="s">
        <v>2579</v>
      </c>
      <c r="C586" s="2" t="s">
        <v>17</v>
      </c>
      <c r="D586" s="2" t="s">
        <v>18</v>
      </c>
      <c r="E586" s="2" t="s">
        <v>2580</v>
      </c>
      <c r="F586" s="2" t="s">
        <v>2581</v>
      </c>
      <c r="G586" s="2" t="s">
        <v>2582</v>
      </c>
      <c r="H586" s="2" t="s">
        <v>2583</v>
      </c>
      <c r="I586" s="2" t="s">
        <v>2565</v>
      </c>
      <c r="J586" s="2" t="s">
        <v>62</v>
      </c>
      <c r="K586" s="2" t="s">
        <v>113</v>
      </c>
      <c r="L586" s="7">
        <v>40513.0</v>
      </c>
      <c r="M586" s="2" t="s">
        <v>25</v>
      </c>
      <c r="N586" s="2" t="s">
        <v>35</v>
      </c>
      <c r="O586" s="2" t="s">
        <v>27</v>
      </c>
      <c r="P586" s="2" t="s">
        <v>36</v>
      </c>
    </row>
    <row r="587" ht="14.25" customHeight="1">
      <c r="A587" s="6">
        <v>1.0082361E7</v>
      </c>
      <c r="B587" s="2" t="s">
        <v>2584</v>
      </c>
      <c r="C587" s="2" t="s">
        <v>17</v>
      </c>
      <c r="D587" s="2" t="s">
        <v>18</v>
      </c>
      <c r="E587" s="2" t="s">
        <v>2585</v>
      </c>
      <c r="F587" s="2" t="s">
        <v>2585</v>
      </c>
      <c r="G587" s="2" t="s">
        <v>2586</v>
      </c>
      <c r="H587" s="2" t="s">
        <v>2583</v>
      </c>
      <c r="I587" s="2" t="s">
        <v>2572</v>
      </c>
      <c r="J587" s="2" t="s">
        <v>62</v>
      </c>
      <c r="K587" s="2" t="s">
        <v>113</v>
      </c>
      <c r="L587" s="7">
        <v>40513.0</v>
      </c>
      <c r="M587" s="2" t="s">
        <v>25</v>
      </c>
      <c r="N587" s="2" t="s">
        <v>35</v>
      </c>
      <c r="O587" s="2" t="s">
        <v>27</v>
      </c>
      <c r="P587" s="2" t="s">
        <v>36</v>
      </c>
    </row>
    <row r="588" ht="14.25" customHeight="1">
      <c r="A588" s="6">
        <v>1.7640962E7</v>
      </c>
      <c r="B588" s="2" t="s">
        <v>2587</v>
      </c>
      <c r="C588" s="2" t="s">
        <v>17</v>
      </c>
      <c r="D588" s="2" t="s">
        <v>38</v>
      </c>
      <c r="E588" s="2" t="s">
        <v>2588</v>
      </c>
      <c r="F588" s="2" t="s">
        <v>2588</v>
      </c>
      <c r="G588" s="2" t="s">
        <v>2589</v>
      </c>
      <c r="H588" s="2" t="s">
        <v>2590</v>
      </c>
      <c r="I588" s="2" t="s">
        <v>2591</v>
      </c>
      <c r="J588" s="2" t="s">
        <v>62</v>
      </c>
      <c r="K588" s="2" t="s">
        <v>113</v>
      </c>
      <c r="L588" s="7">
        <v>45537.0</v>
      </c>
      <c r="M588" s="2" t="s">
        <v>25</v>
      </c>
      <c r="N588" s="2" t="s">
        <v>35</v>
      </c>
      <c r="O588" s="2" t="s">
        <v>27</v>
      </c>
      <c r="P588" s="2" t="s">
        <v>36</v>
      </c>
    </row>
    <row r="589" ht="14.25" customHeight="1">
      <c r="A589" s="6">
        <v>2.0125233E7</v>
      </c>
      <c r="B589" s="2" t="s">
        <v>2592</v>
      </c>
      <c r="C589" s="2" t="s">
        <v>17</v>
      </c>
      <c r="D589" s="2" t="s">
        <v>18</v>
      </c>
      <c r="E589" s="2" t="s">
        <v>2593</v>
      </c>
      <c r="F589" s="2" t="s">
        <v>2594</v>
      </c>
      <c r="G589" s="2" t="s">
        <v>2595</v>
      </c>
      <c r="H589" s="2" t="s">
        <v>2590</v>
      </c>
      <c r="I589" s="2" t="s">
        <v>2565</v>
      </c>
      <c r="J589" s="2" t="s">
        <v>62</v>
      </c>
      <c r="K589" s="2" t="s">
        <v>113</v>
      </c>
      <c r="L589" s="7">
        <v>45264.0</v>
      </c>
      <c r="M589" s="2" t="s">
        <v>25</v>
      </c>
      <c r="N589" s="2" t="s">
        <v>35</v>
      </c>
      <c r="O589" s="2" t="s">
        <v>27</v>
      </c>
      <c r="P589" s="2" t="s">
        <v>36</v>
      </c>
    </row>
    <row r="590" ht="14.25" customHeight="1">
      <c r="A590" s="6">
        <v>2.6793817E7</v>
      </c>
      <c r="B590" s="2" t="s">
        <v>2596</v>
      </c>
      <c r="C590" s="2" t="s">
        <v>17</v>
      </c>
      <c r="D590" s="2" t="s">
        <v>38</v>
      </c>
      <c r="E590" s="2" t="s">
        <v>2597</v>
      </c>
      <c r="F590" s="2" t="s">
        <v>2597</v>
      </c>
      <c r="G590" s="2" t="s">
        <v>2598</v>
      </c>
      <c r="H590" s="2" t="s">
        <v>2590</v>
      </c>
      <c r="I590" s="2" t="s">
        <v>2599</v>
      </c>
      <c r="J590" s="2" t="s">
        <v>62</v>
      </c>
      <c r="K590" s="2" t="s">
        <v>113</v>
      </c>
      <c r="L590" s="7">
        <v>45505.0</v>
      </c>
      <c r="M590" s="2" t="s">
        <v>25</v>
      </c>
      <c r="N590" s="2" t="s">
        <v>35</v>
      </c>
      <c r="O590" s="2" t="s">
        <v>27</v>
      </c>
      <c r="P590" s="2" t="s">
        <v>36</v>
      </c>
    </row>
    <row r="591" ht="14.25" customHeight="1">
      <c r="A591" s="6">
        <v>7998542.0</v>
      </c>
      <c r="B591" s="2" t="s">
        <v>2600</v>
      </c>
      <c r="C591" s="2" t="s">
        <v>17</v>
      </c>
      <c r="D591" s="2" t="s">
        <v>18</v>
      </c>
      <c r="E591" s="2" t="s">
        <v>2601</v>
      </c>
      <c r="F591" s="2" t="s">
        <v>2602</v>
      </c>
      <c r="G591" s="2" t="s">
        <v>2603</v>
      </c>
      <c r="H591" s="2" t="s">
        <v>2590</v>
      </c>
      <c r="I591" s="2" t="s">
        <v>2572</v>
      </c>
      <c r="J591" s="2" t="s">
        <v>62</v>
      </c>
      <c r="K591" s="2" t="s">
        <v>113</v>
      </c>
      <c r="L591" s="7">
        <v>43800.0</v>
      </c>
      <c r="M591" s="2" t="s">
        <v>25</v>
      </c>
      <c r="N591" s="2" t="s">
        <v>35</v>
      </c>
      <c r="O591" s="2" t="s">
        <v>27</v>
      </c>
      <c r="P591" s="2" t="s">
        <v>36</v>
      </c>
    </row>
    <row r="592" ht="14.25" customHeight="1">
      <c r="A592" s="6">
        <v>1.9577869E7</v>
      </c>
      <c r="B592" s="2" t="s">
        <v>2604</v>
      </c>
      <c r="C592" s="2" t="s">
        <v>17</v>
      </c>
      <c r="D592" s="2" t="s">
        <v>18</v>
      </c>
      <c r="E592" s="2" t="s">
        <v>2605</v>
      </c>
      <c r="F592" s="2" t="s">
        <v>2606</v>
      </c>
      <c r="G592" s="2" t="s">
        <v>2607</v>
      </c>
      <c r="H592" s="2" t="s">
        <v>2590</v>
      </c>
      <c r="I592" s="2" t="s">
        <v>2608</v>
      </c>
      <c r="J592" s="2" t="s">
        <v>62</v>
      </c>
      <c r="K592" s="2" t="s">
        <v>113</v>
      </c>
      <c r="L592" s="7">
        <v>45281.0</v>
      </c>
      <c r="M592" s="2" t="s">
        <v>25</v>
      </c>
      <c r="N592" s="2" t="s">
        <v>35</v>
      </c>
      <c r="O592" s="2" t="s">
        <v>27</v>
      </c>
      <c r="P592" s="2" t="s">
        <v>36</v>
      </c>
    </row>
    <row r="593" ht="14.25" customHeight="1">
      <c r="A593" s="6">
        <v>2.8010839E7</v>
      </c>
      <c r="B593" s="2" t="s">
        <v>2609</v>
      </c>
      <c r="C593" s="2" t="s">
        <v>17</v>
      </c>
      <c r="D593" s="2" t="s">
        <v>18</v>
      </c>
      <c r="E593" s="2" t="s">
        <v>2610</v>
      </c>
      <c r="F593" s="2" t="s">
        <v>2611</v>
      </c>
      <c r="G593" s="2" t="s">
        <v>2612</v>
      </c>
      <c r="H593" s="2" t="s">
        <v>2590</v>
      </c>
      <c r="I593" s="2" t="s">
        <v>2599</v>
      </c>
      <c r="J593" s="2" t="s">
        <v>62</v>
      </c>
      <c r="K593" s="2" t="s">
        <v>113</v>
      </c>
      <c r="L593" s="7">
        <v>45281.0</v>
      </c>
      <c r="M593" s="2" t="s">
        <v>25</v>
      </c>
      <c r="N593" s="2" t="s">
        <v>35</v>
      </c>
      <c r="O593" s="2" t="s">
        <v>27</v>
      </c>
      <c r="P593" s="2" t="s">
        <v>36</v>
      </c>
    </row>
    <row r="594" ht="14.25" customHeight="1">
      <c r="A594" s="6">
        <v>1.0278729E7</v>
      </c>
      <c r="B594" s="2" t="s">
        <v>2613</v>
      </c>
      <c r="C594" s="2" t="s">
        <v>17</v>
      </c>
      <c r="D594" s="2" t="s">
        <v>18</v>
      </c>
      <c r="E594" s="2" t="s">
        <v>2614</v>
      </c>
      <c r="F594" s="2" t="s">
        <v>2614</v>
      </c>
      <c r="G594" s="2" t="s">
        <v>2615</v>
      </c>
      <c r="H594" s="2" t="s">
        <v>2616</v>
      </c>
      <c r="I594" s="2" t="s">
        <v>61</v>
      </c>
      <c r="J594" s="2" t="s">
        <v>62</v>
      </c>
      <c r="K594" s="2" t="s">
        <v>113</v>
      </c>
      <c r="L594" s="7">
        <v>40513.0</v>
      </c>
      <c r="M594" s="2" t="s">
        <v>25</v>
      </c>
      <c r="N594" s="2" t="s">
        <v>35</v>
      </c>
      <c r="O594" s="2" t="s">
        <v>27</v>
      </c>
      <c r="P594" s="2" t="s">
        <v>36</v>
      </c>
    </row>
    <row r="595" ht="14.25" customHeight="1">
      <c r="A595" s="6">
        <v>8643224.0</v>
      </c>
      <c r="B595" s="2" t="s">
        <v>2617</v>
      </c>
      <c r="C595" s="2" t="s">
        <v>17</v>
      </c>
      <c r="D595" s="2" t="s">
        <v>18</v>
      </c>
      <c r="E595" s="2" t="s">
        <v>2618</v>
      </c>
      <c r="F595" s="2" t="s">
        <v>2618</v>
      </c>
      <c r="G595" s="2" t="s">
        <v>2619</v>
      </c>
      <c r="H595" s="2" t="s">
        <v>2616</v>
      </c>
      <c r="I595" s="2" t="s">
        <v>61</v>
      </c>
      <c r="J595" s="2" t="s">
        <v>62</v>
      </c>
      <c r="K595" s="2" t="s">
        <v>113</v>
      </c>
      <c r="L595" s="7">
        <v>40513.0</v>
      </c>
      <c r="M595" s="2" t="s">
        <v>25</v>
      </c>
      <c r="N595" s="2" t="s">
        <v>35</v>
      </c>
      <c r="O595" s="2" t="s">
        <v>27</v>
      </c>
      <c r="P595" s="2" t="s">
        <v>36</v>
      </c>
    </row>
    <row r="596" ht="14.25" customHeight="1">
      <c r="A596" s="6">
        <v>1.0171392E7</v>
      </c>
      <c r="B596" s="2" t="s">
        <v>2620</v>
      </c>
      <c r="C596" s="2" t="s">
        <v>17</v>
      </c>
      <c r="D596" s="2" t="s">
        <v>18</v>
      </c>
      <c r="E596" s="2" t="s">
        <v>2621</v>
      </c>
      <c r="F596" s="2" t="s">
        <v>2622</v>
      </c>
      <c r="G596" s="2" t="s">
        <v>2623</v>
      </c>
      <c r="H596" s="2" t="s">
        <v>2616</v>
      </c>
      <c r="I596" s="2" t="s">
        <v>61</v>
      </c>
      <c r="J596" s="2" t="s">
        <v>62</v>
      </c>
      <c r="K596" s="2" t="s">
        <v>113</v>
      </c>
      <c r="L596" s="7">
        <v>40513.0</v>
      </c>
      <c r="M596" s="2" t="s">
        <v>25</v>
      </c>
      <c r="N596" s="2" t="s">
        <v>35</v>
      </c>
      <c r="O596" s="2" t="s">
        <v>27</v>
      </c>
      <c r="P596" s="2" t="s">
        <v>36</v>
      </c>
    </row>
    <row r="597" ht="14.25" customHeight="1">
      <c r="A597" s="6">
        <v>9457992.0</v>
      </c>
      <c r="B597" s="2" t="s">
        <v>2624</v>
      </c>
      <c r="C597" s="2" t="s">
        <v>17</v>
      </c>
      <c r="D597" s="2" t="s">
        <v>18</v>
      </c>
      <c r="E597" s="2" t="s">
        <v>2625</v>
      </c>
      <c r="F597" s="2" t="s">
        <v>2625</v>
      </c>
      <c r="G597" s="2" t="s">
        <v>2626</v>
      </c>
      <c r="H597" s="2" t="s">
        <v>2616</v>
      </c>
      <c r="I597" s="2" t="s">
        <v>61</v>
      </c>
      <c r="J597" s="2" t="s">
        <v>62</v>
      </c>
      <c r="K597" s="2" t="s">
        <v>113</v>
      </c>
      <c r="L597" s="7">
        <v>40513.0</v>
      </c>
      <c r="M597" s="2" t="s">
        <v>25</v>
      </c>
      <c r="N597" s="2" t="s">
        <v>35</v>
      </c>
      <c r="O597" s="2" t="s">
        <v>27</v>
      </c>
      <c r="P597" s="2" t="s">
        <v>36</v>
      </c>
    </row>
    <row r="598" ht="14.25" customHeight="1">
      <c r="A598" s="6">
        <v>9425522.0</v>
      </c>
      <c r="B598" s="2" t="s">
        <v>2627</v>
      </c>
      <c r="C598" s="2" t="s">
        <v>17</v>
      </c>
      <c r="D598" s="2" t="s">
        <v>18</v>
      </c>
      <c r="E598" s="2" t="s">
        <v>2628</v>
      </c>
      <c r="F598" s="2" t="s">
        <v>2628</v>
      </c>
      <c r="G598" s="2" t="s">
        <v>2629</v>
      </c>
      <c r="H598" s="2" t="s">
        <v>2616</v>
      </c>
      <c r="I598" s="2" t="s">
        <v>2630</v>
      </c>
      <c r="J598" s="2" t="s">
        <v>62</v>
      </c>
      <c r="K598" s="2" t="s">
        <v>113</v>
      </c>
      <c r="L598" s="7">
        <v>42705.0</v>
      </c>
      <c r="M598" s="2" t="s">
        <v>312</v>
      </c>
      <c r="N598" s="2" t="s">
        <v>35</v>
      </c>
      <c r="O598" s="2" t="s">
        <v>312</v>
      </c>
      <c r="P598" s="2" t="s">
        <v>36</v>
      </c>
    </row>
    <row r="599" ht="14.25" customHeight="1">
      <c r="A599" s="6">
        <v>1.5594931E7</v>
      </c>
      <c r="B599" s="2" t="s">
        <v>2631</v>
      </c>
      <c r="C599" s="2" t="s">
        <v>17</v>
      </c>
      <c r="D599" s="2" t="s">
        <v>18</v>
      </c>
      <c r="E599" s="2" t="s">
        <v>2632</v>
      </c>
      <c r="F599" s="2" t="s">
        <v>2632</v>
      </c>
      <c r="G599" s="2" t="s">
        <v>2633</v>
      </c>
      <c r="H599" s="2" t="s">
        <v>2616</v>
      </c>
      <c r="I599" s="2" t="s">
        <v>2630</v>
      </c>
      <c r="J599" s="2" t="s">
        <v>62</v>
      </c>
      <c r="K599" s="2" t="s">
        <v>113</v>
      </c>
      <c r="L599" s="7">
        <v>44494.0</v>
      </c>
      <c r="M599" s="2" t="s">
        <v>312</v>
      </c>
      <c r="N599" s="2" t="s">
        <v>35</v>
      </c>
      <c r="O599" s="2" t="s">
        <v>312</v>
      </c>
      <c r="P599" s="2" t="s">
        <v>36</v>
      </c>
    </row>
    <row r="600" ht="14.25" customHeight="1">
      <c r="A600" s="6">
        <v>1.2806224E7</v>
      </c>
      <c r="B600" s="2" t="s">
        <v>2634</v>
      </c>
      <c r="C600" s="2" t="s">
        <v>17</v>
      </c>
      <c r="D600" s="2" t="s">
        <v>18</v>
      </c>
      <c r="E600" s="2" t="s">
        <v>2635</v>
      </c>
      <c r="F600" s="2" t="s">
        <v>2635</v>
      </c>
      <c r="G600" s="2" t="s">
        <v>2636</v>
      </c>
      <c r="H600" s="2" t="s">
        <v>2616</v>
      </c>
      <c r="I600" s="2" t="s">
        <v>2637</v>
      </c>
      <c r="J600" s="2" t="s">
        <v>62</v>
      </c>
      <c r="K600" s="2" t="s">
        <v>113</v>
      </c>
      <c r="L600" s="7">
        <v>40513.0</v>
      </c>
      <c r="M600" s="2" t="s">
        <v>312</v>
      </c>
      <c r="N600" s="2" t="s">
        <v>35</v>
      </c>
      <c r="O600" s="2" t="s">
        <v>312</v>
      </c>
      <c r="P600" s="2" t="s">
        <v>36</v>
      </c>
    </row>
    <row r="601" ht="14.25" customHeight="1">
      <c r="A601" s="6">
        <v>1.4495144E7</v>
      </c>
      <c r="B601" s="2" t="s">
        <v>2638</v>
      </c>
      <c r="C601" s="2" t="s">
        <v>17</v>
      </c>
      <c r="D601" s="2" t="s">
        <v>18</v>
      </c>
      <c r="E601" s="2" t="s">
        <v>2639</v>
      </c>
      <c r="F601" s="2" t="s">
        <v>2639</v>
      </c>
      <c r="G601" s="2" t="s">
        <v>2640</v>
      </c>
      <c r="H601" s="2" t="s">
        <v>2616</v>
      </c>
      <c r="I601" s="2" t="s">
        <v>2637</v>
      </c>
      <c r="J601" s="2" t="s">
        <v>62</v>
      </c>
      <c r="K601" s="2" t="s">
        <v>113</v>
      </c>
      <c r="L601" s="7">
        <v>42738.0</v>
      </c>
      <c r="M601" s="2" t="s">
        <v>312</v>
      </c>
      <c r="N601" s="2" t="s">
        <v>35</v>
      </c>
      <c r="O601" s="2" t="s">
        <v>312</v>
      </c>
      <c r="P601" s="2" t="s">
        <v>36</v>
      </c>
    </row>
    <row r="602" ht="14.25" customHeight="1">
      <c r="A602" s="6">
        <v>9027855.0</v>
      </c>
      <c r="B602" s="2" t="s">
        <v>2641</v>
      </c>
      <c r="C602" s="2" t="s">
        <v>17</v>
      </c>
      <c r="D602" s="2" t="s">
        <v>18</v>
      </c>
      <c r="E602" s="2" t="s">
        <v>2642</v>
      </c>
      <c r="F602" s="2" t="s">
        <v>2642</v>
      </c>
      <c r="G602" s="2" t="s">
        <v>2643</v>
      </c>
      <c r="H602" s="2" t="s">
        <v>2616</v>
      </c>
      <c r="I602" s="2" t="s">
        <v>61</v>
      </c>
      <c r="J602" s="2" t="s">
        <v>62</v>
      </c>
      <c r="K602" s="2" t="s">
        <v>113</v>
      </c>
      <c r="L602" s="7">
        <v>40513.0</v>
      </c>
      <c r="M602" s="2" t="s">
        <v>25</v>
      </c>
      <c r="N602" s="2" t="s">
        <v>35</v>
      </c>
      <c r="O602" s="2" t="s">
        <v>27</v>
      </c>
      <c r="P602" s="2" t="s">
        <v>36</v>
      </c>
    </row>
    <row r="603" ht="14.25" customHeight="1">
      <c r="A603" s="6">
        <v>9421497.0</v>
      </c>
      <c r="B603" s="2" t="s">
        <v>2644</v>
      </c>
      <c r="C603" s="2" t="s">
        <v>17</v>
      </c>
      <c r="D603" s="2" t="s">
        <v>18</v>
      </c>
      <c r="E603" s="2" t="s">
        <v>2645</v>
      </c>
      <c r="F603" s="2" t="s">
        <v>2645</v>
      </c>
      <c r="G603" s="2" t="s">
        <v>2646</v>
      </c>
      <c r="H603" s="2" t="s">
        <v>2616</v>
      </c>
      <c r="I603" s="2" t="s">
        <v>61</v>
      </c>
      <c r="J603" s="2" t="s">
        <v>62</v>
      </c>
      <c r="K603" s="2" t="s">
        <v>113</v>
      </c>
      <c r="L603" s="7">
        <v>42370.0</v>
      </c>
      <c r="M603" s="2" t="s">
        <v>25</v>
      </c>
      <c r="N603" s="2" t="s">
        <v>35</v>
      </c>
      <c r="O603" s="2" t="s">
        <v>27</v>
      </c>
      <c r="P603" s="2" t="s">
        <v>36</v>
      </c>
    </row>
    <row r="604" ht="14.25" customHeight="1">
      <c r="A604" s="6">
        <v>9688794.0</v>
      </c>
      <c r="B604" s="2" t="s">
        <v>2647</v>
      </c>
      <c r="C604" s="2" t="s">
        <v>17</v>
      </c>
      <c r="D604" s="2" t="s">
        <v>18</v>
      </c>
      <c r="E604" s="2" t="s">
        <v>2648</v>
      </c>
      <c r="F604" s="2" t="s">
        <v>2649</v>
      </c>
      <c r="G604" s="2" t="s">
        <v>2650</v>
      </c>
      <c r="H604" s="2" t="s">
        <v>2616</v>
      </c>
      <c r="I604" s="2" t="s">
        <v>61</v>
      </c>
      <c r="J604" s="2" t="s">
        <v>62</v>
      </c>
      <c r="K604" s="2" t="s">
        <v>113</v>
      </c>
      <c r="L604" s="7">
        <v>40513.0</v>
      </c>
      <c r="M604" s="2" t="s">
        <v>25</v>
      </c>
      <c r="N604" s="2" t="s">
        <v>35</v>
      </c>
      <c r="O604" s="2" t="s">
        <v>27</v>
      </c>
      <c r="P604" s="2" t="s">
        <v>36</v>
      </c>
    </row>
    <row r="605" ht="14.25" customHeight="1">
      <c r="A605" s="6">
        <v>1.5954566E7</v>
      </c>
      <c r="B605" s="2" t="s">
        <v>2651</v>
      </c>
      <c r="C605" s="2" t="s">
        <v>17</v>
      </c>
      <c r="D605" s="2" t="s">
        <v>88</v>
      </c>
      <c r="E605" s="2" t="s">
        <v>2652</v>
      </c>
      <c r="F605" s="2" t="s">
        <v>2652</v>
      </c>
      <c r="G605" s="2" t="s">
        <v>2653</v>
      </c>
      <c r="H605" s="2" t="s">
        <v>2616</v>
      </c>
      <c r="I605" s="2" t="s">
        <v>105</v>
      </c>
      <c r="J605" s="2" t="s">
        <v>62</v>
      </c>
      <c r="K605" s="2" t="s">
        <v>24</v>
      </c>
      <c r="L605" s="7">
        <v>45938.0</v>
      </c>
      <c r="M605" s="2" t="s">
        <v>25</v>
      </c>
      <c r="N605" s="2" t="s">
        <v>35</v>
      </c>
      <c r="O605" s="2" t="s">
        <v>27</v>
      </c>
      <c r="P605" s="2" t="s">
        <v>28</v>
      </c>
    </row>
    <row r="606" ht="14.25" customHeight="1">
      <c r="A606" s="6">
        <v>1.0620517E7</v>
      </c>
      <c r="B606" s="2" t="s">
        <v>2654</v>
      </c>
      <c r="C606" s="2" t="s">
        <v>17</v>
      </c>
      <c r="D606" s="2" t="s">
        <v>18</v>
      </c>
      <c r="E606" s="2" t="s">
        <v>2655</v>
      </c>
      <c r="F606" s="2" t="s">
        <v>2655</v>
      </c>
      <c r="G606" s="2" t="s">
        <v>2656</v>
      </c>
      <c r="H606" s="2" t="s">
        <v>2657</v>
      </c>
      <c r="I606" s="2" t="s">
        <v>2572</v>
      </c>
      <c r="J606" s="2" t="s">
        <v>62</v>
      </c>
      <c r="K606" s="2" t="s">
        <v>113</v>
      </c>
      <c r="L606" s="7">
        <v>44515.0</v>
      </c>
      <c r="M606" s="2" t="s">
        <v>25</v>
      </c>
      <c r="N606" s="2" t="s">
        <v>35</v>
      </c>
      <c r="O606" s="2" t="s">
        <v>27</v>
      </c>
      <c r="P606" s="2" t="s">
        <v>36</v>
      </c>
    </row>
    <row r="607" ht="14.25" customHeight="1">
      <c r="A607" s="6">
        <v>9045471.0</v>
      </c>
      <c r="B607" s="2" t="s">
        <v>2658</v>
      </c>
      <c r="C607" s="2" t="s">
        <v>17</v>
      </c>
      <c r="D607" s="2" t="s">
        <v>18</v>
      </c>
      <c r="E607" s="2" t="s">
        <v>2659</v>
      </c>
      <c r="F607" s="2" t="s">
        <v>2659</v>
      </c>
      <c r="G607" s="2" t="s">
        <v>2660</v>
      </c>
      <c r="H607" s="2" t="s">
        <v>2657</v>
      </c>
      <c r="I607" s="2" t="s">
        <v>2565</v>
      </c>
      <c r="J607" s="2" t="s">
        <v>62</v>
      </c>
      <c r="K607" s="2" t="s">
        <v>113</v>
      </c>
      <c r="L607" s="7">
        <v>40513.0</v>
      </c>
      <c r="M607" s="2" t="s">
        <v>25</v>
      </c>
      <c r="N607" s="2" t="s">
        <v>35</v>
      </c>
      <c r="O607" s="2" t="s">
        <v>27</v>
      </c>
      <c r="P607" s="2" t="s">
        <v>36</v>
      </c>
    </row>
    <row r="608" ht="14.25" customHeight="1">
      <c r="A608" s="6">
        <v>1.8389492E7</v>
      </c>
      <c r="B608" s="2" t="s">
        <v>2661</v>
      </c>
      <c r="C608" s="2" t="s">
        <v>17</v>
      </c>
      <c r="D608" s="2" t="s">
        <v>167</v>
      </c>
      <c r="E608" s="2" t="s">
        <v>2662</v>
      </c>
      <c r="F608" s="2" t="s">
        <v>2662</v>
      </c>
      <c r="G608" s="2" t="s">
        <v>2663</v>
      </c>
      <c r="H608" s="2" t="s">
        <v>2657</v>
      </c>
      <c r="I608" s="2" t="s">
        <v>2608</v>
      </c>
      <c r="J608" s="2" t="s">
        <v>62</v>
      </c>
      <c r="K608" s="2" t="s">
        <v>113</v>
      </c>
      <c r="L608" s="7">
        <v>45600.0</v>
      </c>
      <c r="M608" s="2" t="s">
        <v>25</v>
      </c>
      <c r="N608" s="2" t="s">
        <v>35</v>
      </c>
      <c r="O608" s="2" t="s">
        <v>27</v>
      </c>
      <c r="P608" s="2" t="s">
        <v>36</v>
      </c>
    </row>
    <row r="609" ht="14.25" customHeight="1">
      <c r="A609" s="6">
        <v>1.0132183E7</v>
      </c>
      <c r="B609" s="2" t="s">
        <v>2664</v>
      </c>
      <c r="C609" s="2" t="s">
        <v>17</v>
      </c>
      <c r="D609" s="2" t="s">
        <v>18</v>
      </c>
      <c r="E609" s="2" t="s">
        <v>2665</v>
      </c>
      <c r="F609" s="2" t="s">
        <v>2665</v>
      </c>
      <c r="G609" s="2" t="s">
        <v>2666</v>
      </c>
      <c r="H609" s="2" t="s">
        <v>2657</v>
      </c>
      <c r="I609" s="2" t="s">
        <v>2572</v>
      </c>
      <c r="J609" s="2" t="s">
        <v>62</v>
      </c>
      <c r="K609" s="2" t="s">
        <v>113</v>
      </c>
      <c r="L609" s="7">
        <v>40513.0</v>
      </c>
      <c r="M609" s="2" t="s">
        <v>25</v>
      </c>
      <c r="N609" s="2" t="s">
        <v>35</v>
      </c>
      <c r="O609" s="2" t="s">
        <v>27</v>
      </c>
      <c r="P609" s="2" t="s">
        <v>36</v>
      </c>
    </row>
    <row r="610" ht="14.25" customHeight="1">
      <c r="A610" s="6">
        <v>1.9595523E7</v>
      </c>
      <c r="B610" s="2" t="s">
        <v>2667</v>
      </c>
      <c r="C610" s="2" t="s">
        <v>17</v>
      </c>
      <c r="D610" s="2" t="s">
        <v>18</v>
      </c>
      <c r="E610" s="2" t="s">
        <v>2668</v>
      </c>
      <c r="F610" s="2" t="s">
        <v>2668</v>
      </c>
      <c r="G610" s="2" t="s">
        <v>2669</v>
      </c>
      <c r="H610" s="2" t="s">
        <v>2657</v>
      </c>
      <c r="I610" s="2" t="s">
        <v>2591</v>
      </c>
      <c r="J610" s="2" t="s">
        <v>62</v>
      </c>
      <c r="K610" s="2" t="s">
        <v>113</v>
      </c>
      <c r="L610" s="7">
        <v>43789.0</v>
      </c>
      <c r="M610" s="2" t="s">
        <v>25</v>
      </c>
      <c r="N610" s="2" t="s">
        <v>35</v>
      </c>
      <c r="O610" s="2" t="s">
        <v>27</v>
      </c>
      <c r="P610" s="2" t="s">
        <v>36</v>
      </c>
    </row>
    <row r="611" ht="14.25" customHeight="1">
      <c r="A611" s="6">
        <v>1.6769333E7</v>
      </c>
      <c r="B611" s="2" t="s">
        <v>2670</v>
      </c>
      <c r="C611" s="2" t="s">
        <v>17</v>
      </c>
      <c r="D611" s="2" t="s">
        <v>18</v>
      </c>
      <c r="E611" s="2" t="s">
        <v>2671</v>
      </c>
      <c r="F611" s="2" t="s">
        <v>2671</v>
      </c>
      <c r="G611" s="2" t="s">
        <v>2672</v>
      </c>
      <c r="H611" s="2" t="s">
        <v>2657</v>
      </c>
      <c r="I611" s="2" t="s">
        <v>2565</v>
      </c>
      <c r="J611" s="2" t="s">
        <v>62</v>
      </c>
      <c r="K611" s="2" t="s">
        <v>113</v>
      </c>
      <c r="L611" s="7">
        <v>43800.0</v>
      </c>
      <c r="M611" s="2" t="s">
        <v>25</v>
      </c>
      <c r="N611" s="2" t="s">
        <v>35</v>
      </c>
      <c r="O611" s="2" t="s">
        <v>27</v>
      </c>
      <c r="P611" s="2" t="s">
        <v>36</v>
      </c>
    </row>
    <row r="612" ht="14.25" customHeight="1">
      <c r="A612" s="6">
        <v>8020599.0</v>
      </c>
      <c r="B612" s="2" t="s">
        <v>2673</v>
      </c>
      <c r="C612" s="2" t="s">
        <v>17</v>
      </c>
      <c r="D612" s="2" t="s">
        <v>18</v>
      </c>
      <c r="E612" s="2" t="s">
        <v>2674</v>
      </c>
      <c r="F612" s="2" t="s">
        <v>2674</v>
      </c>
      <c r="G612" s="2" t="s">
        <v>2675</v>
      </c>
      <c r="H612" s="2" t="s">
        <v>2657</v>
      </c>
      <c r="I612" s="2" t="s">
        <v>2572</v>
      </c>
      <c r="J612" s="2" t="s">
        <v>62</v>
      </c>
      <c r="K612" s="2" t="s">
        <v>113</v>
      </c>
      <c r="L612" s="7">
        <v>40513.0</v>
      </c>
      <c r="M612" s="2" t="s">
        <v>25</v>
      </c>
      <c r="N612" s="2" t="s">
        <v>35</v>
      </c>
      <c r="O612" s="2" t="s">
        <v>27</v>
      </c>
      <c r="P612" s="2" t="s">
        <v>36</v>
      </c>
    </row>
    <row r="613" ht="14.25" customHeight="1">
      <c r="A613" s="6">
        <v>1.1153045E7</v>
      </c>
      <c r="B613" s="2" t="s">
        <v>2676</v>
      </c>
      <c r="C613" s="2" t="s">
        <v>17</v>
      </c>
      <c r="D613" s="2" t="s">
        <v>18</v>
      </c>
      <c r="E613" s="2" t="s">
        <v>2677</v>
      </c>
      <c r="F613" s="2" t="s">
        <v>2677</v>
      </c>
      <c r="G613" s="2" t="s">
        <v>2678</v>
      </c>
      <c r="H613" s="2" t="s">
        <v>2657</v>
      </c>
      <c r="I613" s="2" t="s">
        <v>2572</v>
      </c>
      <c r="J613" s="2" t="s">
        <v>62</v>
      </c>
      <c r="K613" s="2" t="s">
        <v>113</v>
      </c>
      <c r="L613" s="7">
        <v>42676.0</v>
      </c>
      <c r="M613" s="2" t="s">
        <v>25</v>
      </c>
      <c r="N613" s="2" t="s">
        <v>35</v>
      </c>
      <c r="O613" s="2" t="s">
        <v>27</v>
      </c>
      <c r="P613" s="2" t="s">
        <v>36</v>
      </c>
    </row>
    <row r="614" ht="14.25" customHeight="1">
      <c r="A614" s="6">
        <v>1.2687684E7</v>
      </c>
      <c r="B614" s="2" t="s">
        <v>2679</v>
      </c>
      <c r="C614" s="2" t="s">
        <v>17</v>
      </c>
      <c r="D614" s="2" t="s">
        <v>18</v>
      </c>
      <c r="E614" s="2" t="s">
        <v>2680</v>
      </c>
      <c r="F614" s="2" t="s">
        <v>2680</v>
      </c>
      <c r="G614" s="2" t="s">
        <v>2681</v>
      </c>
      <c r="H614" s="2" t="s">
        <v>2657</v>
      </c>
      <c r="I614" s="2" t="s">
        <v>2565</v>
      </c>
      <c r="J614" s="2" t="s">
        <v>62</v>
      </c>
      <c r="K614" s="2" t="s">
        <v>113</v>
      </c>
      <c r="L614" s="7">
        <v>43800.0</v>
      </c>
      <c r="M614" s="2" t="s">
        <v>25</v>
      </c>
      <c r="N614" s="2" t="s">
        <v>35</v>
      </c>
      <c r="O614" s="2" t="s">
        <v>27</v>
      </c>
      <c r="P614" s="2" t="s">
        <v>36</v>
      </c>
    </row>
    <row r="615" ht="14.25" customHeight="1">
      <c r="A615" s="6">
        <v>1.2529523E7</v>
      </c>
      <c r="B615" s="2" t="s">
        <v>2682</v>
      </c>
      <c r="C615" s="2" t="s">
        <v>17</v>
      </c>
      <c r="D615" s="2" t="s">
        <v>18</v>
      </c>
      <c r="E615" s="2" t="s">
        <v>2683</v>
      </c>
      <c r="F615" s="2" t="s">
        <v>2683</v>
      </c>
      <c r="G615" s="2" t="s">
        <v>2684</v>
      </c>
      <c r="H615" s="2" t="s">
        <v>2657</v>
      </c>
      <c r="I615" s="2" t="s">
        <v>2572</v>
      </c>
      <c r="J615" s="2" t="s">
        <v>62</v>
      </c>
      <c r="K615" s="2" t="s">
        <v>113</v>
      </c>
      <c r="L615" s="7">
        <v>42370.0</v>
      </c>
      <c r="M615" s="2" t="s">
        <v>25</v>
      </c>
      <c r="N615" s="2" t="s">
        <v>35</v>
      </c>
      <c r="O615" s="2" t="s">
        <v>27</v>
      </c>
      <c r="P615" s="2" t="s">
        <v>36</v>
      </c>
    </row>
    <row r="616" ht="14.25" customHeight="1">
      <c r="A616" s="6">
        <v>1.3110032E7</v>
      </c>
      <c r="B616" s="2" t="s">
        <v>2685</v>
      </c>
      <c r="C616" s="2" t="s">
        <v>17</v>
      </c>
      <c r="D616" s="2" t="s">
        <v>18</v>
      </c>
      <c r="E616" s="2" t="s">
        <v>2686</v>
      </c>
      <c r="F616" s="2" t="s">
        <v>2686</v>
      </c>
      <c r="G616" s="2" t="s">
        <v>2687</v>
      </c>
      <c r="H616" s="2" t="s">
        <v>2657</v>
      </c>
      <c r="I616" s="2" t="s">
        <v>2572</v>
      </c>
      <c r="J616" s="2" t="s">
        <v>62</v>
      </c>
      <c r="K616" s="2" t="s">
        <v>113</v>
      </c>
      <c r="L616" s="7">
        <v>42370.0</v>
      </c>
      <c r="M616" s="2" t="s">
        <v>25</v>
      </c>
      <c r="N616" s="2" t="s">
        <v>35</v>
      </c>
      <c r="O616" s="2" t="s">
        <v>27</v>
      </c>
      <c r="P616" s="2" t="s">
        <v>36</v>
      </c>
    </row>
    <row r="617" ht="14.25" customHeight="1">
      <c r="A617" s="6">
        <v>1.1682551E7</v>
      </c>
      <c r="B617" s="2" t="s">
        <v>2688</v>
      </c>
      <c r="C617" s="2" t="s">
        <v>17</v>
      </c>
      <c r="D617" s="2" t="s">
        <v>18</v>
      </c>
      <c r="E617" s="2" t="s">
        <v>2689</v>
      </c>
      <c r="F617" s="2" t="s">
        <v>2689</v>
      </c>
      <c r="G617" s="2" t="s">
        <v>2690</v>
      </c>
      <c r="H617" s="2" t="s">
        <v>2657</v>
      </c>
      <c r="I617" s="2" t="s">
        <v>2591</v>
      </c>
      <c r="J617" s="2" t="s">
        <v>62</v>
      </c>
      <c r="K617" s="2" t="s">
        <v>113</v>
      </c>
      <c r="L617" s="7">
        <v>42370.0</v>
      </c>
      <c r="M617" s="2" t="s">
        <v>25</v>
      </c>
      <c r="N617" s="2" t="s">
        <v>35</v>
      </c>
      <c r="O617" s="2" t="s">
        <v>27</v>
      </c>
      <c r="P617" s="2" t="s">
        <v>36</v>
      </c>
    </row>
    <row r="618" ht="14.25" customHeight="1">
      <c r="A618" s="6">
        <v>1.2038325E7</v>
      </c>
      <c r="B618" s="2" t="s">
        <v>2691</v>
      </c>
      <c r="C618" s="2" t="s">
        <v>17</v>
      </c>
      <c r="D618" s="2" t="s">
        <v>18</v>
      </c>
      <c r="E618" s="2" t="s">
        <v>2692</v>
      </c>
      <c r="F618" s="2" t="s">
        <v>2693</v>
      </c>
      <c r="G618" s="2" t="s">
        <v>2694</v>
      </c>
      <c r="H618" s="2" t="s">
        <v>2657</v>
      </c>
      <c r="I618" s="2" t="s">
        <v>2565</v>
      </c>
      <c r="J618" s="2" t="s">
        <v>62</v>
      </c>
      <c r="K618" s="2" t="s">
        <v>113</v>
      </c>
      <c r="L618" s="7">
        <v>44531.0</v>
      </c>
      <c r="M618" s="2" t="s">
        <v>25</v>
      </c>
      <c r="N618" s="2" t="s">
        <v>35</v>
      </c>
      <c r="O618" s="2" t="s">
        <v>27</v>
      </c>
      <c r="P618" s="2" t="s">
        <v>36</v>
      </c>
    </row>
    <row r="619" ht="14.25" customHeight="1">
      <c r="A619" s="6">
        <v>1.5955018E7</v>
      </c>
      <c r="B619" s="2" t="s">
        <v>2695</v>
      </c>
      <c r="C619" s="2" t="s">
        <v>17</v>
      </c>
      <c r="D619" s="2" t="s">
        <v>18</v>
      </c>
      <c r="E619" s="2" t="s">
        <v>2696</v>
      </c>
      <c r="F619" s="2" t="s">
        <v>2696</v>
      </c>
      <c r="G619" s="2" t="s">
        <v>2697</v>
      </c>
      <c r="H619" s="2" t="s">
        <v>2657</v>
      </c>
      <c r="I619" s="2" t="s">
        <v>2698</v>
      </c>
      <c r="J619" s="2" t="s">
        <v>62</v>
      </c>
      <c r="K619" s="2" t="s">
        <v>113</v>
      </c>
      <c r="L619" s="7">
        <v>41609.0</v>
      </c>
      <c r="M619" s="2" t="s">
        <v>25</v>
      </c>
      <c r="N619" s="2" t="s">
        <v>35</v>
      </c>
      <c r="O619" s="2" t="s">
        <v>27</v>
      </c>
      <c r="P619" s="2" t="s">
        <v>36</v>
      </c>
    </row>
    <row r="620" ht="14.25" customHeight="1">
      <c r="A620" s="6">
        <v>1.8383806E7</v>
      </c>
      <c r="B620" s="2" t="s">
        <v>2699</v>
      </c>
      <c r="C620" s="2" t="s">
        <v>17</v>
      </c>
      <c r="D620" s="2" t="s">
        <v>18</v>
      </c>
      <c r="E620" s="2" t="s">
        <v>2700</v>
      </c>
      <c r="F620" s="2" t="s">
        <v>2700</v>
      </c>
      <c r="G620" s="2" t="s">
        <v>2701</v>
      </c>
      <c r="H620" s="2" t="s">
        <v>2657</v>
      </c>
      <c r="I620" s="2" t="s">
        <v>2608</v>
      </c>
      <c r="J620" s="2" t="s">
        <v>62</v>
      </c>
      <c r="K620" s="2" t="s">
        <v>113</v>
      </c>
      <c r="L620" s="7">
        <v>44781.0</v>
      </c>
      <c r="M620" s="2" t="s">
        <v>25</v>
      </c>
      <c r="N620" s="2" t="s">
        <v>35</v>
      </c>
      <c r="O620" s="2" t="s">
        <v>27</v>
      </c>
      <c r="P620" s="2" t="s">
        <v>36</v>
      </c>
    </row>
    <row r="621" ht="14.25" customHeight="1">
      <c r="A621" s="6">
        <v>1.3108991E7</v>
      </c>
      <c r="B621" s="2" t="s">
        <v>2702</v>
      </c>
      <c r="C621" s="2" t="s">
        <v>17</v>
      </c>
      <c r="D621" s="2" t="s">
        <v>18</v>
      </c>
      <c r="E621" s="2" t="s">
        <v>2703</v>
      </c>
      <c r="F621" s="2" t="s">
        <v>2703</v>
      </c>
      <c r="G621" s="2" t="s">
        <v>2704</v>
      </c>
      <c r="H621" s="2" t="s">
        <v>2657</v>
      </c>
      <c r="I621" s="2" t="s">
        <v>2572</v>
      </c>
      <c r="J621" s="2" t="s">
        <v>62</v>
      </c>
      <c r="K621" s="2" t="s">
        <v>113</v>
      </c>
      <c r="L621" s="7">
        <v>42370.0</v>
      </c>
      <c r="M621" s="2" t="s">
        <v>25</v>
      </c>
      <c r="N621" s="2" t="s">
        <v>35</v>
      </c>
      <c r="O621" s="2" t="s">
        <v>27</v>
      </c>
      <c r="P621" s="2" t="s">
        <v>36</v>
      </c>
    </row>
    <row r="622" ht="14.25" customHeight="1">
      <c r="A622" s="6">
        <v>1.3513485E7</v>
      </c>
      <c r="B622" s="2" t="s">
        <v>2705</v>
      </c>
      <c r="C622" s="2" t="s">
        <v>17</v>
      </c>
      <c r="D622" s="2" t="s">
        <v>18</v>
      </c>
      <c r="E622" s="2" t="s">
        <v>2706</v>
      </c>
      <c r="F622" s="2" t="s">
        <v>2706</v>
      </c>
      <c r="G622" s="2" t="s">
        <v>2707</v>
      </c>
      <c r="H622" s="2" t="s">
        <v>2657</v>
      </c>
      <c r="I622" s="2" t="s">
        <v>2565</v>
      </c>
      <c r="J622" s="2" t="s">
        <v>62</v>
      </c>
      <c r="K622" s="2" t="s">
        <v>113</v>
      </c>
      <c r="L622" s="7">
        <v>43800.0</v>
      </c>
      <c r="M622" s="2" t="s">
        <v>25</v>
      </c>
      <c r="N622" s="2" t="s">
        <v>35</v>
      </c>
      <c r="O622" s="2" t="s">
        <v>27</v>
      </c>
      <c r="P622" s="2" t="s">
        <v>36</v>
      </c>
    </row>
    <row r="623" ht="14.25" customHeight="1">
      <c r="A623" s="6">
        <v>1.0419973E7</v>
      </c>
      <c r="B623" s="2" t="s">
        <v>2708</v>
      </c>
      <c r="C623" s="2" t="s">
        <v>17</v>
      </c>
      <c r="D623" s="2" t="s">
        <v>18</v>
      </c>
      <c r="E623" s="2" t="s">
        <v>2709</v>
      </c>
      <c r="F623" s="2" t="s">
        <v>2709</v>
      </c>
      <c r="G623" s="2" t="s">
        <v>2710</v>
      </c>
      <c r="H623" s="2" t="s">
        <v>2657</v>
      </c>
      <c r="I623" s="2" t="s">
        <v>2565</v>
      </c>
      <c r="J623" s="2" t="s">
        <v>62</v>
      </c>
      <c r="K623" s="2" t="s">
        <v>113</v>
      </c>
      <c r="L623" s="7">
        <v>40513.0</v>
      </c>
      <c r="M623" s="2" t="s">
        <v>25</v>
      </c>
      <c r="N623" s="2" t="s">
        <v>35</v>
      </c>
      <c r="O623" s="2" t="s">
        <v>27</v>
      </c>
      <c r="P623" s="2" t="s">
        <v>36</v>
      </c>
    </row>
    <row r="624" ht="14.25" customHeight="1">
      <c r="A624" s="6">
        <v>1.1683518E7</v>
      </c>
      <c r="B624" s="2" t="s">
        <v>2711</v>
      </c>
      <c r="C624" s="2" t="s">
        <v>17</v>
      </c>
      <c r="D624" s="2" t="s">
        <v>18</v>
      </c>
      <c r="E624" s="2" t="s">
        <v>2712</v>
      </c>
      <c r="F624" s="2" t="s">
        <v>2712</v>
      </c>
      <c r="G624" s="2" t="s">
        <v>2713</v>
      </c>
      <c r="H624" s="2" t="s">
        <v>2657</v>
      </c>
      <c r="I624" s="2" t="s">
        <v>2565</v>
      </c>
      <c r="J624" s="2" t="s">
        <v>62</v>
      </c>
      <c r="K624" s="2" t="s">
        <v>113</v>
      </c>
      <c r="L624" s="7">
        <v>40513.0</v>
      </c>
      <c r="M624" s="2" t="s">
        <v>25</v>
      </c>
      <c r="N624" s="2" t="s">
        <v>35</v>
      </c>
      <c r="O624" s="2" t="s">
        <v>27</v>
      </c>
      <c r="P624" s="2" t="s">
        <v>36</v>
      </c>
    </row>
    <row r="625" ht="14.25" customHeight="1">
      <c r="A625" s="6">
        <v>1.2925255E7</v>
      </c>
      <c r="B625" s="2" t="s">
        <v>2714</v>
      </c>
      <c r="C625" s="2" t="s">
        <v>17</v>
      </c>
      <c r="D625" s="2" t="s">
        <v>18</v>
      </c>
      <c r="E625" s="2" t="s">
        <v>2715</v>
      </c>
      <c r="F625" s="2" t="s">
        <v>2716</v>
      </c>
      <c r="G625" s="2" t="s">
        <v>2717</v>
      </c>
      <c r="H625" s="2" t="s">
        <v>2657</v>
      </c>
      <c r="I625" s="2" t="s">
        <v>2718</v>
      </c>
      <c r="J625" s="2" t="s">
        <v>62</v>
      </c>
      <c r="K625" s="2" t="s">
        <v>113</v>
      </c>
      <c r="L625" s="7">
        <v>44896.0</v>
      </c>
      <c r="M625" s="2" t="s">
        <v>25</v>
      </c>
      <c r="N625" s="2" t="s">
        <v>35</v>
      </c>
      <c r="O625" s="2" t="s">
        <v>27</v>
      </c>
      <c r="P625" s="2" t="s">
        <v>36</v>
      </c>
    </row>
    <row r="626" ht="14.25" customHeight="1">
      <c r="A626" s="6">
        <v>1.2072478E7</v>
      </c>
      <c r="B626" s="2" t="s">
        <v>2719</v>
      </c>
      <c r="C626" s="2" t="s">
        <v>17</v>
      </c>
      <c r="D626" s="2" t="s">
        <v>18</v>
      </c>
      <c r="E626" s="2" t="s">
        <v>2720</v>
      </c>
      <c r="F626" s="2" t="s">
        <v>2720</v>
      </c>
      <c r="G626" s="2" t="s">
        <v>2721</v>
      </c>
      <c r="H626" s="2" t="s">
        <v>2657</v>
      </c>
      <c r="I626" s="2" t="s">
        <v>2599</v>
      </c>
      <c r="J626" s="2" t="s">
        <v>62</v>
      </c>
      <c r="K626" s="2" t="s">
        <v>113</v>
      </c>
      <c r="L626" s="7">
        <v>44896.0</v>
      </c>
      <c r="M626" s="2" t="s">
        <v>25</v>
      </c>
      <c r="N626" s="2" t="s">
        <v>35</v>
      </c>
      <c r="O626" s="2" t="s">
        <v>27</v>
      </c>
      <c r="P626" s="2" t="s">
        <v>36</v>
      </c>
    </row>
    <row r="627" ht="14.25" customHeight="1">
      <c r="A627" s="6">
        <v>1.1037611E7</v>
      </c>
      <c r="B627" s="2" t="s">
        <v>2722</v>
      </c>
      <c r="C627" s="2" t="s">
        <v>17</v>
      </c>
      <c r="D627" s="2" t="s">
        <v>18</v>
      </c>
      <c r="E627" s="2" t="s">
        <v>2723</v>
      </c>
      <c r="F627" s="2" t="s">
        <v>2723</v>
      </c>
      <c r="G627" s="2" t="s">
        <v>2724</v>
      </c>
      <c r="H627" s="2" t="s">
        <v>2657</v>
      </c>
      <c r="I627" s="2" t="s">
        <v>2572</v>
      </c>
      <c r="J627" s="2" t="s">
        <v>62</v>
      </c>
      <c r="K627" s="2" t="s">
        <v>113</v>
      </c>
      <c r="L627" s="7">
        <v>42676.0</v>
      </c>
      <c r="M627" s="2" t="s">
        <v>25</v>
      </c>
      <c r="N627" s="2" t="s">
        <v>35</v>
      </c>
      <c r="O627" s="2" t="s">
        <v>27</v>
      </c>
      <c r="P627" s="2" t="s">
        <v>36</v>
      </c>
    </row>
    <row r="628" ht="14.25" customHeight="1">
      <c r="A628" s="6">
        <v>1.3960006E7</v>
      </c>
      <c r="B628" s="2" t="s">
        <v>2725</v>
      </c>
      <c r="C628" s="2" t="s">
        <v>17</v>
      </c>
      <c r="D628" s="2" t="s">
        <v>18</v>
      </c>
      <c r="E628" s="2" t="s">
        <v>2726</v>
      </c>
      <c r="F628" s="2" t="s">
        <v>2726</v>
      </c>
      <c r="G628" s="2" t="s">
        <v>2727</v>
      </c>
      <c r="H628" s="2" t="s">
        <v>2657</v>
      </c>
      <c r="I628" s="2" t="s">
        <v>2565</v>
      </c>
      <c r="J628" s="2" t="s">
        <v>62</v>
      </c>
      <c r="K628" s="2" t="s">
        <v>113</v>
      </c>
      <c r="L628" s="7">
        <v>44140.0</v>
      </c>
      <c r="M628" s="2" t="s">
        <v>25</v>
      </c>
      <c r="N628" s="2" t="s">
        <v>35</v>
      </c>
      <c r="O628" s="2" t="s">
        <v>27</v>
      </c>
      <c r="P628" s="2" t="s">
        <v>36</v>
      </c>
    </row>
    <row r="629" ht="14.25" customHeight="1">
      <c r="A629" s="6">
        <v>1.8813051E7</v>
      </c>
      <c r="B629" s="2" t="s">
        <v>2728</v>
      </c>
      <c r="C629" s="2" t="s">
        <v>17</v>
      </c>
      <c r="D629" s="2" t="s">
        <v>18</v>
      </c>
      <c r="E629" s="2" t="s">
        <v>2729</v>
      </c>
      <c r="F629" s="2" t="s">
        <v>2729</v>
      </c>
      <c r="G629" s="2" t="s">
        <v>2730</v>
      </c>
      <c r="H629" s="2" t="s">
        <v>2657</v>
      </c>
      <c r="I629" s="2" t="s">
        <v>2599</v>
      </c>
      <c r="J629" s="2" t="s">
        <v>62</v>
      </c>
      <c r="K629" s="2" t="s">
        <v>113</v>
      </c>
      <c r="L629" s="7">
        <v>44867.0</v>
      </c>
      <c r="M629" s="2" t="s">
        <v>25</v>
      </c>
      <c r="N629" s="2" t="s">
        <v>35</v>
      </c>
      <c r="O629" s="2" t="s">
        <v>27</v>
      </c>
      <c r="P629" s="2" t="s">
        <v>36</v>
      </c>
    </row>
    <row r="630" ht="14.25" customHeight="1">
      <c r="A630" s="6">
        <v>1.0820685E7</v>
      </c>
      <c r="B630" s="2" t="s">
        <v>2731</v>
      </c>
      <c r="C630" s="2" t="s">
        <v>17</v>
      </c>
      <c r="D630" s="2" t="s">
        <v>18</v>
      </c>
      <c r="E630" s="2" t="s">
        <v>2732</v>
      </c>
      <c r="F630" s="2" t="s">
        <v>2732</v>
      </c>
      <c r="G630" s="2" t="s">
        <v>2733</v>
      </c>
      <c r="H630" s="2" t="s">
        <v>2657</v>
      </c>
      <c r="I630" s="2" t="s">
        <v>2565</v>
      </c>
      <c r="J630" s="2" t="s">
        <v>62</v>
      </c>
      <c r="K630" s="2" t="s">
        <v>113</v>
      </c>
      <c r="L630" s="7">
        <v>42370.0</v>
      </c>
      <c r="M630" s="2" t="s">
        <v>25</v>
      </c>
      <c r="N630" s="2" t="s">
        <v>35</v>
      </c>
      <c r="O630" s="2" t="s">
        <v>27</v>
      </c>
      <c r="P630" s="2" t="s">
        <v>36</v>
      </c>
    </row>
    <row r="631" ht="14.25" customHeight="1">
      <c r="A631" s="6">
        <v>1.2530616E7</v>
      </c>
      <c r="B631" s="2" t="s">
        <v>2734</v>
      </c>
      <c r="C631" s="2" t="s">
        <v>17</v>
      </c>
      <c r="D631" s="2" t="s">
        <v>18</v>
      </c>
      <c r="E631" s="2" t="s">
        <v>2735</v>
      </c>
      <c r="F631" s="2" t="s">
        <v>2735</v>
      </c>
      <c r="G631" s="2" t="s">
        <v>2736</v>
      </c>
      <c r="H631" s="2" t="s">
        <v>2657</v>
      </c>
      <c r="I631" s="2" t="s">
        <v>2565</v>
      </c>
      <c r="J631" s="2" t="s">
        <v>62</v>
      </c>
      <c r="K631" s="2" t="s">
        <v>113</v>
      </c>
      <c r="L631" s="7">
        <v>42370.0</v>
      </c>
      <c r="M631" s="2" t="s">
        <v>25</v>
      </c>
      <c r="N631" s="2" t="s">
        <v>35</v>
      </c>
      <c r="O631" s="2" t="s">
        <v>27</v>
      </c>
      <c r="P631" s="2" t="s">
        <v>36</v>
      </c>
    </row>
    <row r="632" ht="14.25" customHeight="1">
      <c r="A632" s="6">
        <v>1.4062245E7</v>
      </c>
      <c r="B632" s="2" t="s">
        <v>2737</v>
      </c>
      <c r="C632" s="2" t="s">
        <v>17</v>
      </c>
      <c r="D632" s="2" t="s">
        <v>18</v>
      </c>
      <c r="E632" s="2" t="s">
        <v>2738</v>
      </c>
      <c r="F632" s="2" t="s">
        <v>2738</v>
      </c>
      <c r="G632" s="2" t="s">
        <v>2739</v>
      </c>
      <c r="H632" s="2" t="s">
        <v>2657</v>
      </c>
      <c r="I632" s="2" t="s">
        <v>2599</v>
      </c>
      <c r="J632" s="2" t="s">
        <v>62</v>
      </c>
      <c r="K632" s="2" t="s">
        <v>113</v>
      </c>
      <c r="L632" s="7">
        <v>43789.0</v>
      </c>
      <c r="M632" s="2" t="s">
        <v>25</v>
      </c>
      <c r="N632" s="2" t="s">
        <v>35</v>
      </c>
      <c r="O632" s="2" t="s">
        <v>27</v>
      </c>
      <c r="P632" s="2" t="s">
        <v>36</v>
      </c>
    </row>
    <row r="633" ht="14.25" customHeight="1">
      <c r="A633" s="6">
        <v>1.4572962E7</v>
      </c>
      <c r="B633" s="2" t="s">
        <v>2740</v>
      </c>
      <c r="C633" s="2" t="s">
        <v>17</v>
      </c>
      <c r="D633" s="2" t="s">
        <v>18</v>
      </c>
      <c r="E633" s="2" t="s">
        <v>2741</v>
      </c>
      <c r="F633" s="2" t="s">
        <v>2741</v>
      </c>
      <c r="G633" s="2" t="s">
        <v>2742</v>
      </c>
      <c r="H633" s="2" t="s">
        <v>2657</v>
      </c>
      <c r="I633" s="2" t="s">
        <v>2572</v>
      </c>
      <c r="J633" s="2" t="s">
        <v>62</v>
      </c>
      <c r="K633" s="2" t="s">
        <v>113</v>
      </c>
      <c r="L633" s="7">
        <v>42370.0</v>
      </c>
      <c r="M633" s="2" t="s">
        <v>25</v>
      </c>
      <c r="N633" s="2" t="s">
        <v>35</v>
      </c>
      <c r="O633" s="2" t="s">
        <v>27</v>
      </c>
      <c r="P633" s="2" t="s">
        <v>36</v>
      </c>
    </row>
    <row r="634" ht="14.25" customHeight="1">
      <c r="A634" s="6">
        <v>1.7444664E7</v>
      </c>
      <c r="B634" s="2" t="s">
        <v>2743</v>
      </c>
      <c r="C634" s="2" t="s">
        <v>17</v>
      </c>
      <c r="D634" s="2" t="s">
        <v>167</v>
      </c>
      <c r="E634" s="2" t="s">
        <v>2744</v>
      </c>
      <c r="F634" s="2" t="s">
        <v>2744</v>
      </c>
      <c r="G634" s="2" t="s">
        <v>2745</v>
      </c>
      <c r="H634" s="2" t="s">
        <v>2657</v>
      </c>
      <c r="I634" s="2" t="s">
        <v>2718</v>
      </c>
      <c r="J634" s="2" t="s">
        <v>62</v>
      </c>
      <c r="K634" s="2" t="s">
        <v>113</v>
      </c>
      <c r="L634" s="7">
        <v>45600.0</v>
      </c>
      <c r="M634" s="2" t="s">
        <v>25</v>
      </c>
      <c r="N634" s="2" t="s">
        <v>35</v>
      </c>
      <c r="O634" s="2" t="s">
        <v>27</v>
      </c>
      <c r="P634" s="2" t="s">
        <v>36</v>
      </c>
    </row>
    <row r="635" ht="14.25" customHeight="1">
      <c r="A635" s="6">
        <v>1.3959478E7</v>
      </c>
      <c r="B635" s="2" t="s">
        <v>2746</v>
      </c>
      <c r="C635" s="2" t="s">
        <v>17</v>
      </c>
      <c r="D635" s="2" t="s">
        <v>18</v>
      </c>
      <c r="E635" s="2" t="s">
        <v>2747</v>
      </c>
      <c r="F635" s="2" t="s">
        <v>2747</v>
      </c>
      <c r="G635" s="2" t="s">
        <v>2748</v>
      </c>
      <c r="H635" s="2" t="s">
        <v>2657</v>
      </c>
      <c r="I635" s="2" t="s">
        <v>2718</v>
      </c>
      <c r="J635" s="2" t="s">
        <v>62</v>
      </c>
      <c r="K635" s="2" t="s">
        <v>113</v>
      </c>
      <c r="L635" s="7">
        <v>40513.0</v>
      </c>
      <c r="M635" s="2" t="s">
        <v>25</v>
      </c>
      <c r="N635" s="2" t="s">
        <v>35</v>
      </c>
      <c r="O635" s="2" t="s">
        <v>27</v>
      </c>
      <c r="P635" s="2" t="s">
        <v>36</v>
      </c>
    </row>
    <row r="636" ht="14.25" customHeight="1">
      <c r="A636" s="6">
        <v>1.5848773E7</v>
      </c>
      <c r="B636" s="2" t="s">
        <v>2749</v>
      </c>
      <c r="C636" s="2" t="s">
        <v>17</v>
      </c>
      <c r="D636" s="2" t="s">
        <v>18</v>
      </c>
      <c r="E636" s="2" t="s">
        <v>2750</v>
      </c>
      <c r="F636" s="2" t="s">
        <v>2750</v>
      </c>
      <c r="G636" s="2" t="s">
        <v>2751</v>
      </c>
      <c r="H636" s="2" t="s">
        <v>2657</v>
      </c>
      <c r="I636" s="2" t="s">
        <v>2608</v>
      </c>
      <c r="J636" s="2" t="s">
        <v>62</v>
      </c>
      <c r="K636" s="2" t="s">
        <v>113</v>
      </c>
      <c r="L636" s="7">
        <v>42370.0</v>
      </c>
      <c r="M636" s="2" t="s">
        <v>25</v>
      </c>
      <c r="N636" s="2" t="s">
        <v>35</v>
      </c>
      <c r="O636" s="2" t="s">
        <v>27</v>
      </c>
      <c r="P636" s="2" t="s">
        <v>36</v>
      </c>
    </row>
    <row r="637" ht="14.25" customHeight="1">
      <c r="A637" s="6">
        <v>1.7291354E7</v>
      </c>
      <c r="B637" s="2" t="s">
        <v>2752</v>
      </c>
      <c r="C637" s="2" t="s">
        <v>17</v>
      </c>
      <c r="D637" s="2" t="s">
        <v>18</v>
      </c>
      <c r="E637" s="2" t="s">
        <v>2753</v>
      </c>
      <c r="F637" s="2" t="s">
        <v>2753</v>
      </c>
      <c r="G637" s="2" t="s">
        <v>2754</v>
      </c>
      <c r="H637" s="2" t="s">
        <v>2657</v>
      </c>
      <c r="I637" s="2" t="s">
        <v>2718</v>
      </c>
      <c r="J637" s="2" t="s">
        <v>62</v>
      </c>
      <c r="K637" s="2" t="s">
        <v>113</v>
      </c>
      <c r="L637" s="7">
        <v>42370.0</v>
      </c>
      <c r="M637" s="2" t="s">
        <v>25</v>
      </c>
      <c r="N637" s="2" t="s">
        <v>35</v>
      </c>
      <c r="O637" s="2" t="s">
        <v>27</v>
      </c>
      <c r="P637" s="2" t="s">
        <v>36</v>
      </c>
    </row>
    <row r="638" ht="14.25" customHeight="1">
      <c r="A638" s="6">
        <v>1.8143296E7</v>
      </c>
      <c r="B638" s="2" t="s">
        <v>2755</v>
      </c>
      <c r="C638" s="2" t="s">
        <v>17</v>
      </c>
      <c r="D638" s="2" t="s">
        <v>18</v>
      </c>
      <c r="E638" s="2" t="s">
        <v>2756</v>
      </c>
      <c r="F638" s="2" t="s">
        <v>2756</v>
      </c>
      <c r="G638" s="2" t="s">
        <v>2757</v>
      </c>
      <c r="H638" s="2" t="s">
        <v>2657</v>
      </c>
      <c r="I638" s="2" t="s">
        <v>2698</v>
      </c>
      <c r="J638" s="2" t="s">
        <v>62</v>
      </c>
      <c r="K638" s="2" t="s">
        <v>113</v>
      </c>
      <c r="L638" s="7">
        <v>44781.0</v>
      </c>
      <c r="M638" s="2" t="s">
        <v>25</v>
      </c>
      <c r="N638" s="2" t="s">
        <v>35</v>
      </c>
      <c r="O638" s="2" t="s">
        <v>27</v>
      </c>
      <c r="P638" s="2" t="s">
        <v>36</v>
      </c>
    </row>
    <row r="639" ht="14.25" customHeight="1">
      <c r="A639" s="6">
        <v>1.9800038E7</v>
      </c>
      <c r="B639" s="2" t="s">
        <v>2758</v>
      </c>
      <c r="C639" s="2" t="s">
        <v>17</v>
      </c>
      <c r="D639" s="2" t="s">
        <v>18</v>
      </c>
      <c r="E639" s="2" t="s">
        <v>2759</v>
      </c>
      <c r="F639" s="2" t="s">
        <v>2759</v>
      </c>
      <c r="G639" s="2" t="s">
        <v>2760</v>
      </c>
      <c r="H639" s="2" t="s">
        <v>2657</v>
      </c>
      <c r="I639" s="2" t="s">
        <v>2608</v>
      </c>
      <c r="J639" s="2" t="s">
        <v>62</v>
      </c>
      <c r="K639" s="2" t="s">
        <v>113</v>
      </c>
      <c r="L639" s="7">
        <v>44896.0</v>
      </c>
      <c r="M639" s="2" t="s">
        <v>25</v>
      </c>
      <c r="N639" s="2" t="s">
        <v>35</v>
      </c>
      <c r="O639" s="2" t="s">
        <v>27</v>
      </c>
      <c r="P639" s="2" t="s">
        <v>36</v>
      </c>
    </row>
    <row r="640" ht="14.25" customHeight="1">
      <c r="A640" s="6">
        <v>8244396.0</v>
      </c>
      <c r="B640" s="2" t="s">
        <v>2761</v>
      </c>
      <c r="C640" s="2" t="s">
        <v>17</v>
      </c>
      <c r="D640" s="2" t="s">
        <v>18</v>
      </c>
      <c r="E640" s="2" t="s">
        <v>2762</v>
      </c>
      <c r="F640" s="2" t="s">
        <v>2762</v>
      </c>
      <c r="G640" s="2" t="s">
        <v>2763</v>
      </c>
      <c r="H640" s="2" t="s">
        <v>2657</v>
      </c>
      <c r="I640" s="2" t="s">
        <v>2572</v>
      </c>
      <c r="J640" s="2" t="s">
        <v>62</v>
      </c>
      <c r="K640" s="2" t="s">
        <v>113</v>
      </c>
      <c r="L640" s="7">
        <v>42370.0</v>
      </c>
      <c r="M640" s="2" t="s">
        <v>25</v>
      </c>
      <c r="N640" s="2" t="s">
        <v>35</v>
      </c>
      <c r="O640" s="2" t="s">
        <v>27</v>
      </c>
      <c r="P640" s="2" t="s">
        <v>36</v>
      </c>
    </row>
    <row r="641" ht="14.25" customHeight="1">
      <c r="A641" s="6">
        <v>8794826.0</v>
      </c>
      <c r="B641" s="2" t="s">
        <v>2764</v>
      </c>
      <c r="C641" s="2" t="s">
        <v>17</v>
      </c>
      <c r="D641" s="2" t="s">
        <v>18</v>
      </c>
      <c r="E641" s="2" t="s">
        <v>2765</v>
      </c>
      <c r="F641" s="2" t="s">
        <v>2765</v>
      </c>
      <c r="G641" s="2" t="s">
        <v>2766</v>
      </c>
      <c r="H641" s="2" t="s">
        <v>2657</v>
      </c>
      <c r="I641" s="2" t="s">
        <v>2608</v>
      </c>
      <c r="J641" s="2" t="s">
        <v>62</v>
      </c>
      <c r="K641" s="2" t="s">
        <v>113</v>
      </c>
      <c r="L641" s="7">
        <v>40513.0</v>
      </c>
      <c r="M641" s="2" t="s">
        <v>25</v>
      </c>
      <c r="N641" s="2" t="s">
        <v>35</v>
      </c>
      <c r="O641" s="2" t="s">
        <v>27</v>
      </c>
      <c r="P641" s="2" t="s">
        <v>36</v>
      </c>
    </row>
    <row r="642" ht="14.25" customHeight="1">
      <c r="A642" s="6">
        <v>9238617.0</v>
      </c>
      <c r="B642" s="2" t="s">
        <v>2767</v>
      </c>
      <c r="C642" s="2" t="s">
        <v>17</v>
      </c>
      <c r="D642" s="2" t="s">
        <v>18</v>
      </c>
      <c r="E642" s="2" t="s">
        <v>2768</v>
      </c>
      <c r="F642" s="2" t="s">
        <v>2768</v>
      </c>
      <c r="G642" s="2" t="s">
        <v>2769</v>
      </c>
      <c r="H642" s="2" t="s">
        <v>2657</v>
      </c>
      <c r="I642" s="2" t="s">
        <v>2718</v>
      </c>
      <c r="J642" s="2" t="s">
        <v>62</v>
      </c>
      <c r="K642" s="2" t="s">
        <v>113</v>
      </c>
      <c r="L642" s="7">
        <v>40513.0</v>
      </c>
      <c r="M642" s="2" t="s">
        <v>25</v>
      </c>
      <c r="N642" s="2" t="s">
        <v>35</v>
      </c>
      <c r="O642" s="2" t="s">
        <v>27</v>
      </c>
      <c r="P642" s="2" t="s">
        <v>36</v>
      </c>
    </row>
    <row r="643" ht="14.25" customHeight="1">
      <c r="A643" s="6">
        <v>9348534.0</v>
      </c>
      <c r="B643" s="2" t="s">
        <v>2770</v>
      </c>
      <c r="C643" s="2" t="s">
        <v>17</v>
      </c>
      <c r="D643" s="2" t="s">
        <v>18</v>
      </c>
      <c r="E643" s="2" t="s">
        <v>2771</v>
      </c>
      <c r="F643" s="2" t="s">
        <v>2771</v>
      </c>
      <c r="G643" s="2" t="s">
        <v>2772</v>
      </c>
      <c r="H643" s="2" t="s">
        <v>2657</v>
      </c>
      <c r="I643" s="2" t="s">
        <v>2608</v>
      </c>
      <c r="J643" s="2" t="s">
        <v>62</v>
      </c>
      <c r="K643" s="2" t="s">
        <v>113</v>
      </c>
      <c r="L643" s="7">
        <v>40513.0</v>
      </c>
      <c r="M643" s="2" t="s">
        <v>25</v>
      </c>
      <c r="N643" s="2" t="s">
        <v>35</v>
      </c>
      <c r="O643" s="2" t="s">
        <v>27</v>
      </c>
      <c r="P643" s="2" t="s">
        <v>36</v>
      </c>
    </row>
    <row r="644" ht="14.25" customHeight="1">
      <c r="A644" s="6">
        <v>9884600.0</v>
      </c>
      <c r="B644" s="2" t="s">
        <v>2773</v>
      </c>
      <c r="C644" s="2" t="s">
        <v>17</v>
      </c>
      <c r="D644" s="2" t="s">
        <v>18</v>
      </c>
      <c r="E644" s="2" t="s">
        <v>2774</v>
      </c>
      <c r="F644" s="2" t="s">
        <v>2775</v>
      </c>
      <c r="G644" s="2" t="s">
        <v>2776</v>
      </c>
      <c r="H644" s="2" t="s">
        <v>2657</v>
      </c>
      <c r="I644" s="2" t="s">
        <v>2591</v>
      </c>
      <c r="J644" s="2" t="s">
        <v>62</v>
      </c>
      <c r="K644" s="2" t="s">
        <v>113</v>
      </c>
      <c r="L644" s="7">
        <v>40513.0</v>
      </c>
      <c r="M644" s="2" t="s">
        <v>25</v>
      </c>
      <c r="N644" s="2" t="s">
        <v>35</v>
      </c>
      <c r="O644" s="2" t="s">
        <v>27</v>
      </c>
      <c r="P644" s="2" t="s">
        <v>36</v>
      </c>
    </row>
    <row r="645" ht="14.25" customHeight="1">
      <c r="A645" s="6">
        <v>1.0547922E7</v>
      </c>
      <c r="B645" s="2" t="s">
        <v>2777</v>
      </c>
      <c r="C645" s="2" t="s">
        <v>17</v>
      </c>
      <c r="D645" s="2" t="s">
        <v>18</v>
      </c>
      <c r="E645" s="2" t="s">
        <v>2778</v>
      </c>
      <c r="F645" s="2" t="s">
        <v>2778</v>
      </c>
      <c r="G645" s="2" t="s">
        <v>2779</v>
      </c>
      <c r="H645" s="2" t="s">
        <v>60</v>
      </c>
      <c r="I645" s="2" t="s">
        <v>61</v>
      </c>
      <c r="J645" s="2" t="s">
        <v>62</v>
      </c>
      <c r="K645" s="2" t="s">
        <v>113</v>
      </c>
      <c r="L645" s="7">
        <v>42370.0</v>
      </c>
      <c r="M645" s="2" t="s">
        <v>25</v>
      </c>
      <c r="N645" s="2" t="s">
        <v>35</v>
      </c>
      <c r="O645" s="2" t="s">
        <v>27</v>
      </c>
      <c r="P645" s="2" t="s">
        <v>36</v>
      </c>
    </row>
    <row r="646" ht="14.25" customHeight="1">
      <c r="A646" s="6">
        <v>1.8608279E7</v>
      </c>
      <c r="B646" s="2" t="s">
        <v>2780</v>
      </c>
      <c r="C646" s="2" t="s">
        <v>17</v>
      </c>
      <c r="D646" s="2" t="s">
        <v>38</v>
      </c>
      <c r="E646" s="2" t="s">
        <v>2781</v>
      </c>
      <c r="F646" s="2" t="s">
        <v>2781</v>
      </c>
      <c r="G646" s="2" t="s">
        <v>2782</v>
      </c>
      <c r="H646" s="2" t="s">
        <v>60</v>
      </c>
      <c r="I646" s="2" t="s">
        <v>101</v>
      </c>
      <c r="J646" s="2" t="s">
        <v>62</v>
      </c>
      <c r="K646" s="2" t="s">
        <v>24</v>
      </c>
      <c r="L646" s="7">
        <v>45933.0</v>
      </c>
      <c r="M646" s="2" t="s">
        <v>25</v>
      </c>
      <c r="N646" s="2" t="s">
        <v>35</v>
      </c>
      <c r="O646" s="2" t="s">
        <v>27</v>
      </c>
      <c r="P646" s="2" t="s">
        <v>28</v>
      </c>
    </row>
    <row r="647" ht="14.25" customHeight="1">
      <c r="A647" s="6">
        <v>2.165847E7</v>
      </c>
      <c r="B647" s="2" t="s">
        <v>2783</v>
      </c>
      <c r="C647" s="2" t="s">
        <v>17</v>
      </c>
      <c r="D647" s="2" t="s">
        <v>167</v>
      </c>
      <c r="E647" s="2" t="s">
        <v>2784</v>
      </c>
      <c r="F647" s="2" t="s">
        <v>2784</v>
      </c>
      <c r="G647" s="2" t="s">
        <v>2785</v>
      </c>
      <c r="H647" s="2" t="s">
        <v>60</v>
      </c>
      <c r="I647" s="2" t="s">
        <v>105</v>
      </c>
      <c r="J647" s="2" t="s">
        <v>62</v>
      </c>
      <c r="K647" s="2" t="s">
        <v>24</v>
      </c>
      <c r="L647" s="7">
        <v>45933.0</v>
      </c>
      <c r="M647" s="2" t="s">
        <v>25</v>
      </c>
      <c r="N647" s="2" t="s">
        <v>35</v>
      </c>
      <c r="O647" s="2" t="s">
        <v>27</v>
      </c>
      <c r="P647" s="2" t="s">
        <v>28</v>
      </c>
    </row>
    <row r="648" ht="14.25" customHeight="1">
      <c r="A648" s="6">
        <v>1.953169E7</v>
      </c>
      <c r="B648" s="2" t="s">
        <v>2786</v>
      </c>
      <c r="C648" s="2" t="s">
        <v>17</v>
      </c>
      <c r="D648" s="2" t="s">
        <v>38</v>
      </c>
      <c r="E648" s="2" t="s">
        <v>2787</v>
      </c>
      <c r="F648" s="2" t="s">
        <v>2787</v>
      </c>
      <c r="G648" s="2" t="s">
        <v>2788</v>
      </c>
      <c r="H648" s="2" t="s">
        <v>60</v>
      </c>
      <c r="I648" s="2" t="s">
        <v>105</v>
      </c>
      <c r="J648" s="2" t="s">
        <v>62</v>
      </c>
      <c r="K648" s="2" t="s">
        <v>24</v>
      </c>
      <c r="L648" s="7">
        <v>45933.0</v>
      </c>
      <c r="M648" s="2" t="s">
        <v>25</v>
      </c>
      <c r="N648" s="2" t="s">
        <v>35</v>
      </c>
      <c r="O648" s="2" t="s">
        <v>27</v>
      </c>
      <c r="P648" s="2" t="s">
        <v>28</v>
      </c>
    </row>
    <row r="649" ht="14.25" customHeight="1">
      <c r="A649" s="6">
        <v>1.810909E7</v>
      </c>
      <c r="B649" s="2" t="s">
        <v>2789</v>
      </c>
      <c r="C649" s="2" t="s">
        <v>17</v>
      </c>
      <c r="D649" s="2" t="s">
        <v>57</v>
      </c>
      <c r="E649" s="2" t="s">
        <v>2790</v>
      </c>
      <c r="F649" s="2" t="s">
        <v>2790</v>
      </c>
      <c r="G649" s="2" t="s">
        <v>2791</v>
      </c>
      <c r="H649" s="2" t="s">
        <v>60</v>
      </c>
      <c r="I649" s="2" t="s">
        <v>86</v>
      </c>
      <c r="J649" s="2" t="s">
        <v>62</v>
      </c>
      <c r="K649" s="2" t="s">
        <v>24</v>
      </c>
      <c r="L649" s="7">
        <v>45933.0</v>
      </c>
      <c r="M649" s="2" t="s">
        <v>25</v>
      </c>
      <c r="N649" s="2" t="s">
        <v>35</v>
      </c>
      <c r="O649" s="2" t="s">
        <v>27</v>
      </c>
      <c r="P649" s="2" t="s">
        <v>28</v>
      </c>
    </row>
    <row r="650" ht="14.25" customHeight="1">
      <c r="A650" s="6">
        <v>1.982543E7</v>
      </c>
      <c r="B650" s="2" t="s">
        <v>2792</v>
      </c>
      <c r="C650" s="2" t="s">
        <v>17</v>
      </c>
      <c r="D650" s="2" t="s">
        <v>57</v>
      </c>
      <c r="E650" s="2" t="s">
        <v>2793</v>
      </c>
      <c r="F650" s="2" t="s">
        <v>2793</v>
      </c>
      <c r="G650" s="2" t="s">
        <v>2794</v>
      </c>
      <c r="H650" s="2" t="s">
        <v>60</v>
      </c>
      <c r="I650" s="2" t="s">
        <v>105</v>
      </c>
      <c r="J650" s="2" t="s">
        <v>62</v>
      </c>
      <c r="K650" s="2" t="s">
        <v>24</v>
      </c>
      <c r="L650" s="7">
        <v>45933.0</v>
      </c>
      <c r="M650" s="2" t="s">
        <v>25</v>
      </c>
      <c r="N650" s="2" t="s">
        <v>35</v>
      </c>
      <c r="O650" s="2" t="s">
        <v>27</v>
      </c>
      <c r="P650" s="2" t="s">
        <v>28</v>
      </c>
    </row>
    <row r="651" ht="14.25" customHeight="1">
      <c r="A651" s="6">
        <v>1.9205907E7</v>
      </c>
      <c r="B651" s="2" t="s">
        <v>2795</v>
      </c>
      <c r="C651" s="2" t="s">
        <v>17</v>
      </c>
      <c r="D651" s="2" t="s">
        <v>167</v>
      </c>
      <c r="E651" s="2" t="s">
        <v>2796</v>
      </c>
      <c r="F651" s="2" t="s">
        <v>2796</v>
      </c>
      <c r="G651" s="2" t="s">
        <v>2797</v>
      </c>
      <c r="H651" s="2" t="s">
        <v>60</v>
      </c>
      <c r="I651" s="2" t="s">
        <v>105</v>
      </c>
      <c r="J651" s="2" t="s">
        <v>62</v>
      </c>
      <c r="K651" s="2" t="s">
        <v>24</v>
      </c>
      <c r="L651" s="7">
        <v>45933.0</v>
      </c>
      <c r="M651" s="2" t="s">
        <v>25</v>
      </c>
      <c r="N651" s="2" t="s">
        <v>35</v>
      </c>
      <c r="O651" s="2" t="s">
        <v>27</v>
      </c>
      <c r="P651" s="2" t="s">
        <v>28</v>
      </c>
    </row>
    <row r="652" ht="14.25" customHeight="1">
      <c r="A652" s="6">
        <v>1.8686193E7</v>
      </c>
      <c r="B652" s="2" t="s">
        <v>2798</v>
      </c>
      <c r="C652" s="2" t="s">
        <v>17</v>
      </c>
      <c r="D652" s="2" t="s">
        <v>88</v>
      </c>
      <c r="E652" s="2" t="s">
        <v>2799</v>
      </c>
      <c r="F652" s="2" t="s">
        <v>2799</v>
      </c>
      <c r="G652" s="2" t="s">
        <v>2800</v>
      </c>
      <c r="H652" s="2" t="s">
        <v>60</v>
      </c>
      <c r="I652" s="2" t="s">
        <v>86</v>
      </c>
      <c r="J652" s="2" t="s">
        <v>62</v>
      </c>
      <c r="K652" s="2" t="s">
        <v>24</v>
      </c>
      <c r="L652" s="7">
        <v>45933.0</v>
      </c>
      <c r="M652" s="2" t="s">
        <v>25</v>
      </c>
      <c r="N652" s="2" t="s">
        <v>35</v>
      </c>
      <c r="O652" s="2" t="s">
        <v>27</v>
      </c>
      <c r="P652" s="2" t="s">
        <v>28</v>
      </c>
    </row>
    <row r="653" ht="14.25" customHeight="1">
      <c r="A653" s="6">
        <v>1.5529876E7</v>
      </c>
      <c r="B653" s="2" t="s">
        <v>2801</v>
      </c>
      <c r="C653" s="2" t="s">
        <v>17</v>
      </c>
      <c r="D653" s="2" t="s">
        <v>38</v>
      </c>
      <c r="E653" s="2" t="s">
        <v>2802</v>
      </c>
      <c r="F653" s="2" t="s">
        <v>2802</v>
      </c>
      <c r="G653" s="2" t="s">
        <v>2803</v>
      </c>
      <c r="H653" s="2" t="s">
        <v>60</v>
      </c>
      <c r="I653" s="2" t="s">
        <v>86</v>
      </c>
      <c r="J653" s="2" t="s">
        <v>62</v>
      </c>
      <c r="K653" s="2" t="s">
        <v>24</v>
      </c>
      <c r="L653" s="7">
        <v>45933.0</v>
      </c>
      <c r="M653" s="2" t="s">
        <v>25</v>
      </c>
      <c r="N653" s="2" t="s">
        <v>35</v>
      </c>
      <c r="O653" s="2" t="s">
        <v>27</v>
      </c>
      <c r="P653" s="2" t="s">
        <v>28</v>
      </c>
    </row>
    <row r="654" ht="14.25" customHeight="1">
      <c r="A654" s="6">
        <v>2.1506026E7</v>
      </c>
      <c r="B654" s="2" t="s">
        <v>2804</v>
      </c>
      <c r="C654" s="2" t="s">
        <v>17</v>
      </c>
      <c r="D654" s="2" t="s">
        <v>57</v>
      </c>
      <c r="E654" s="2" t="s">
        <v>2805</v>
      </c>
      <c r="F654" s="2" t="s">
        <v>2805</v>
      </c>
      <c r="G654" s="2" t="s">
        <v>2806</v>
      </c>
      <c r="H654" s="2" t="s">
        <v>60</v>
      </c>
      <c r="I654" s="2" t="s">
        <v>101</v>
      </c>
      <c r="J654" s="2" t="s">
        <v>62</v>
      </c>
      <c r="K654" s="2" t="s">
        <v>24</v>
      </c>
      <c r="L654" s="7">
        <v>45933.0</v>
      </c>
      <c r="M654" s="2" t="s">
        <v>25</v>
      </c>
      <c r="N654" s="2" t="s">
        <v>35</v>
      </c>
      <c r="O654" s="2" t="s">
        <v>27</v>
      </c>
      <c r="P654" s="2" t="s">
        <v>28</v>
      </c>
    </row>
    <row r="655" ht="14.25" customHeight="1">
      <c r="A655" s="6">
        <v>1.7969538E7</v>
      </c>
      <c r="B655" s="2" t="s">
        <v>2807</v>
      </c>
      <c r="C655" s="2" t="s">
        <v>17</v>
      </c>
      <c r="D655" s="2" t="s">
        <v>167</v>
      </c>
      <c r="E655" s="2" t="s">
        <v>2808</v>
      </c>
      <c r="F655" s="2" t="s">
        <v>2808</v>
      </c>
      <c r="G655" s="2" t="s">
        <v>2809</v>
      </c>
      <c r="H655" s="2" t="s">
        <v>60</v>
      </c>
      <c r="I655" s="2" t="s">
        <v>101</v>
      </c>
      <c r="J655" s="2" t="s">
        <v>62</v>
      </c>
      <c r="K655" s="2" t="s">
        <v>24</v>
      </c>
      <c r="L655" s="7">
        <v>45933.0</v>
      </c>
      <c r="M655" s="2" t="s">
        <v>25</v>
      </c>
      <c r="N655" s="2" t="s">
        <v>35</v>
      </c>
      <c r="O655" s="2" t="s">
        <v>27</v>
      </c>
      <c r="P655" s="2" t="s">
        <v>28</v>
      </c>
    </row>
    <row r="656" ht="14.25" customHeight="1">
      <c r="A656" s="6">
        <v>1.9799595E7</v>
      </c>
      <c r="B656" s="2" t="s">
        <v>163</v>
      </c>
      <c r="C656" s="2" t="s">
        <v>17</v>
      </c>
      <c r="D656" s="2" t="s">
        <v>88</v>
      </c>
      <c r="E656" s="2" t="s">
        <v>164</v>
      </c>
      <c r="F656" s="2" t="s">
        <v>164</v>
      </c>
      <c r="G656" s="2" t="s">
        <v>165</v>
      </c>
      <c r="H656" s="2" t="s">
        <v>60</v>
      </c>
      <c r="I656" s="2" t="s">
        <v>61</v>
      </c>
      <c r="J656" s="2" t="s">
        <v>62</v>
      </c>
      <c r="K656" s="2" t="s">
        <v>24</v>
      </c>
      <c r="L656" s="7">
        <v>45933.0</v>
      </c>
      <c r="M656" s="2" t="s">
        <v>25</v>
      </c>
      <c r="N656" s="2" t="s">
        <v>35</v>
      </c>
      <c r="O656" s="2" t="s">
        <v>27</v>
      </c>
      <c r="P656" s="2" t="s">
        <v>28</v>
      </c>
    </row>
    <row r="657" ht="14.25" customHeight="1">
      <c r="A657" s="6">
        <v>1.5529236E7</v>
      </c>
      <c r="B657" s="2" t="s">
        <v>2810</v>
      </c>
      <c r="C657" s="2" t="s">
        <v>17</v>
      </c>
      <c r="D657" s="2" t="s">
        <v>18</v>
      </c>
      <c r="E657" s="2" t="s">
        <v>2811</v>
      </c>
      <c r="F657" s="2" t="s">
        <v>2811</v>
      </c>
      <c r="G657" s="2" t="s">
        <v>2812</v>
      </c>
      <c r="H657" s="2" t="s">
        <v>60</v>
      </c>
      <c r="I657" s="2" t="s">
        <v>61</v>
      </c>
      <c r="J657" s="2" t="s">
        <v>62</v>
      </c>
      <c r="K657" s="2" t="s">
        <v>113</v>
      </c>
      <c r="L657" s="7">
        <v>43587.0</v>
      </c>
      <c r="M657" s="2" t="s">
        <v>25</v>
      </c>
      <c r="N657" s="2" t="s">
        <v>35</v>
      </c>
      <c r="O657" s="2" t="s">
        <v>27</v>
      </c>
      <c r="P657" s="2" t="s">
        <v>36</v>
      </c>
    </row>
    <row r="658" ht="14.25" customHeight="1">
      <c r="A658" s="6">
        <v>9683818.0</v>
      </c>
      <c r="B658" s="2" t="s">
        <v>2813</v>
      </c>
      <c r="C658" s="2" t="s">
        <v>17</v>
      </c>
      <c r="D658" s="2" t="s">
        <v>18</v>
      </c>
      <c r="E658" s="2" t="s">
        <v>2814</v>
      </c>
      <c r="F658" s="2" t="s">
        <v>2814</v>
      </c>
      <c r="G658" s="2" t="s">
        <v>2815</v>
      </c>
      <c r="H658" s="2" t="s">
        <v>60</v>
      </c>
      <c r="I658" s="2" t="s">
        <v>61</v>
      </c>
      <c r="J658" s="2" t="s">
        <v>62</v>
      </c>
      <c r="K658" s="2" t="s">
        <v>113</v>
      </c>
      <c r="L658" s="7">
        <v>42370.0</v>
      </c>
      <c r="M658" s="2" t="s">
        <v>25</v>
      </c>
      <c r="N658" s="2" t="s">
        <v>35</v>
      </c>
      <c r="O658" s="2" t="s">
        <v>27</v>
      </c>
      <c r="P658" s="2" t="s">
        <v>36</v>
      </c>
    </row>
    <row r="659" ht="14.25" customHeight="1">
      <c r="A659" s="6">
        <v>1.0395819E7</v>
      </c>
      <c r="B659" s="2" t="s">
        <v>2816</v>
      </c>
      <c r="C659" s="2" t="s">
        <v>17</v>
      </c>
      <c r="D659" s="2" t="s">
        <v>18</v>
      </c>
      <c r="E659" s="2" t="s">
        <v>2817</v>
      </c>
      <c r="F659" s="2" t="s">
        <v>2817</v>
      </c>
      <c r="G659" s="2" t="s">
        <v>2818</v>
      </c>
      <c r="H659" s="2" t="s">
        <v>60</v>
      </c>
      <c r="I659" s="2" t="s">
        <v>2819</v>
      </c>
      <c r="J659" s="2" t="s">
        <v>62</v>
      </c>
      <c r="K659" s="2" t="s">
        <v>113</v>
      </c>
      <c r="L659" s="7">
        <v>40513.0</v>
      </c>
      <c r="M659" s="2" t="s">
        <v>25</v>
      </c>
      <c r="N659" s="2" t="s">
        <v>35</v>
      </c>
      <c r="O659" s="2" t="s">
        <v>200</v>
      </c>
      <c r="P659" s="2" t="s">
        <v>36</v>
      </c>
    </row>
    <row r="660" ht="14.25" customHeight="1">
      <c r="A660" s="6">
        <v>8447478.0</v>
      </c>
      <c r="B660" s="2" t="s">
        <v>2820</v>
      </c>
      <c r="C660" s="2" t="s">
        <v>17</v>
      </c>
      <c r="D660" s="2" t="s">
        <v>18</v>
      </c>
      <c r="E660" s="2" t="s">
        <v>2821</v>
      </c>
      <c r="F660" s="2" t="s">
        <v>2821</v>
      </c>
      <c r="G660" s="2" t="s">
        <v>2822</v>
      </c>
      <c r="H660" s="2" t="s">
        <v>60</v>
      </c>
      <c r="I660" s="2" t="s">
        <v>2819</v>
      </c>
      <c r="J660" s="2" t="s">
        <v>62</v>
      </c>
      <c r="K660" s="2" t="s">
        <v>113</v>
      </c>
      <c r="L660" s="7">
        <v>40513.0</v>
      </c>
      <c r="M660" s="2" t="s">
        <v>25</v>
      </c>
      <c r="N660" s="2" t="s">
        <v>35</v>
      </c>
      <c r="O660" s="2" t="s">
        <v>200</v>
      </c>
      <c r="P660" s="2" t="s">
        <v>36</v>
      </c>
    </row>
    <row r="661" ht="14.25" customHeight="1">
      <c r="A661" s="6">
        <v>8676291.0</v>
      </c>
      <c r="B661" s="2" t="s">
        <v>2823</v>
      </c>
      <c r="C661" s="2" t="s">
        <v>17</v>
      </c>
      <c r="D661" s="2" t="s">
        <v>18</v>
      </c>
      <c r="E661" s="2" t="s">
        <v>2824</v>
      </c>
      <c r="F661" s="2" t="s">
        <v>2824</v>
      </c>
      <c r="G661" s="2" t="s">
        <v>2825</v>
      </c>
      <c r="H661" s="2" t="s">
        <v>60</v>
      </c>
      <c r="I661" s="2" t="s">
        <v>61</v>
      </c>
      <c r="J661" s="2" t="s">
        <v>62</v>
      </c>
      <c r="K661" s="2" t="s">
        <v>113</v>
      </c>
      <c r="L661" s="7">
        <v>40513.0</v>
      </c>
      <c r="M661" s="2" t="s">
        <v>25</v>
      </c>
      <c r="N661" s="2" t="s">
        <v>35</v>
      </c>
      <c r="O661" s="2" t="s">
        <v>27</v>
      </c>
      <c r="P661" s="2" t="s">
        <v>36</v>
      </c>
    </row>
    <row r="662" ht="14.25" customHeight="1">
      <c r="A662" s="6">
        <v>1.0208301E7</v>
      </c>
      <c r="B662" s="2" t="s">
        <v>2826</v>
      </c>
      <c r="C662" s="2" t="s">
        <v>17</v>
      </c>
      <c r="D662" s="2" t="s">
        <v>18</v>
      </c>
      <c r="E662" s="2" t="s">
        <v>2827</v>
      </c>
      <c r="F662" s="2" t="s">
        <v>2828</v>
      </c>
      <c r="G662" s="2" t="s">
        <v>2829</v>
      </c>
      <c r="H662" s="2" t="s">
        <v>60</v>
      </c>
      <c r="I662" s="2" t="s">
        <v>61</v>
      </c>
      <c r="J662" s="2" t="s">
        <v>62</v>
      </c>
      <c r="K662" s="2" t="s">
        <v>113</v>
      </c>
      <c r="L662" s="7">
        <v>40513.0</v>
      </c>
      <c r="M662" s="2" t="s">
        <v>25</v>
      </c>
      <c r="N662" s="2" t="s">
        <v>35</v>
      </c>
      <c r="O662" s="2" t="s">
        <v>27</v>
      </c>
      <c r="P662" s="2" t="s">
        <v>36</v>
      </c>
    </row>
    <row r="663" ht="14.25" customHeight="1">
      <c r="A663" s="6">
        <v>8756175.0</v>
      </c>
      <c r="B663" s="2" t="s">
        <v>2830</v>
      </c>
      <c r="C663" s="2" t="s">
        <v>17</v>
      </c>
      <c r="D663" s="2" t="s">
        <v>18</v>
      </c>
      <c r="E663" s="2" t="s">
        <v>2831</v>
      </c>
      <c r="F663" s="2" t="s">
        <v>2831</v>
      </c>
      <c r="G663" s="2" t="s">
        <v>2832</v>
      </c>
      <c r="H663" s="2" t="s">
        <v>60</v>
      </c>
      <c r="I663" s="2" t="s">
        <v>61</v>
      </c>
      <c r="J663" s="2" t="s">
        <v>62</v>
      </c>
      <c r="K663" s="2" t="s">
        <v>113</v>
      </c>
      <c r="L663" s="7">
        <v>40513.0</v>
      </c>
      <c r="M663" s="2" t="s">
        <v>25</v>
      </c>
      <c r="N663" s="2" t="s">
        <v>35</v>
      </c>
      <c r="O663" s="2" t="s">
        <v>27</v>
      </c>
      <c r="P663" s="2" t="s">
        <v>36</v>
      </c>
    </row>
    <row r="664" ht="14.25" customHeight="1">
      <c r="A664" s="6">
        <v>1.294308E7</v>
      </c>
      <c r="B664" s="2" t="s">
        <v>2833</v>
      </c>
      <c r="C664" s="2" t="s">
        <v>17</v>
      </c>
      <c r="D664" s="2" t="s">
        <v>88</v>
      </c>
      <c r="E664" s="2" t="s">
        <v>2834</v>
      </c>
      <c r="F664" s="2" t="s">
        <v>2834</v>
      </c>
      <c r="G664" s="2" t="s">
        <v>2835</v>
      </c>
      <c r="H664" s="2" t="s">
        <v>60</v>
      </c>
      <c r="I664" s="2" t="s">
        <v>2630</v>
      </c>
      <c r="J664" s="2" t="s">
        <v>62</v>
      </c>
      <c r="K664" s="2" t="s">
        <v>630</v>
      </c>
      <c r="L664" s="7">
        <v>45924.0</v>
      </c>
      <c r="M664" s="2" t="s">
        <v>312</v>
      </c>
      <c r="N664" s="2" t="s">
        <v>35</v>
      </c>
      <c r="O664" s="2" t="s">
        <v>312</v>
      </c>
      <c r="P664" s="2" t="s">
        <v>28</v>
      </c>
    </row>
    <row r="665" ht="14.25" customHeight="1">
      <c r="A665" s="6">
        <v>1.1345113E7</v>
      </c>
      <c r="B665" s="2" t="s">
        <v>2836</v>
      </c>
      <c r="C665" s="2" t="s">
        <v>17</v>
      </c>
      <c r="D665" s="2" t="s">
        <v>167</v>
      </c>
      <c r="E665" s="2" t="s">
        <v>2837</v>
      </c>
      <c r="F665" s="2" t="s">
        <v>2837</v>
      </c>
      <c r="G665" s="2" t="s">
        <v>2838</v>
      </c>
      <c r="H665" s="2" t="s">
        <v>60</v>
      </c>
      <c r="I665" s="2" t="s">
        <v>2637</v>
      </c>
      <c r="J665" s="2" t="s">
        <v>62</v>
      </c>
      <c r="K665" s="2" t="s">
        <v>630</v>
      </c>
      <c r="L665" s="7">
        <v>45924.0</v>
      </c>
      <c r="M665" s="2" t="s">
        <v>312</v>
      </c>
      <c r="N665" s="2" t="s">
        <v>35</v>
      </c>
      <c r="O665" s="2" t="s">
        <v>312</v>
      </c>
      <c r="P665" s="2" t="s">
        <v>28</v>
      </c>
    </row>
    <row r="666" ht="14.25" customHeight="1">
      <c r="A666" s="6">
        <v>1.1346058E7</v>
      </c>
      <c r="B666" s="2" t="s">
        <v>2839</v>
      </c>
      <c r="C666" s="2" t="s">
        <v>17</v>
      </c>
      <c r="D666" s="2" t="s">
        <v>167</v>
      </c>
      <c r="E666" s="2" t="s">
        <v>2840</v>
      </c>
      <c r="F666" s="2" t="s">
        <v>2840</v>
      </c>
      <c r="G666" s="2" t="s">
        <v>2841</v>
      </c>
      <c r="H666" s="2" t="s">
        <v>60</v>
      </c>
      <c r="I666" s="2" t="s">
        <v>2630</v>
      </c>
      <c r="J666" s="2" t="s">
        <v>62</v>
      </c>
      <c r="K666" s="2" t="s">
        <v>630</v>
      </c>
      <c r="L666" s="7">
        <v>45924.0</v>
      </c>
      <c r="M666" s="2" t="s">
        <v>312</v>
      </c>
      <c r="N666" s="2" t="s">
        <v>35</v>
      </c>
      <c r="O666" s="2" t="s">
        <v>312</v>
      </c>
      <c r="P666" s="2" t="s">
        <v>28</v>
      </c>
    </row>
    <row r="667" ht="14.25" customHeight="1">
      <c r="A667" s="6">
        <v>2.0406265E7</v>
      </c>
      <c r="B667" s="2" t="s">
        <v>2842</v>
      </c>
      <c r="C667" s="2" t="s">
        <v>17</v>
      </c>
      <c r="D667" s="2" t="s">
        <v>167</v>
      </c>
      <c r="E667" s="2" t="s">
        <v>2843</v>
      </c>
      <c r="F667" s="2" t="s">
        <v>2843</v>
      </c>
      <c r="G667" s="2" t="s">
        <v>2844</v>
      </c>
      <c r="H667" s="2" t="s">
        <v>60</v>
      </c>
      <c r="I667" s="2" t="s">
        <v>2637</v>
      </c>
      <c r="J667" s="2" t="s">
        <v>62</v>
      </c>
      <c r="K667" s="2" t="s">
        <v>630</v>
      </c>
      <c r="L667" s="7">
        <v>45924.0</v>
      </c>
      <c r="M667" s="2" t="s">
        <v>312</v>
      </c>
      <c r="N667" s="2" t="s">
        <v>35</v>
      </c>
      <c r="O667" s="2" t="s">
        <v>312</v>
      </c>
      <c r="P667" s="2" t="s">
        <v>28</v>
      </c>
    </row>
    <row r="668" ht="14.25" customHeight="1">
      <c r="A668" s="6">
        <v>1.9963118E7</v>
      </c>
      <c r="B668" s="2" t="s">
        <v>2845</v>
      </c>
      <c r="C668" s="2" t="s">
        <v>17</v>
      </c>
      <c r="D668" s="2" t="s">
        <v>167</v>
      </c>
      <c r="E668" s="2" t="s">
        <v>2846</v>
      </c>
      <c r="F668" s="2" t="s">
        <v>2846</v>
      </c>
      <c r="G668" s="2" t="s">
        <v>2847</v>
      </c>
      <c r="H668" s="2" t="s">
        <v>60</v>
      </c>
      <c r="I668" s="2" t="s">
        <v>2630</v>
      </c>
      <c r="J668" s="2" t="s">
        <v>62</v>
      </c>
      <c r="K668" s="2" t="s">
        <v>630</v>
      </c>
      <c r="L668" s="7">
        <v>45924.0</v>
      </c>
      <c r="M668" s="2" t="s">
        <v>312</v>
      </c>
      <c r="N668" s="2" t="s">
        <v>35</v>
      </c>
      <c r="O668" s="2" t="s">
        <v>312</v>
      </c>
      <c r="P668" s="2" t="s">
        <v>28</v>
      </c>
    </row>
    <row r="669" ht="14.25" customHeight="1">
      <c r="A669" s="6">
        <v>1.5595266E7</v>
      </c>
      <c r="B669" s="2" t="s">
        <v>2848</v>
      </c>
      <c r="C669" s="2" t="s">
        <v>17</v>
      </c>
      <c r="D669" s="2" t="s">
        <v>18</v>
      </c>
      <c r="E669" s="2" t="s">
        <v>2849</v>
      </c>
      <c r="F669" s="2" t="s">
        <v>2849</v>
      </c>
      <c r="G669" s="2" t="s">
        <v>2850</v>
      </c>
      <c r="H669" s="2" t="s">
        <v>60</v>
      </c>
      <c r="I669" s="2" t="s">
        <v>2637</v>
      </c>
      <c r="J669" s="2" t="s">
        <v>62</v>
      </c>
      <c r="K669" s="2" t="s">
        <v>24</v>
      </c>
      <c r="L669" s="7">
        <v>45924.0</v>
      </c>
      <c r="M669" s="2" t="s">
        <v>312</v>
      </c>
      <c r="N669" s="2" t="s">
        <v>35</v>
      </c>
      <c r="O669" s="2" t="s">
        <v>312</v>
      </c>
      <c r="P669" s="2" t="s">
        <v>28</v>
      </c>
    </row>
    <row r="670" ht="14.25" customHeight="1">
      <c r="A670" s="6">
        <v>1.8631758E7</v>
      </c>
      <c r="B670" s="2" t="s">
        <v>2851</v>
      </c>
      <c r="C670" s="2" t="s">
        <v>17</v>
      </c>
      <c r="D670" s="2" t="s">
        <v>18</v>
      </c>
      <c r="E670" s="2" t="s">
        <v>2852</v>
      </c>
      <c r="F670" s="2" t="s">
        <v>2852</v>
      </c>
      <c r="G670" s="2" t="s">
        <v>2853</v>
      </c>
      <c r="H670" s="2" t="s">
        <v>60</v>
      </c>
      <c r="I670" s="2" t="s">
        <v>2630</v>
      </c>
      <c r="J670" s="2" t="s">
        <v>62</v>
      </c>
      <c r="K670" s="2" t="s">
        <v>24</v>
      </c>
      <c r="L670" s="7">
        <v>45924.0</v>
      </c>
      <c r="M670" s="2" t="s">
        <v>312</v>
      </c>
      <c r="N670" s="2" t="s">
        <v>35</v>
      </c>
      <c r="O670" s="2" t="s">
        <v>312</v>
      </c>
      <c r="P670" s="2" t="s">
        <v>28</v>
      </c>
    </row>
    <row r="671" ht="14.25" customHeight="1">
      <c r="A671" s="6">
        <v>1.2569558E7</v>
      </c>
      <c r="B671" s="2" t="s">
        <v>2854</v>
      </c>
      <c r="C671" s="2" t="s">
        <v>17</v>
      </c>
      <c r="D671" s="2" t="s">
        <v>18</v>
      </c>
      <c r="E671" s="2" t="s">
        <v>2855</v>
      </c>
      <c r="F671" s="2" t="s">
        <v>2855</v>
      </c>
      <c r="G671" s="2" t="s">
        <v>2856</v>
      </c>
      <c r="H671" s="2" t="s">
        <v>60</v>
      </c>
      <c r="I671" s="2" t="s">
        <v>2637</v>
      </c>
      <c r="J671" s="2" t="s">
        <v>62</v>
      </c>
      <c r="K671" s="2" t="s">
        <v>113</v>
      </c>
      <c r="L671" s="7">
        <v>40513.0</v>
      </c>
      <c r="M671" s="2" t="s">
        <v>312</v>
      </c>
      <c r="N671" s="2" t="s">
        <v>35</v>
      </c>
      <c r="O671" s="2" t="s">
        <v>312</v>
      </c>
      <c r="P671" s="2" t="s">
        <v>36</v>
      </c>
    </row>
    <row r="672" ht="14.25" customHeight="1">
      <c r="A672" s="6">
        <v>1.7722051E7</v>
      </c>
      <c r="B672" s="2" t="s">
        <v>2857</v>
      </c>
      <c r="C672" s="2" t="s">
        <v>17</v>
      </c>
      <c r="D672" s="2" t="s">
        <v>18</v>
      </c>
      <c r="E672" s="2" t="s">
        <v>2858</v>
      </c>
      <c r="F672" s="2" t="s">
        <v>2858</v>
      </c>
      <c r="G672" s="2" t="s">
        <v>2859</v>
      </c>
      <c r="H672" s="2" t="s">
        <v>60</v>
      </c>
      <c r="I672" s="2" t="s">
        <v>2630</v>
      </c>
      <c r="J672" s="2" t="s">
        <v>62</v>
      </c>
      <c r="K672" s="2" t="s">
        <v>113</v>
      </c>
      <c r="L672" s="7">
        <v>44929.0</v>
      </c>
      <c r="M672" s="2" t="s">
        <v>312</v>
      </c>
      <c r="N672" s="2" t="s">
        <v>35</v>
      </c>
      <c r="O672" s="2" t="s">
        <v>312</v>
      </c>
      <c r="P672" s="2" t="s">
        <v>36</v>
      </c>
    </row>
    <row r="673" ht="14.25" customHeight="1">
      <c r="A673" s="6">
        <v>1.3211695E7</v>
      </c>
      <c r="B673" s="2" t="s">
        <v>2860</v>
      </c>
      <c r="C673" s="2" t="s">
        <v>17</v>
      </c>
      <c r="D673" s="2" t="s">
        <v>88</v>
      </c>
      <c r="E673" s="2" t="s">
        <v>2861</v>
      </c>
      <c r="F673" s="2" t="s">
        <v>2861</v>
      </c>
      <c r="G673" s="2" t="s">
        <v>2862</v>
      </c>
      <c r="H673" s="2" t="s">
        <v>60</v>
      </c>
      <c r="I673" s="2" t="s">
        <v>2630</v>
      </c>
      <c r="J673" s="2" t="s">
        <v>62</v>
      </c>
      <c r="K673" s="2" t="s">
        <v>113</v>
      </c>
      <c r="L673" s="7">
        <v>45490.0</v>
      </c>
      <c r="M673" s="2" t="s">
        <v>312</v>
      </c>
      <c r="N673" s="2" t="s">
        <v>35</v>
      </c>
      <c r="O673" s="2" t="s">
        <v>312</v>
      </c>
      <c r="P673" s="2" t="s">
        <v>36</v>
      </c>
    </row>
    <row r="674" ht="14.25" customHeight="1">
      <c r="A674" s="6">
        <v>1.3176356E7</v>
      </c>
      <c r="B674" s="2" t="s">
        <v>2863</v>
      </c>
      <c r="C674" s="2" t="s">
        <v>17</v>
      </c>
      <c r="D674" s="2" t="s">
        <v>18</v>
      </c>
      <c r="E674" s="2" t="s">
        <v>2864</v>
      </c>
      <c r="F674" s="2" t="s">
        <v>2864</v>
      </c>
      <c r="G674" s="2" t="s">
        <v>2865</v>
      </c>
      <c r="H674" s="2" t="s">
        <v>60</v>
      </c>
      <c r="I674" s="2" t="s">
        <v>2637</v>
      </c>
      <c r="J674" s="2" t="s">
        <v>62</v>
      </c>
      <c r="K674" s="2" t="s">
        <v>113</v>
      </c>
      <c r="L674" s="7">
        <v>44781.0</v>
      </c>
      <c r="M674" s="2" t="s">
        <v>312</v>
      </c>
      <c r="N674" s="2" t="s">
        <v>35</v>
      </c>
      <c r="O674" s="2" t="s">
        <v>312</v>
      </c>
      <c r="P674" s="2" t="s">
        <v>36</v>
      </c>
    </row>
    <row r="675" ht="14.25" customHeight="1">
      <c r="A675" s="6">
        <v>9188032.0</v>
      </c>
      <c r="B675" s="2" t="s">
        <v>2866</v>
      </c>
      <c r="C675" s="2" t="s">
        <v>17</v>
      </c>
      <c r="D675" s="2" t="s">
        <v>18</v>
      </c>
      <c r="E675" s="2" t="s">
        <v>2867</v>
      </c>
      <c r="F675" s="2" t="s">
        <v>2867</v>
      </c>
      <c r="G675" s="2" t="s">
        <v>2868</v>
      </c>
      <c r="H675" s="2" t="s">
        <v>60</v>
      </c>
      <c r="I675" s="2" t="s">
        <v>2630</v>
      </c>
      <c r="J675" s="2" t="s">
        <v>62</v>
      </c>
      <c r="K675" s="2" t="s">
        <v>113</v>
      </c>
      <c r="L675" s="7">
        <v>42705.0</v>
      </c>
      <c r="M675" s="2" t="s">
        <v>312</v>
      </c>
      <c r="N675" s="2" t="s">
        <v>35</v>
      </c>
      <c r="O675" s="2" t="s">
        <v>312</v>
      </c>
      <c r="P675" s="2" t="s">
        <v>36</v>
      </c>
    </row>
    <row r="676" ht="14.25" customHeight="1">
      <c r="A676" s="6">
        <v>1.1220615E7</v>
      </c>
      <c r="B676" s="2" t="s">
        <v>2869</v>
      </c>
      <c r="C676" s="2" t="s">
        <v>17</v>
      </c>
      <c r="D676" s="2" t="s">
        <v>18</v>
      </c>
      <c r="E676" s="2" t="s">
        <v>2870</v>
      </c>
      <c r="F676" s="2" t="s">
        <v>2870</v>
      </c>
      <c r="G676" s="2" t="s">
        <v>2871</v>
      </c>
      <c r="H676" s="2" t="s">
        <v>60</v>
      </c>
      <c r="I676" s="2" t="s">
        <v>2630</v>
      </c>
      <c r="J676" s="2" t="s">
        <v>62</v>
      </c>
      <c r="K676" s="2" t="s">
        <v>113</v>
      </c>
      <c r="L676" s="7">
        <v>42594.0</v>
      </c>
      <c r="M676" s="2" t="s">
        <v>312</v>
      </c>
      <c r="N676" s="2" t="s">
        <v>35</v>
      </c>
      <c r="O676" s="2" t="s">
        <v>312</v>
      </c>
      <c r="P676" s="2" t="s">
        <v>36</v>
      </c>
    </row>
    <row r="677" ht="14.25" customHeight="1">
      <c r="A677" s="6">
        <v>9132559.0</v>
      </c>
      <c r="B677" s="2" t="s">
        <v>2872</v>
      </c>
      <c r="C677" s="2" t="s">
        <v>17</v>
      </c>
      <c r="D677" s="2" t="s">
        <v>18</v>
      </c>
      <c r="E677" s="2" t="s">
        <v>2873</v>
      </c>
      <c r="F677" s="2" t="s">
        <v>2873</v>
      </c>
      <c r="G677" s="2" t="s">
        <v>2874</v>
      </c>
      <c r="H677" s="2" t="s">
        <v>60</v>
      </c>
      <c r="I677" s="2" t="s">
        <v>61</v>
      </c>
      <c r="J677" s="2" t="s">
        <v>62</v>
      </c>
      <c r="K677" s="2" t="s">
        <v>113</v>
      </c>
      <c r="L677" s="7">
        <v>40513.0</v>
      </c>
      <c r="M677" s="2" t="s">
        <v>25</v>
      </c>
      <c r="N677" s="2" t="s">
        <v>35</v>
      </c>
      <c r="O677" s="2" t="s">
        <v>27</v>
      </c>
      <c r="P677" s="2" t="s">
        <v>36</v>
      </c>
    </row>
    <row r="678" ht="14.25" customHeight="1">
      <c r="A678" s="6">
        <v>9148419.0</v>
      </c>
      <c r="B678" s="2" t="s">
        <v>2875</v>
      </c>
      <c r="C678" s="2" t="s">
        <v>17</v>
      </c>
      <c r="D678" s="2" t="s">
        <v>18</v>
      </c>
      <c r="E678" s="2" t="s">
        <v>2876</v>
      </c>
      <c r="F678" s="2" t="s">
        <v>2876</v>
      </c>
      <c r="G678" s="2" t="s">
        <v>2877</v>
      </c>
      <c r="H678" s="2" t="s">
        <v>60</v>
      </c>
      <c r="I678" s="2" t="s">
        <v>61</v>
      </c>
      <c r="J678" s="2" t="s">
        <v>62</v>
      </c>
      <c r="K678" s="2" t="s">
        <v>113</v>
      </c>
      <c r="L678" s="7">
        <v>40513.0</v>
      </c>
      <c r="M678" s="2" t="s">
        <v>25</v>
      </c>
      <c r="N678" s="2" t="s">
        <v>35</v>
      </c>
      <c r="O678" s="2" t="s">
        <v>27</v>
      </c>
      <c r="P678" s="2" t="s">
        <v>36</v>
      </c>
    </row>
    <row r="679" ht="14.25" customHeight="1">
      <c r="A679" s="6">
        <v>9360246.0</v>
      </c>
      <c r="B679" s="2" t="s">
        <v>2878</v>
      </c>
      <c r="C679" s="2" t="s">
        <v>17</v>
      </c>
      <c r="D679" s="2" t="s">
        <v>18</v>
      </c>
      <c r="E679" s="2" t="s">
        <v>2879</v>
      </c>
      <c r="F679" s="2" t="s">
        <v>2879</v>
      </c>
      <c r="G679" s="2" t="s">
        <v>2880</v>
      </c>
      <c r="H679" s="2" t="s">
        <v>60</v>
      </c>
      <c r="I679" s="2" t="s">
        <v>61</v>
      </c>
      <c r="J679" s="2" t="s">
        <v>62</v>
      </c>
      <c r="K679" s="2" t="s">
        <v>113</v>
      </c>
      <c r="L679" s="7">
        <v>43587.0</v>
      </c>
      <c r="M679" s="2" t="s">
        <v>25</v>
      </c>
      <c r="N679" s="2" t="s">
        <v>35</v>
      </c>
      <c r="O679" s="2" t="s">
        <v>27</v>
      </c>
      <c r="P679" s="2" t="s">
        <v>36</v>
      </c>
    </row>
    <row r="680" ht="14.25" customHeight="1">
      <c r="A680" s="6">
        <v>9466724.0</v>
      </c>
      <c r="B680" s="2" t="s">
        <v>2881</v>
      </c>
      <c r="C680" s="2" t="s">
        <v>17</v>
      </c>
      <c r="D680" s="2" t="s">
        <v>18</v>
      </c>
      <c r="E680" s="2" t="s">
        <v>2882</v>
      </c>
      <c r="F680" s="2" t="s">
        <v>2882</v>
      </c>
      <c r="G680" s="2" t="s">
        <v>2883</v>
      </c>
      <c r="H680" s="2" t="s">
        <v>60</v>
      </c>
      <c r="I680" s="2" t="s">
        <v>61</v>
      </c>
      <c r="J680" s="2" t="s">
        <v>62</v>
      </c>
      <c r="K680" s="2" t="s">
        <v>113</v>
      </c>
      <c r="L680" s="7">
        <v>40513.0</v>
      </c>
      <c r="M680" s="2" t="s">
        <v>25</v>
      </c>
      <c r="N680" s="2" t="s">
        <v>35</v>
      </c>
      <c r="O680" s="2" t="s">
        <v>27</v>
      </c>
      <c r="P680" s="2" t="s">
        <v>36</v>
      </c>
    </row>
    <row r="681" ht="14.25" customHeight="1">
      <c r="A681" s="6">
        <v>1.073221E7</v>
      </c>
      <c r="B681" s="2" t="s">
        <v>2884</v>
      </c>
      <c r="C681" s="2" t="s">
        <v>17</v>
      </c>
      <c r="D681" s="2" t="s">
        <v>18</v>
      </c>
      <c r="E681" s="2" t="s">
        <v>2885</v>
      </c>
      <c r="F681" s="2" t="s">
        <v>2885</v>
      </c>
      <c r="G681" s="2" t="s">
        <v>2886</v>
      </c>
      <c r="H681" s="2" t="s">
        <v>60</v>
      </c>
      <c r="I681" s="2" t="s">
        <v>2637</v>
      </c>
      <c r="J681" s="2" t="s">
        <v>62</v>
      </c>
      <c r="K681" s="2" t="s">
        <v>113</v>
      </c>
      <c r="L681" s="7">
        <v>44564.0</v>
      </c>
      <c r="M681" s="2" t="s">
        <v>312</v>
      </c>
      <c r="N681" s="2" t="s">
        <v>35</v>
      </c>
      <c r="O681" s="2" t="s">
        <v>312</v>
      </c>
      <c r="P681" s="2" t="s">
        <v>36</v>
      </c>
    </row>
    <row r="682" ht="14.25" customHeight="1">
      <c r="A682" s="6">
        <v>1.5054124E7</v>
      </c>
      <c r="B682" s="2" t="s">
        <v>2887</v>
      </c>
      <c r="C682" s="2" t="s">
        <v>17</v>
      </c>
      <c r="D682" s="2" t="s">
        <v>18</v>
      </c>
      <c r="E682" s="2" t="s">
        <v>2888</v>
      </c>
      <c r="F682" s="2" t="s">
        <v>2888</v>
      </c>
      <c r="G682" s="2" t="s">
        <v>2889</v>
      </c>
      <c r="H682" s="2" t="s">
        <v>60</v>
      </c>
      <c r="I682" s="2" t="s">
        <v>2637</v>
      </c>
      <c r="J682" s="2" t="s">
        <v>62</v>
      </c>
      <c r="K682" s="2" t="s">
        <v>113</v>
      </c>
      <c r="L682" s="7">
        <v>42332.0</v>
      </c>
      <c r="M682" s="2" t="s">
        <v>312</v>
      </c>
      <c r="N682" s="2" t="s">
        <v>35</v>
      </c>
      <c r="O682" s="2" t="s">
        <v>312</v>
      </c>
      <c r="P682" s="2" t="s">
        <v>36</v>
      </c>
    </row>
    <row r="683" ht="14.25" customHeight="1">
      <c r="A683" s="6">
        <v>1.7721844E7</v>
      </c>
      <c r="B683" s="2" t="s">
        <v>2890</v>
      </c>
      <c r="C683" s="2" t="s">
        <v>17</v>
      </c>
      <c r="D683" s="2" t="s">
        <v>18</v>
      </c>
      <c r="E683" s="2" t="s">
        <v>2891</v>
      </c>
      <c r="F683" s="2" t="s">
        <v>2891</v>
      </c>
      <c r="G683" s="2" t="s">
        <v>2892</v>
      </c>
      <c r="H683" s="2" t="s">
        <v>60</v>
      </c>
      <c r="I683" s="2" t="s">
        <v>2637</v>
      </c>
      <c r="J683" s="2" t="s">
        <v>62</v>
      </c>
      <c r="K683" s="2" t="s">
        <v>113</v>
      </c>
      <c r="L683" s="7">
        <v>44929.0</v>
      </c>
      <c r="M683" s="2" t="s">
        <v>312</v>
      </c>
      <c r="N683" s="2" t="s">
        <v>35</v>
      </c>
      <c r="O683" s="2" t="s">
        <v>312</v>
      </c>
      <c r="P683" s="2" t="s">
        <v>36</v>
      </c>
    </row>
    <row r="684" ht="14.25" customHeight="1">
      <c r="A684" s="6">
        <v>2.0517732E7</v>
      </c>
      <c r="B684" s="2" t="s">
        <v>2893</v>
      </c>
      <c r="C684" s="2" t="s">
        <v>17</v>
      </c>
      <c r="D684" s="2" t="s">
        <v>18</v>
      </c>
      <c r="E684" s="2" t="s">
        <v>2894</v>
      </c>
      <c r="F684" s="2" t="s">
        <v>2894</v>
      </c>
      <c r="G684" s="2" t="s">
        <v>2895</v>
      </c>
      <c r="H684" s="2" t="s">
        <v>60</v>
      </c>
      <c r="I684" s="2" t="s">
        <v>2630</v>
      </c>
      <c r="J684" s="2" t="s">
        <v>62</v>
      </c>
      <c r="K684" s="2" t="s">
        <v>113</v>
      </c>
      <c r="L684" s="7">
        <v>44872.0</v>
      </c>
      <c r="M684" s="2" t="s">
        <v>312</v>
      </c>
      <c r="N684" s="2" t="s">
        <v>35</v>
      </c>
      <c r="O684" s="2" t="s">
        <v>312</v>
      </c>
      <c r="P684" s="2" t="s">
        <v>36</v>
      </c>
    </row>
    <row r="685" ht="14.25" customHeight="1">
      <c r="A685" s="6">
        <v>1.8002524E7</v>
      </c>
      <c r="B685" s="2" t="s">
        <v>2896</v>
      </c>
      <c r="C685" s="2" t="s">
        <v>17</v>
      </c>
      <c r="D685" s="2" t="s">
        <v>88</v>
      </c>
      <c r="E685" s="2" t="s">
        <v>2897</v>
      </c>
      <c r="F685" s="2" t="s">
        <v>2897</v>
      </c>
      <c r="G685" s="2" t="s">
        <v>2898</v>
      </c>
      <c r="H685" s="2" t="s">
        <v>60</v>
      </c>
      <c r="I685" s="2" t="s">
        <v>2637</v>
      </c>
      <c r="J685" s="2" t="s">
        <v>62</v>
      </c>
      <c r="K685" s="2" t="s">
        <v>630</v>
      </c>
      <c r="L685" s="7">
        <v>45931.0</v>
      </c>
      <c r="M685" s="2" t="s">
        <v>312</v>
      </c>
      <c r="N685" s="2" t="s">
        <v>35</v>
      </c>
      <c r="O685" s="2" t="s">
        <v>312</v>
      </c>
      <c r="P685" s="2" t="s">
        <v>28</v>
      </c>
    </row>
    <row r="686" ht="14.25" customHeight="1">
      <c r="A686" s="6">
        <v>1.5122112E7</v>
      </c>
      <c r="B686" s="2" t="s">
        <v>2899</v>
      </c>
      <c r="C686" s="2" t="s">
        <v>17</v>
      </c>
      <c r="D686" s="2" t="s">
        <v>167</v>
      </c>
      <c r="E686" s="2" t="s">
        <v>2900</v>
      </c>
      <c r="F686" s="2" t="s">
        <v>2900</v>
      </c>
      <c r="G686" s="2" t="s">
        <v>2901</v>
      </c>
      <c r="H686" s="2" t="s">
        <v>60</v>
      </c>
      <c r="I686" s="2" t="s">
        <v>2630</v>
      </c>
      <c r="J686" s="2" t="s">
        <v>62</v>
      </c>
      <c r="K686" s="2" t="s">
        <v>630</v>
      </c>
      <c r="L686" s="7">
        <v>45931.0</v>
      </c>
      <c r="M686" s="2" t="s">
        <v>312</v>
      </c>
      <c r="N686" s="2" t="s">
        <v>35</v>
      </c>
      <c r="O686" s="2" t="s">
        <v>312</v>
      </c>
      <c r="P686" s="2" t="s">
        <v>28</v>
      </c>
    </row>
    <row r="687" ht="14.25" customHeight="1">
      <c r="A687" s="6">
        <v>1.3972937E7</v>
      </c>
      <c r="B687" s="2" t="s">
        <v>2902</v>
      </c>
      <c r="C687" s="2" t="s">
        <v>17</v>
      </c>
      <c r="D687" s="2" t="s">
        <v>18</v>
      </c>
      <c r="E687" s="2" t="s">
        <v>2903</v>
      </c>
      <c r="F687" s="2" t="s">
        <v>2903</v>
      </c>
      <c r="G687" s="2" t="s">
        <v>2904</v>
      </c>
      <c r="H687" s="2" t="s">
        <v>60</v>
      </c>
      <c r="I687" s="2" t="s">
        <v>2637</v>
      </c>
      <c r="J687" s="2" t="s">
        <v>62</v>
      </c>
      <c r="K687" s="2" t="s">
        <v>24</v>
      </c>
      <c r="L687" s="7">
        <v>45931.0</v>
      </c>
      <c r="M687" s="2" t="s">
        <v>312</v>
      </c>
      <c r="N687" s="2" t="s">
        <v>35</v>
      </c>
      <c r="O687" s="2" t="s">
        <v>27</v>
      </c>
      <c r="P687" s="2" t="s">
        <v>28</v>
      </c>
    </row>
    <row r="688" ht="14.25" customHeight="1">
      <c r="A688" s="6">
        <v>2.0276014E7</v>
      </c>
      <c r="B688" s="2" t="s">
        <v>2905</v>
      </c>
      <c r="C688" s="2" t="s">
        <v>17</v>
      </c>
      <c r="D688" s="2" t="s">
        <v>18</v>
      </c>
      <c r="E688" s="2" t="s">
        <v>2906</v>
      </c>
      <c r="F688" s="2" t="s">
        <v>2906</v>
      </c>
      <c r="G688" s="2" t="s">
        <v>2907</v>
      </c>
      <c r="H688" s="2" t="s">
        <v>60</v>
      </c>
      <c r="I688" s="2" t="s">
        <v>61</v>
      </c>
      <c r="J688" s="2" t="s">
        <v>62</v>
      </c>
      <c r="K688" s="2" t="s">
        <v>24</v>
      </c>
      <c r="L688" s="7">
        <v>45933.0</v>
      </c>
      <c r="M688" s="2" t="s">
        <v>25</v>
      </c>
      <c r="N688" s="2" t="s">
        <v>35</v>
      </c>
      <c r="O688" s="2" t="s">
        <v>27</v>
      </c>
      <c r="P688" s="2" t="s">
        <v>28</v>
      </c>
    </row>
    <row r="689" ht="14.25" customHeight="1">
      <c r="A689" s="6">
        <v>1.3399249E7</v>
      </c>
      <c r="B689" s="2" t="s">
        <v>2908</v>
      </c>
      <c r="C689" s="2" t="s">
        <v>17</v>
      </c>
      <c r="D689" s="2" t="s">
        <v>167</v>
      </c>
      <c r="E689" s="2" t="s">
        <v>2909</v>
      </c>
      <c r="F689" s="2" t="s">
        <v>2909</v>
      </c>
      <c r="G689" s="2" t="s">
        <v>2910</v>
      </c>
      <c r="H689" s="2" t="s">
        <v>60</v>
      </c>
      <c r="I689" s="2" t="s">
        <v>86</v>
      </c>
      <c r="J689" s="2" t="s">
        <v>62</v>
      </c>
      <c r="K689" s="2" t="s">
        <v>24</v>
      </c>
      <c r="L689" s="7">
        <v>45936.0</v>
      </c>
      <c r="M689" s="2" t="s">
        <v>25</v>
      </c>
      <c r="N689" s="2" t="s">
        <v>35</v>
      </c>
      <c r="O689" s="2" t="s">
        <v>27</v>
      </c>
      <c r="P689" s="2" t="s">
        <v>28</v>
      </c>
    </row>
    <row r="690" ht="14.25" customHeight="1">
      <c r="A690" s="6">
        <v>1.8069734E7</v>
      </c>
      <c r="B690" s="2" t="s">
        <v>2911</v>
      </c>
      <c r="C690" s="2" t="s">
        <v>17</v>
      </c>
      <c r="D690" s="2" t="s">
        <v>18</v>
      </c>
      <c r="E690" s="2" t="s">
        <v>2912</v>
      </c>
      <c r="F690" s="2" t="s">
        <v>2912</v>
      </c>
      <c r="G690" s="2" t="s">
        <v>2913</v>
      </c>
      <c r="H690" s="2" t="s">
        <v>60</v>
      </c>
      <c r="I690" s="2" t="s">
        <v>105</v>
      </c>
      <c r="J690" s="2" t="s">
        <v>62</v>
      </c>
      <c r="K690" s="2" t="s">
        <v>24</v>
      </c>
      <c r="L690" s="7">
        <v>45939.0</v>
      </c>
      <c r="M690" s="2" t="s">
        <v>25</v>
      </c>
      <c r="N690" s="2" t="s">
        <v>35</v>
      </c>
      <c r="O690" s="2" t="s">
        <v>27</v>
      </c>
      <c r="P690" s="2" t="s">
        <v>28</v>
      </c>
    </row>
    <row r="691" ht="14.25" customHeight="1">
      <c r="A691" s="6">
        <v>1.8135066E7</v>
      </c>
      <c r="B691" s="2" t="s">
        <v>2914</v>
      </c>
      <c r="C691" s="2" t="s">
        <v>17</v>
      </c>
      <c r="D691" s="2" t="s">
        <v>18</v>
      </c>
      <c r="E691" s="2" t="s">
        <v>2915</v>
      </c>
      <c r="F691" s="2" t="s">
        <v>2915</v>
      </c>
      <c r="G691" s="2" t="s">
        <v>2916</v>
      </c>
      <c r="H691" s="2" t="s">
        <v>60</v>
      </c>
      <c r="I691" s="2" t="s">
        <v>61</v>
      </c>
      <c r="J691" s="2" t="s">
        <v>62</v>
      </c>
      <c r="K691" s="2" t="s">
        <v>24</v>
      </c>
      <c r="L691" s="7">
        <v>45943.0</v>
      </c>
      <c r="M691" s="2" t="s">
        <v>25</v>
      </c>
      <c r="N691" s="2" t="s">
        <v>35</v>
      </c>
      <c r="O691" s="2" t="s">
        <v>27</v>
      </c>
      <c r="P691" s="2" t="s">
        <v>28</v>
      </c>
    </row>
    <row r="692" ht="14.25" customHeight="1">
      <c r="A692" s="6">
        <v>1.3952302E7</v>
      </c>
      <c r="B692" s="2" t="s">
        <v>2917</v>
      </c>
      <c r="C692" s="2" t="s">
        <v>17</v>
      </c>
      <c r="D692" s="2" t="s">
        <v>18</v>
      </c>
      <c r="E692" s="2" t="s">
        <v>2918</v>
      </c>
      <c r="F692" s="2" t="s">
        <v>2918</v>
      </c>
      <c r="G692" s="2" t="s">
        <v>2919</v>
      </c>
      <c r="H692" s="2" t="s">
        <v>60</v>
      </c>
      <c r="I692" s="2" t="s">
        <v>86</v>
      </c>
      <c r="J692" s="2" t="s">
        <v>62</v>
      </c>
      <c r="K692" s="2" t="s">
        <v>24</v>
      </c>
      <c r="L692" s="7">
        <v>45938.0</v>
      </c>
      <c r="M692" s="2" t="s">
        <v>25</v>
      </c>
      <c r="N692" s="2" t="s">
        <v>35</v>
      </c>
      <c r="O692" s="2" t="s">
        <v>27</v>
      </c>
      <c r="P692" s="2" t="s">
        <v>28</v>
      </c>
    </row>
    <row r="693" ht="14.25" customHeight="1">
      <c r="A693" s="6">
        <v>1.3806462E7</v>
      </c>
      <c r="B693" s="2" t="s">
        <v>2920</v>
      </c>
      <c r="C693" s="2" t="s">
        <v>17</v>
      </c>
      <c r="D693" s="2" t="s">
        <v>18</v>
      </c>
      <c r="E693" s="2" t="s">
        <v>2921</v>
      </c>
      <c r="F693" s="2" t="s">
        <v>2921</v>
      </c>
      <c r="G693" s="2" t="s">
        <v>2922</v>
      </c>
      <c r="H693" s="2" t="s">
        <v>2923</v>
      </c>
      <c r="I693" s="2" t="s">
        <v>2819</v>
      </c>
      <c r="J693" s="2" t="s">
        <v>62</v>
      </c>
      <c r="K693" s="2" t="s">
        <v>630</v>
      </c>
      <c r="L693" s="7">
        <v>45870.0</v>
      </c>
      <c r="M693" s="2" t="s">
        <v>25</v>
      </c>
      <c r="N693" s="2" t="s">
        <v>35</v>
      </c>
      <c r="O693" s="2" t="s">
        <v>200</v>
      </c>
      <c r="P693" s="2" t="s">
        <v>194</v>
      </c>
    </row>
    <row r="694" ht="14.25" customHeight="1">
      <c r="A694" s="6">
        <v>9291567.0</v>
      </c>
      <c r="B694" s="2" t="s">
        <v>2924</v>
      </c>
      <c r="C694" s="2" t="s">
        <v>17</v>
      </c>
      <c r="D694" s="2" t="s">
        <v>18</v>
      </c>
      <c r="E694" s="2" t="s">
        <v>2925</v>
      </c>
      <c r="F694" s="2" t="s">
        <v>2925</v>
      </c>
      <c r="G694" s="2" t="s">
        <v>2926</v>
      </c>
      <c r="H694" s="2" t="s">
        <v>2923</v>
      </c>
      <c r="I694" s="2" t="s">
        <v>2819</v>
      </c>
      <c r="J694" s="2" t="s">
        <v>62</v>
      </c>
      <c r="K694" s="2" t="s">
        <v>630</v>
      </c>
      <c r="L694" s="7">
        <v>45870.0</v>
      </c>
      <c r="M694" s="2" t="s">
        <v>25</v>
      </c>
      <c r="N694" s="2" t="s">
        <v>35</v>
      </c>
      <c r="O694" s="2" t="s">
        <v>200</v>
      </c>
      <c r="P694" s="2" t="s">
        <v>194</v>
      </c>
    </row>
    <row r="695" ht="14.25" customHeight="1">
      <c r="A695" s="6">
        <v>1.9816102E7</v>
      </c>
      <c r="B695" s="2" t="s">
        <v>2927</v>
      </c>
      <c r="C695" s="2" t="s">
        <v>17</v>
      </c>
      <c r="D695" s="2" t="s">
        <v>57</v>
      </c>
      <c r="E695" s="2" t="s">
        <v>2928</v>
      </c>
      <c r="F695" s="2" t="s">
        <v>2928</v>
      </c>
      <c r="G695" s="2" t="s">
        <v>2929</v>
      </c>
      <c r="H695" s="2" t="s">
        <v>2923</v>
      </c>
      <c r="I695" s="2" t="s">
        <v>61</v>
      </c>
      <c r="J695" s="2" t="s">
        <v>62</v>
      </c>
      <c r="K695" s="2" t="s">
        <v>24</v>
      </c>
      <c r="L695" s="7">
        <v>45933.0</v>
      </c>
      <c r="M695" s="2" t="s">
        <v>25</v>
      </c>
      <c r="N695" s="2" t="s">
        <v>35</v>
      </c>
      <c r="O695" s="2" t="s">
        <v>27</v>
      </c>
      <c r="P695" s="2" t="s">
        <v>28</v>
      </c>
    </row>
    <row r="696" ht="14.25" customHeight="1">
      <c r="A696" s="6">
        <v>1.1182543E7</v>
      </c>
      <c r="B696" s="2" t="s">
        <v>2930</v>
      </c>
      <c r="C696" s="2" t="s">
        <v>17</v>
      </c>
      <c r="D696" s="2" t="s">
        <v>57</v>
      </c>
      <c r="E696" s="2" t="s">
        <v>2931</v>
      </c>
      <c r="F696" s="2" t="s">
        <v>2931</v>
      </c>
      <c r="G696" s="2" t="s">
        <v>2932</v>
      </c>
      <c r="H696" s="2" t="s">
        <v>2923</v>
      </c>
      <c r="I696" s="2" t="s">
        <v>61</v>
      </c>
      <c r="J696" s="2" t="s">
        <v>62</v>
      </c>
      <c r="K696" s="2" t="s">
        <v>24</v>
      </c>
      <c r="L696" s="7">
        <v>45933.0</v>
      </c>
      <c r="M696" s="2" t="s">
        <v>25</v>
      </c>
      <c r="N696" s="2" t="s">
        <v>35</v>
      </c>
      <c r="O696" s="2" t="s">
        <v>27</v>
      </c>
      <c r="P696" s="2" t="s">
        <v>28</v>
      </c>
    </row>
    <row r="697" ht="14.25" customHeight="1">
      <c r="A697" s="6">
        <v>1.8137237E7</v>
      </c>
      <c r="B697" s="2" t="s">
        <v>2933</v>
      </c>
      <c r="C697" s="2" t="s">
        <v>17</v>
      </c>
      <c r="D697" s="2" t="s">
        <v>88</v>
      </c>
      <c r="E697" s="2" t="s">
        <v>2934</v>
      </c>
      <c r="F697" s="2" t="s">
        <v>2934</v>
      </c>
      <c r="G697" s="2" t="s">
        <v>2935</v>
      </c>
      <c r="H697" s="2" t="s">
        <v>2923</v>
      </c>
      <c r="I697" s="2" t="s">
        <v>61</v>
      </c>
      <c r="J697" s="2" t="s">
        <v>62</v>
      </c>
      <c r="K697" s="2" t="s">
        <v>24</v>
      </c>
      <c r="L697" s="7">
        <v>45933.0</v>
      </c>
      <c r="M697" s="2" t="s">
        <v>25</v>
      </c>
      <c r="N697" s="2" t="s">
        <v>35</v>
      </c>
      <c r="O697" s="2" t="s">
        <v>27</v>
      </c>
      <c r="P697" s="2" t="s">
        <v>28</v>
      </c>
    </row>
    <row r="698" ht="14.25" customHeight="1">
      <c r="A698" s="6">
        <v>1.1902191E7</v>
      </c>
      <c r="B698" s="2" t="s">
        <v>2936</v>
      </c>
      <c r="C698" s="2" t="s">
        <v>17</v>
      </c>
      <c r="D698" s="2" t="s">
        <v>38</v>
      </c>
      <c r="E698" s="2" t="s">
        <v>2937</v>
      </c>
      <c r="F698" s="2" t="s">
        <v>2937</v>
      </c>
      <c r="G698" s="2" t="s">
        <v>2938</v>
      </c>
      <c r="H698" s="2" t="s">
        <v>2923</v>
      </c>
      <c r="I698" s="2" t="s">
        <v>61</v>
      </c>
      <c r="J698" s="2" t="s">
        <v>62</v>
      </c>
      <c r="K698" s="2" t="s">
        <v>24</v>
      </c>
      <c r="L698" s="7">
        <v>45933.0</v>
      </c>
      <c r="M698" s="2" t="s">
        <v>25</v>
      </c>
      <c r="N698" s="2" t="s">
        <v>35</v>
      </c>
      <c r="O698" s="2" t="s">
        <v>27</v>
      </c>
      <c r="P698" s="2" t="s">
        <v>28</v>
      </c>
    </row>
    <row r="699" ht="14.25" customHeight="1">
      <c r="A699" s="6">
        <v>1.6600585E7</v>
      </c>
      <c r="B699" s="2" t="s">
        <v>2939</v>
      </c>
      <c r="C699" s="2" t="s">
        <v>17</v>
      </c>
      <c r="D699" s="2" t="s">
        <v>18</v>
      </c>
      <c r="E699" s="2" t="s">
        <v>2940</v>
      </c>
      <c r="F699" s="2" t="s">
        <v>2940</v>
      </c>
      <c r="G699" s="2" t="s">
        <v>2941</v>
      </c>
      <c r="H699" s="2" t="s">
        <v>2923</v>
      </c>
      <c r="I699" s="2" t="s">
        <v>2599</v>
      </c>
      <c r="J699" s="2" t="s">
        <v>62</v>
      </c>
      <c r="K699" s="2" t="s">
        <v>113</v>
      </c>
      <c r="L699" s="7">
        <v>44805.0</v>
      </c>
      <c r="M699" s="2" t="s">
        <v>25</v>
      </c>
      <c r="N699" s="2" t="s">
        <v>35</v>
      </c>
      <c r="O699" s="2" t="s">
        <v>27</v>
      </c>
      <c r="P699" s="2" t="s">
        <v>36</v>
      </c>
    </row>
    <row r="700" ht="14.25" customHeight="1">
      <c r="A700" s="6">
        <v>1.9647949E7</v>
      </c>
      <c r="B700" s="2" t="s">
        <v>2942</v>
      </c>
      <c r="C700" s="2" t="s">
        <v>17</v>
      </c>
      <c r="D700" s="2" t="s">
        <v>57</v>
      </c>
      <c r="E700" s="2" t="s">
        <v>2943</v>
      </c>
      <c r="F700" s="2" t="s">
        <v>2944</v>
      </c>
      <c r="G700" s="2" t="s">
        <v>2945</v>
      </c>
      <c r="H700" s="2" t="s">
        <v>2923</v>
      </c>
      <c r="I700" s="2" t="s">
        <v>61</v>
      </c>
      <c r="J700" s="2" t="s">
        <v>62</v>
      </c>
      <c r="K700" s="2" t="s">
        <v>24</v>
      </c>
      <c r="L700" s="7">
        <v>45933.0</v>
      </c>
      <c r="M700" s="2" t="s">
        <v>25</v>
      </c>
      <c r="N700" s="2" t="s">
        <v>35</v>
      </c>
      <c r="O700" s="2" t="s">
        <v>27</v>
      </c>
      <c r="P700" s="2" t="s">
        <v>28</v>
      </c>
    </row>
    <row r="701" ht="14.25" customHeight="1">
      <c r="A701" s="6">
        <v>1.3308359E7</v>
      </c>
      <c r="B701" s="2" t="s">
        <v>2946</v>
      </c>
      <c r="C701" s="2" t="s">
        <v>17</v>
      </c>
      <c r="D701" s="2" t="s">
        <v>18</v>
      </c>
      <c r="E701" s="2" t="s">
        <v>2947</v>
      </c>
      <c r="F701" s="2" t="s">
        <v>2947</v>
      </c>
      <c r="G701" s="2" t="s">
        <v>2948</v>
      </c>
      <c r="H701" s="2" t="s">
        <v>2923</v>
      </c>
      <c r="I701" s="2" t="s">
        <v>588</v>
      </c>
      <c r="J701" s="2" t="s">
        <v>23</v>
      </c>
      <c r="K701" s="2" t="s">
        <v>113</v>
      </c>
      <c r="L701" s="7">
        <v>45293.0</v>
      </c>
      <c r="M701" s="2" t="s">
        <v>25</v>
      </c>
      <c r="N701" s="2" t="s">
        <v>26</v>
      </c>
      <c r="O701" s="2" t="s">
        <v>200</v>
      </c>
      <c r="P701" s="2" t="s">
        <v>36</v>
      </c>
    </row>
    <row r="702" ht="14.25" customHeight="1">
      <c r="A702" s="6">
        <v>1.3175022E7</v>
      </c>
      <c r="B702" s="2" t="s">
        <v>2949</v>
      </c>
      <c r="C702" s="2" t="s">
        <v>17</v>
      </c>
      <c r="D702" s="2" t="s">
        <v>18</v>
      </c>
      <c r="E702" s="2" t="s">
        <v>2950</v>
      </c>
      <c r="F702" s="2" t="s">
        <v>2950</v>
      </c>
      <c r="G702" s="2" t="s">
        <v>2951</v>
      </c>
      <c r="H702" s="2" t="s">
        <v>2923</v>
      </c>
      <c r="I702" s="2" t="s">
        <v>536</v>
      </c>
      <c r="J702" s="2" t="s">
        <v>537</v>
      </c>
      <c r="K702" s="2" t="s">
        <v>113</v>
      </c>
      <c r="L702" s="7">
        <v>45293.0</v>
      </c>
      <c r="M702" s="2" t="s">
        <v>25</v>
      </c>
      <c r="N702" s="2" t="s">
        <v>26</v>
      </c>
      <c r="O702" s="2" t="s">
        <v>200</v>
      </c>
      <c r="P702" s="2" t="s">
        <v>36</v>
      </c>
    </row>
    <row r="703" ht="14.25" customHeight="1">
      <c r="A703" s="6">
        <v>1.8804125E7</v>
      </c>
      <c r="B703" s="2" t="s">
        <v>2952</v>
      </c>
      <c r="C703" s="2" t="s">
        <v>17</v>
      </c>
      <c r="D703" s="2" t="s">
        <v>18</v>
      </c>
      <c r="E703" s="2" t="s">
        <v>2953</v>
      </c>
      <c r="F703" s="2" t="s">
        <v>2953</v>
      </c>
      <c r="G703" s="2" t="s">
        <v>2954</v>
      </c>
      <c r="H703" s="2" t="s">
        <v>2923</v>
      </c>
      <c r="I703" s="2" t="s">
        <v>536</v>
      </c>
      <c r="J703" s="2" t="s">
        <v>537</v>
      </c>
      <c r="K703" s="2" t="s">
        <v>113</v>
      </c>
      <c r="L703" s="7">
        <v>45293.0</v>
      </c>
      <c r="M703" s="2" t="s">
        <v>25</v>
      </c>
      <c r="N703" s="2" t="s">
        <v>26</v>
      </c>
      <c r="O703" s="2" t="s">
        <v>200</v>
      </c>
      <c r="P703" s="2" t="s">
        <v>36</v>
      </c>
    </row>
    <row r="704" ht="14.25" customHeight="1">
      <c r="A704" s="6">
        <v>1.3726937E7</v>
      </c>
      <c r="B704" s="2" t="s">
        <v>2955</v>
      </c>
      <c r="C704" s="2" t="s">
        <v>17</v>
      </c>
      <c r="D704" s="2" t="s">
        <v>18</v>
      </c>
      <c r="E704" s="2" t="s">
        <v>2956</v>
      </c>
      <c r="F704" s="2" t="s">
        <v>2956</v>
      </c>
      <c r="G704" s="2" t="s">
        <v>2957</v>
      </c>
      <c r="H704" s="2" t="s">
        <v>2923</v>
      </c>
      <c r="I704" s="2" t="s">
        <v>2608</v>
      </c>
      <c r="J704" s="2" t="s">
        <v>62</v>
      </c>
      <c r="K704" s="2" t="s">
        <v>113</v>
      </c>
      <c r="L704" s="7">
        <v>44781.0</v>
      </c>
      <c r="M704" s="2" t="s">
        <v>25</v>
      </c>
      <c r="N704" s="2" t="s">
        <v>35</v>
      </c>
      <c r="O704" s="2" t="s">
        <v>27</v>
      </c>
      <c r="P704" s="2" t="s">
        <v>36</v>
      </c>
    </row>
    <row r="705" ht="14.25" customHeight="1">
      <c r="A705" s="6">
        <v>1.8111673E7</v>
      </c>
      <c r="B705" s="2" t="s">
        <v>2958</v>
      </c>
      <c r="C705" s="2" t="s">
        <v>17</v>
      </c>
      <c r="D705" s="2" t="s">
        <v>18</v>
      </c>
      <c r="E705" s="2" t="s">
        <v>2959</v>
      </c>
      <c r="F705" s="2" t="s">
        <v>2959</v>
      </c>
      <c r="G705" s="2" t="s">
        <v>2960</v>
      </c>
      <c r="H705" s="2" t="s">
        <v>2923</v>
      </c>
      <c r="I705" s="2" t="s">
        <v>536</v>
      </c>
      <c r="J705" s="2" t="s">
        <v>23</v>
      </c>
      <c r="K705" s="2" t="s">
        <v>113</v>
      </c>
      <c r="L705" s="7">
        <v>45579.0</v>
      </c>
      <c r="M705" s="2" t="s">
        <v>25</v>
      </c>
      <c r="N705" s="2" t="s">
        <v>26</v>
      </c>
      <c r="O705" s="2" t="s">
        <v>200</v>
      </c>
      <c r="P705" s="2" t="s">
        <v>36</v>
      </c>
    </row>
    <row r="706" ht="14.25" customHeight="1">
      <c r="A706" s="6">
        <v>1.0327669E7</v>
      </c>
      <c r="B706" s="2" t="s">
        <v>2961</v>
      </c>
      <c r="C706" s="2" t="s">
        <v>17</v>
      </c>
      <c r="D706" s="2" t="s">
        <v>18</v>
      </c>
      <c r="E706" s="2" t="s">
        <v>2962</v>
      </c>
      <c r="F706" s="2" t="s">
        <v>2962</v>
      </c>
      <c r="G706" s="2" t="s">
        <v>2963</v>
      </c>
      <c r="H706" s="2" t="s">
        <v>2923</v>
      </c>
      <c r="I706" s="2" t="s">
        <v>588</v>
      </c>
      <c r="J706" s="2" t="s">
        <v>23</v>
      </c>
      <c r="K706" s="2" t="s">
        <v>113</v>
      </c>
      <c r="L706" s="7">
        <v>45222.0</v>
      </c>
      <c r="M706" s="2" t="s">
        <v>25</v>
      </c>
      <c r="N706" s="2" t="s">
        <v>26</v>
      </c>
      <c r="O706" s="2" t="s">
        <v>200</v>
      </c>
      <c r="P706" s="2" t="s">
        <v>36</v>
      </c>
    </row>
    <row r="707" ht="14.25" customHeight="1">
      <c r="A707" s="6">
        <v>1.1498484E7</v>
      </c>
      <c r="B707" s="2" t="s">
        <v>2964</v>
      </c>
      <c r="C707" s="2" t="s">
        <v>17</v>
      </c>
      <c r="D707" s="2" t="s">
        <v>18</v>
      </c>
      <c r="E707" s="2" t="s">
        <v>2965</v>
      </c>
      <c r="F707" s="2" t="s">
        <v>2965</v>
      </c>
      <c r="G707" s="2" t="s">
        <v>2966</v>
      </c>
      <c r="H707" s="2" t="s">
        <v>2923</v>
      </c>
      <c r="I707" s="2" t="s">
        <v>2572</v>
      </c>
      <c r="J707" s="2" t="s">
        <v>62</v>
      </c>
      <c r="K707" s="2" t="s">
        <v>113</v>
      </c>
      <c r="L707" s="7">
        <v>44805.0</v>
      </c>
      <c r="M707" s="2" t="s">
        <v>25</v>
      </c>
      <c r="N707" s="2" t="s">
        <v>35</v>
      </c>
      <c r="O707" s="2" t="s">
        <v>27</v>
      </c>
      <c r="P707" s="2" t="s">
        <v>36</v>
      </c>
    </row>
    <row r="708" ht="14.25" customHeight="1">
      <c r="A708" s="6">
        <v>1.3958124E7</v>
      </c>
      <c r="B708" s="2" t="s">
        <v>2967</v>
      </c>
      <c r="C708" s="2" t="s">
        <v>17</v>
      </c>
      <c r="D708" s="2" t="s">
        <v>18</v>
      </c>
      <c r="E708" s="2" t="s">
        <v>2968</v>
      </c>
      <c r="F708" s="2" t="s">
        <v>2968</v>
      </c>
      <c r="G708" s="2" t="s">
        <v>2969</v>
      </c>
      <c r="H708" s="2" t="s">
        <v>2923</v>
      </c>
      <c r="I708" s="2" t="s">
        <v>2565</v>
      </c>
      <c r="J708" s="2" t="s">
        <v>62</v>
      </c>
      <c r="K708" s="2" t="s">
        <v>113</v>
      </c>
      <c r="L708" s="7">
        <v>44781.0</v>
      </c>
      <c r="M708" s="2" t="s">
        <v>25</v>
      </c>
      <c r="N708" s="2" t="s">
        <v>35</v>
      </c>
      <c r="O708" s="2" t="s">
        <v>27</v>
      </c>
      <c r="P708" s="2" t="s">
        <v>36</v>
      </c>
    </row>
    <row r="709" ht="14.25" customHeight="1">
      <c r="A709" s="6">
        <v>1.5624669E7</v>
      </c>
      <c r="B709" s="2" t="s">
        <v>2970</v>
      </c>
      <c r="C709" s="2" t="s">
        <v>17</v>
      </c>
      <c r="D709" s="2" t="s">
        <v>18</v>
      </c>
      <c r="E709" s="2" t="s">
        <v>2971</v>
      </c>
      <c r="F709" s="2" t="s">
        <v>2971</v>
      </c>
      <c r="G709" s="2" t="s">
        <v>2972</v>
      </c>
      <c r="H709" s="2" t="s">
        <v>2923</v>
      </c>
      <c r="I709" s="2" t="s">
        <v>588</v>
      </c>
      <c r="J709" s="2" t="s">
        <v>23</v>
      </c>
      <c r="K709" s="2" t="s">
        <v>113</v>
      </c>
      <c r="L709" s="7">
        <v>45414.0</v>
      </c>
      <c r="M709" s="2" t="s">
        <v>25</v>
      </c>
      <c r="N709" s="2" t="s">
        <v>26</v>
      </c>
      <c r="O709" s="2" t="s">
        <v>200</v>
      </c>
      <c r="P709" s="2" t="s">
        <v>36</v>
      </c>
    </row>
    <row r="710" ht="14.25" customHeight="1">
      <c r="A710" s="6">
        <v>7929760.0</v>
      </c>
      <c r="B710" s="2" t="s">
        <v>2973</v>
      </c>
      <c r="C710" s="2" t="s">
        <v>17</v>
      </c>
      <c r="D710" s="2" t="s">
        <v>18</v>
      </c>
      <c r="E710" s="2" t="s">
        <v>2974</v>
      </c>
      <c r="F710" s="2" t="s">
        <v>2974</v>
      </c>
      <c r="G710" s="2" t="s">
        <v>2975</v>
      </c>
      <c r="H710" s="2" t="s">
        <v>2923</v>
      </c>
      <c r="I710" s="2" t="s">
        <v>2819</v>
      </c>
      <c r="J710" s="2" t="s">
        <v>62</v>
      </c>
      <c r="K710" s="2" t="s">
        <v>24</v>
      </c>
      <c r="L710" s="7">
        <v>45925.0</v>
      </c>
      <c r="M710" s="2" t="s">
        <v>48</v>
      </c>
      <c r="N710" s="2" t="s">
        <v>35</v>
      </c>
      <c r="O710" s="2" t="s">
        <v>200</v>
      </c>
      <c r="P710" s="2" t="s">
        <v>194</v>
      </c>
    </row>
    <row r="711" ht="14.25" customHeight="1">
      <c r="A711" s="6">
        <v>1.3110081E7</v>
      </c>
      <c r="B711" s="2" t="s">
        <v>2976</v>
      </c>
      <c r="C711" s="2" t="s">
        <v>17</v>
      </c>
      <c r="D711" s="2" t="s">
        <v>18</v>
      </c>
      <c r="E711" s="2" t="s">
        <v>2977</v>
      </c>
      <c r="F711" s="2" t="s">
        <v>2977</v>
      </c>
      <c r="G711" s="2" t="s">
        <v>2978</v>
      </c>
      <c r="H711" s="2" t="s">
        <v>2923</v>
      </c>
      <c r="I711" s="2" t="s">
        <v>588</v>
      </c>
      <c r="J711" s="2" t="s">
        <v>23</v>
      </c>
      <c r="K711" s="2" t="s">
        <v>113</v>
      </c>
      <c r="L711" s="7">
        <v>44896.0</v>
      </c>
      <c r="M711" s="2" t="s">
        <v>25</v>
      </c>
      <c r="N711" s="2" t="s">
        <v>26</v>
      </c>
      <c r="O711" s="2" t="s">
        <v>27</v>
      </c>
      <c r="P711" s="2" t="s">
        <v>36</v>
      </c>
    </row>
    <row r="712" ht="14.25" customHeight="1">
      <c r="A712" s="6">
        <v>9297215.0</v>
      </c>
      <c r="B712" s="2" t="s">
        <v>2979</v>
      </c>
      <c r="C712" s="2" t="s">
        <v>17</v>
      </c>
      <c r="D712" s="2" t="s">
        <v>18</v>
      </c>
      <c r="E712" s="2" t="s">
        <v>2980</v>
      </c>
      <c r="F712" s="2" t="s">
        <v>2980</v>
      </c>
      <c r="G712" s="2" t="s">
        <v>2981</v>
      </c>
      <c r="H712" s="2" t="s">
        <v>2923</v>
      </c>
      <c r="I712" s="2" t="s">
        <v>588</v>
      </c>
      <c r="J712" s="2" t="s">
        <v>23</v>
      </c>
      <c r="K712" s="2" t="s">
        <v>113</v>
      </c>
      <c r="L712" s="7">
        <v>45293.0</v>
      </c>
      <c r="M712" s="2" t="s">
        <v>25</v>
      </c>
      <c r="N712" s="2" t="s">
        <v>26</v>
      </c>
      <c r="O712" s="2" t="s">
        <v>200</v>
      </c>
      <c r="P712" s="2" t="s">
        <v>36</v>
      </c>
    </row>
    <row r="713" ht="14.25" customHeight="1">
      <c r="A713" s="6">
        <v>9997765.0</v>
      </c>
      <c r="B713" s="2" t="s">
        <v>2982</v>
      </c>
      <c r="C713" s="2" t="s">
        <v>17</v>
      </c>
      <c r="D713" s="2" t="s">
        <v>167</v>
      </c>
      <c r="E713" s="2" t="s">
        <v>2983</v>
      </c>
      <c r="F713" s="2" t="s">
        <v>2983</v>
      </c>
      <c r="G713" s="2" t="s">
        <v>2984</v>
      </c>
      <c r="H713" s="2" t="s">
        <v>2923</v>
      </c>
      <c r="I713" s="2" t="s">
        <v>2985</v>
      </c>
      <c r="J713" s="2" t="s">
        <v>62</v>
      </c>
      <c r="K713" s="2" t="s">
        <v>24</v>
      </c>
      <c r="L713" s="7">
        <v>45932.0</v>
      </c>
      <c r="M713" s="2" t="s">
        <v>48</v>
      </c>
      <c r="N713" s="2" t="s">
        <v>35</v>
      </c>
      <c r="O713" s="2" t="s">
        <v>27</v>
      </c>
      <c r="P713" s="2" t="s">
        <v>28</v>
      </c>
    </row>
    <row r="714" ht="14.25" customHeight="1">
      <c r="A714" s="6">
        <v>9131514.0</v>
      </c>
      <c r="B714" s="2" t="s">
        <v>2986</v>
      </c>
      <c r="C714" s="2" t="s">
        <v>17</v>
      </c>
      <c r="D714" s="2" t="s">
        <v>57</v>
      </c>
      <c r="E714" s="2" t="s">
        <v>2987</v>
      </c>
      <c r="F714" s="2" t="s">
        <v>2987</v>
      </c>
      <c r="G714" s="2" t="s">
        <v>2988</v>
      </c>
      <c r="H714" s="2" t="s">
        <v>2923</v>
      </c>
      <c r="I714" s="2" t="s">
        <v>2558</v>
      </c>
      <c r="J714" s="2" t="s">
        <v>62</v>
      </c>
      <c r="K714" s="2" t="s">
        <v>24</v>
      </c>
      <c r="L714" s="7">
        <v>45932.0</v>
      </c>
      <c r="M714" s="2" t="s">
        <v>48</v>
      </c>
      <c r="N714" s="2" t="s">
        <v>35</v>
      </c>
      <c r="O714" s="2" t="s">
        <v>27</v>
      </c>
      <c r="P714" s="2" t="s">
        <v>28</v>
      </c>
    </row>
    <row r="715" ht="14.25" customHeight="1">
      <c r="A715" s="6">
        <v>2.0361819E7</v>
      </c>
      <c r="B715" s="2" t="s">
        <v>2989</v>
      </c>
      <c r="C715" s="2" t="s">
        <v>17</v>
      </c>
      <c r="D715" s="2" t="s">
        <v>38</v>
      </c>
      <c r="E715" s="2" t="s">
        <v>2990</v>
      </c>
      <c r="F715" s="2" t="s">
        <v>2990</v>
      </c>
      <c r="G715" s="2" t="s">
        <v>2991</v>
      </c>
      <c r="H715" s="2" t="s">
        <v>2923</v>
      </c>
      <c r="I715" s="2" t="s">
        <v>61</v>
      </c>
      <c r="J715" s="2" t="s">
        <v>62</v>
      </c>
      <c r="K715" s="2" t="s">
        <v>24</v>
      </c>
      <c r="L715" s="7">
        <v>45933.0</v>
      </c>
      <c r="M715" s="2" t="s">
        <v>25</v>
      </c>
      <c r="N715" s="2" t="s">
        <v>35</v>
      </c>
      <c r="O715" s="2" t="s">
        <v>27</v>
      </c>
      <c r="P715" s="2" t="s">
        <v>28</v>
      </c>
    </row>
    <row r="716" ht="14.25" customHeight="1">
      <c r="A716" s="6">
        <v>1.5517376E7</v>
      </c>
      <c r="B716" s="2" t="s">
        <v>2992</v>
      </c>
      <c r="C716" s="2" t="s">
        <v>17</v>
      </c>
      <c r="D716" s="2" t="s">
        <v>88</v>
      </c>
      <c r="E716" s="2" t="s">
        <v>2993</v>
      </c>
      <c r="F716" s="2" t="s">
        <v>2993</v>
      </c>
      <c r="G716" s="2" t="s">
        <v>2994</v>
      </c>
      <c r="H716" s="2" t="s">
        <v>2923</v>
      </c>
      <c r="I716" s="2" t="s">
        <v>588</v>
      </c>
      <c r="J716" s="2" t="s">
        <v>23</v>
      </c>
      <c r="K716" s="2" t="s">
        <v>24</v>
      </c>
      <c r="L716" s="7">
        <v>45931.0</v>
      </c>
      <c r="M716" s="2" t="s">
        <v>25</v>
      </c>
      <c r="N716" s="2" t="s">
        <v>26</v>
      </c>
      <c r="O716" s="2" t="s">
        <v>200</v>
      </c>
      <c r="P716" s="2" t="s">
        <v>28</v>
      </c>
    </row>
    <row r="717" ht="14.25" customHeight="1">
      <c r="A717" s="6">
        <v>1.0862869E7</v>
      </c>
      <c r="B717" s="2" t="s">
        <v>2995</v>
      </c>
      <c r="C717" s="2" t="s">
        <v>17</v>
      </c>
      <c r="D717" s="2" t="s">
        <v>167</v>
      </c>
      <c r="E717" s="2" t="s">
        <v>2996</v>
      </c>
      <c r="F717" s="2" t="s">
        <v>2996</v>
      </c>
      <c r="G717" s="2" t="s">
        <v>2997</v>
      </c>
      <c r="H717" s="2" t="s">
        <v>2923</v>
      </c>
      <c r="I717" s="2" t="s">
        <v>2599</v>
      </c>
      <c r="J717" s="2" t="s">
        <v>62</v>
      </c>
      <c r="K717" s="2" t="s">
        <v>24</v>
      </c>
      <c r="L717" s="7">
        <v>45940.0</v>
      </c>
      <c r="M717" s="2" t="s">
        <v>48</v>
      </c>
      <c r="N717" s="2" t="s">
        <v>35</v>
      </c>
      <c r="O717" s="2" t="s">
        <v>27</v>
      </c>
      <c r="P717" s="2" t="s">
        <v>28</v>
      </c>
    </row>
    <row r="718" ht="14.25" customHeight="1">
      <c r="A718" s="6">
        <v>1.2701729E7</v>
      </c>
      <c r="B718" s="2" t="s">
        <v>2998</v>
      </c>
      <c r="C718" s="2" t="s">
        <v>17</v>
      </c>
      <c r="D718" s="2" t="s">
        <v>167</v>
      </c>
      <c r="E718" s="2" t="s">
        <v>2999</v>
      </c>
      <c r="F718" s="2" t="s">
        <v>2999</v>
      </c>
      <c r="G718" s="2" t="s">
        <v>3000</v>
      </c>
      <c r="H718" s="2" t="s">
        <v>2923</v>
      </c>
      <c r="I718" s="2" t="s">
        <v>2558</v>
      </c>
      <c r="J718" s="2" t="s">
        <v>62</v>
      </c>
      <c r="K718" s="2" t="s">
        <v>24</v>
      </c>
      <c r="L718" s="7">
        <v>45940.0</v>
      </c>
      <c r="M718" s="2" t="s">
        <v>48</v>
      </c>
      <c r="N718" s="2" t="s">
        <v>35</v>
      </c>
      <c r="O718" s="2" t="s">
        <v>27</v>
      </c>
      <c r="P718" s="2" t="s">
        <v>28</v>
      </c>
    </row>
    <row r="719" ht="14.25" customHeight="1">
      <c r="A719" s="6">
        <v>1.4208952E7</v>
      </c>
      <c r="B719" s="2" t="s">
        <v>3001</v>
      </c>
      <c r="C719" s="2" t="s">
        <v>17</v>
      </c>
      <c r="D719" s="2" t="s">
        <v>831</v>
      </c>
      <c r="E719" s="2" t="s">
        <v>3002</v>
      </c>
      <c r="F719" s="2" t="s">
        <v>3002</v>
      </c>
      <c r="G719" s="2" t="s">
        <v>3003</v>
      </c>
      <c r="H719" s="2" t="s">
        <v>2923</v>
      </c>
      <c r="I719" s="2" t="s">
        <v>2608</v>
      </c>
      <c r="J719" s="2" t="s">
        <v>62</v>
      </c>
      <c r="K719" s="2" t="s">
        <v>24</v>
      </c>
      <c r="L719" s="7">
        <v>45940.0</v>
      </c>
      <c r="M719" s="2" t="s">
        <v>48</v>
      </c>
      <c r="N719" s="2" t="s">
        <v>35</v>
      </c>
      <c r="O719" s="2" t="s">
        <v>27</v>
      </c>
      <c r="P719" s="2" t="s">
        <v>28</v>
      </c>
    </row>
    <row r="720" ht="14.25" customHeight="1">
      <c r="A720" s="6">
        <v>1.8434108E7</v>
      </c>
      <c r="B720" s="2" t="s">
        <v>3004</v>
      </c>
      <c r="C720" s="2" t="s">
        <v>17</v>
      </c>
      <c r="D720" s="2" t="s">
        <v>57</v>
      </c>
      <c r="E720" s="2" t="s">
        <v>3005</v>
      </c>
      <c r="F720" s="2" t="s">
        <v>3005</v>
      </c>
      <c r="G720" s="2" t="s">
        <v>3006</v>
      </c>
      <c r="H720" s="2" t="s">
        <v>2923</v>
      </c>
      <c r="I720" s="2" t="s">
        <v>2608</v>
      </c>
      <c r="J720" s="2" t="s">
        <v>62</v>
      </c>
      <c r="K720" s="2" t="s">
        <v>24</v>
      </c>
      <c r="L720" s="7">
        <v>45940.0</v>
      </c>
      <c r="M720" s="2" t="s">
        <v>48</v>
      </c>
      <c r="N720" s="2" t="s">
        <v>35</v>
      </c>
      <c r="O720" s="2" t="s">
        <v>27</v>
      </c>
      <c r="P720" s="2" t="s">
        <v>28</v>
      </c>
    </row>
    <row r="721" ht="14.25" customHeight="1">
      <c r="A721" s="6">
        <v>1.1914274E7</v>
      </c>
      <c r="B721" s="2" t="s">
        <v>3007</v>
      </c>
      <c r="C721" s="2" t="s">
        <v>17</v>
      </c>
      <c r="D721" s="2" t="s">
        <v>38</v>
      </c>
      <c r="E721" s="2" t="s">
        <v>3008</v>
      </c>
      <c r="F721" s="2" t="s">
        <v>3008</v>
      </c>
      <c r="G721" s="2" t="s">
        <v>3009</v>
      </c>
      <c r="H721" s="2" t="s">
        <v>2923</v>
      </c>
      <c r="I721" s="2" t="s">
        <v>2591</v>
      </c>
      <c r="J721" s="2" t="s">
        <v>62</v>
      </c>
      <c r="K721" s="2" t="s">
        <v>24</v>
      </c>
      <c r="L721" s="7">
        <v>45940.0</v>
      </c>
      <c r="M721" s="2" t="s">
        <v>48</v>
      </c>
      <c r="N721" s="2" t="s">
        <v>35</v>
      </c>
      <c r="O721" s="2" t="s">
        <v>27</v>
      </c>
      <c r="P721" s="2" t="s">
        <v>28</v>
      </c>
    </row>
    <row r="722" ht="14.25" customHeight="1">
      <c r="A722" s="6">
        <v>1.8137569E7</v>
      </c>
      <c r="B722" s="2" t="s">
        <v>3010</v>
      </c>
      <c r="C722" s="2" t="s">
        <v>17</v>
      </c>
      <c r="D722" s="2" t="s">
        <v>88</v>
      </c>
      <c r="E722" s="2" t="s">
        <v>3011</v>
      </c>
      <c r="F722" s="2" t="s">
        <v>3011</v>
      </c>
      <c r="G722" s="2" t="s">
        <v>3012</v>
      </c>
      <c r="H722" s="2" t="s">
        <v>2923</v>
      </c>
      <c r="I722" s="2" t="s">
        <v>2591</v>
      </c>
      <c r="J722" s="2" t="s">
        <v>62</v>
      </c>
      <c r="K722" s="2" t="s">
        <v>24</v>
      </c>
      <c r="L722" s="7">
        <v>45943.0</v>
      </c>
      <c r="M722" s="2" t="s">
        <v>48</v>
      </c>
      <c r="N722" s="2" t="s">
        <v>35</v>
      </c>
      <c r="O722" s="2" t="s">
        <v>27</v>
      </c>
      <c r="P722" s="2" t="s">
        <v>28</v>
      </c>
    </row>
    <row r="723" ht="14.25" customHeight="1">
      <c r="A723" s="6">
        <v>1.7444551E7</v>
      </c>
      <c r="B723" s="2" t="s">
        <v>3013</v>
      </c>
      <c r="C723" s="2" t="s">
        <v>17</v>
      </c>
      <c r="D723" s="2" t="s">
        <v>18</v>
      </c>
      <c r="E723" s="2" t="s">
        <v>3014</v>
      </c>
      <c r="F723" s="2" t="s">
        <v>3014</v>
      </c>
      <c r="G723" s="2" t="s">
        <v>3015</v>
      </c>
      <c r="H723" s="2" t="s">
        <v>3016</v>
      </c>
      <c r="I723" s="2" t="s">
        <v>1028</v>
      </c>
      <c r="J723" s="2" t="s">
        <v>34</v>
      </c>
      <c r="K723" s="2" t="s">
        <v>113</v>
      </c>
      <c r="L723" s="7">
        <v>45689.0</v>
      </c>
      <c r="M723" s="2" t="s">
        <v>25</v>
      </c>
      <c r="N723" s="2" t="s">
        <v>35</v>
      </c>
      <c r="O723" s="2" t="s">
        <v>27</v>
      </c>
      <c r="P723" s="2" t="s">
        <v>36</v>
      </c>
    </row>
    <row r="724" ht="14.25" customHeight="1">
      <c r="A724" s="6">
        <v>9459618.0</v>
      </c>
      <c r="B724" s="2" t="s">
        <v>3017</v>
      </c>
      <c r="C724" s="2" t="s">
        <v>17</v>
      </c>
      <c r="D724" s="2" t="s">
        <v>18</v>
      </c>
      <c r="E724" s="2" t="s">
        <v>3018</v>
      </c>
      <c r="F724" s="2" t="s">
        <v>3018</v>
      </c>
      <c r="G724" s="2" t="s">
        <v>3019</v>
      </c>
      <c r="H724" s="2" t="s">
        <v>3016</v>
      </c>
      <c r="I724" s="2" t="s">
        <v>1028</v>
      </c>
      <c r="J724" s="2" t="s">
        <v>34</v>
      </c>
      <c r="K724" s="2" t="s">
        <v>113</v>
      </c>
      <c r="L724" s="7">
        <v>45432.0</v>
      </c>
      <c r="M724" s="2" t="s">
        <v>25</v>
      </c>
      <c r="N724" s="2" t="s">
        <v>35</v>
      </c>
      <c r="O724" s="2" t="s">
        <v>27</v>
      </c>
      <c r="P724" s="2" t="s">
        <v>36</v>
      </c>
    </row>
    <row r="725" ht="14.25" customHeight="1">
      <c r="A725" s="6">
        <v>1.4489312E7</v>
      </c>
      <c r="B725" s="2" t="s">
        <v>3020</v>
      </c>
      <c r="C725" s="2" t="s">
        <v>17</v>
      </c>
      <c r="D725" s="2" t="s">
        <v>18</v>
      </c>
      <c r="E725" s="2" t="s">
        <v>3021</v>
      </c>
      <c r="F725" s="2" t="s">
        <v>3021</v>
      </c>
      <c r="G725" s="2" t="s">
        <v>3022</v>
      </c>
      <c r="H725" s="2" t="s">
        <v>3023</v>
      </c>
      <c r="I725" s="2" t="s">
        <v>2819</v>
      </c>
      <c r="J725" s="2" t="s">
        <v>62</v>
      </c>
      <c r="K725" s="2" t="s">
        <v>113</v>
      </c>
      <c r="L725" s="7">
        <v>40513.0</v>
      </c>
      <c r="M725" s="2" t="s">
        <v>25</v>
      </c>
      <c r="N725" s="2" t="s">
        <v>35</v>
      </c>
      <c r="O725" s="2" t="s">
        <v>200</v>
      </c>
      <c r="P725" s="2" t="s">
        <v>36</v>
      </c>
    </row>
    <row r="726" ht="14.25" customHeight="1">
      <c r="A726" s="6">
        <v>1.5517832E7</v>
      </c>
      <c r="B726" s="2" t="s">
        <v>3024</v>
      </c>
      <c r="C726" s="2" t="s">
        <v>17</v>
      </c>
      <c r="D726" s="2" t="s">
        <v>18</v>
      </c>
      <c r="E726" s="2" t="s">
        <v>3025</v>
      </c>
      <c r="F726" s="2" t="s">
        <v>3025</v>
      </c>
      <c r="G726" s="2" t="s">
        <v>3026</v>
      </c>
      <c r="H726" s="2" t="s">
        <v>3023</v>
      </c>
      <c r="I726" s="2" t="s">
        <v>2819</v>
      </c>
      <c r="J726" s="2" t="s">
        <v>62</v>
      </c>
      <c r="K726" s="2" t="s">
        <v>113</v>
      </c>
      <c r="L726" s="7">
        <v>44441.0</v>
      </c>
      <c r="M726" s="2" t="s">
        <v>25</v>
      </c>
      <c r="N726" s="2" t="s">
        <v>35</v>
      </c>
      <c r="O726" s="2" t="s">
        <v>200</v>
      </c>
      <c r="P726" s="2" t="s">
        <v>36</v>
      </c>
    </row>
    <row r="727" ht="14.25" customHeight="1">
      <c r="A727" s="6">
        <v>2.0194644E7</v>
      </c>
      <c r="B727" s="2" t="s">
        <v>3027</v>
      </c>
      <c r="C727" s="2" t="s">
        <v>17</v>
      </c>
      <c r="D727" s="2" t="s">
        <v>18</v>
      </c>
      <c r="E727" s="2" t="s">
        <v>3028</v>
      </c>
      <c r="F727" s="2" t="s">
        <v>3028</v>
      </c>
      <c r="G727" s="2" t="s">
        <v>3029</v>
      </c>
      <c r="H727" s="2" t="s">
        <v>3023</v>
      </c>
      <c r="I727" s="2" t="s">
        <v>2819</v>
      </c>
      <c r="J727" s="2" t="s">
        <v>62</v>
      </c>
      <c r="K727" s="2" t="s">
        <v>113</v>
      </c>
      <c r="L727" s="7">
        <v>44440.0</v>
      </c>
      <c r="M727" s="2" t="s">
        <v>25</v>
      </c>
      <c r="N727" s="2" t="s">
        <v>35</v>
      </c>
      <c r="O727" s="2" t="s">
        <v>200</v>
      </c>
      <c r="P727" s="2" t="s">
        <v>36</v>
      </c>
    </row>
    <row r="728" ht="14.25" customHeight="1">
      <c r="A728" s="6">
        <v>1.9107297E7</v>
      </c>
      <c r="B728" s="2" t="s">
        <v>3030</v>
      </c>
      <c r="C728" s="2" t="s">
        <v>17</v>
      </c>
      <c r="D728" s="2" t="s">
        <v>88</v>
      </c>
      <c r="E728" s="2" t="s">
        <v>3031</v>
      </c>
      <c r="F728" s="2" t="s">
        <v>3031</v>
      </c>
      <c r="G728" s="2" t="s">
        <v>3032</v>
      </c>
      <c r="H728" s="2" t="s">
        <v>3033</v>
      </c>
      <c r="I728" s="2" t="s">
        <v>2540</v>
      </c>
      <c r="J728" s="2" t="s">
        <v>34</v>
      </c>
      <c r="K728" s="2" t="s">
        <v>113</v>
      </c>
      <c r="L728" s="7">
        <v>45901.0</v>
      </c>
      <c r="M728" s="2" t="s">
        <v>25</v>
      </c>
      <c r="N728" s="2" t="s">
        <v>35</v>
      </c>
      <c r="O728" s="2" t="s">
        <v>27</v>
      </c>
      <c r="P728" s="2" t="s">
        <v>36</v>
      </c>
    </row>
    <row r="729" ht="14.25" customHeight="1">
      <c r="A729" s="6">
        <v>1.8418711E7</v>
      </c>
      <c r="B729" s="2" t="s">
        <v>3034</v>
      </c>
      <c r="C729" s="2" t="s">
        <v>17</v>
      </c>
      <c r="D729" s="2" t="s">
        <v>18</v>
      </c>
      <c r="E729" s="2" t="s">
        <v>3035</v>
      </c>
      <c r="F729" s="2" t="s">
        <v>3035</v>
      </c>
      <c r="G729" s="2" t="s">
        <v>3036</v>
      </c>
      <c r="H729" s="2" t="s">
        <v>3033</v>
      </c>
      <c r="I729" s="2" t="s">
        <v>2540</v>
      </c>
      <c r="J729" s="2" t="s">
        <v>34</v>
      </c>
      <c r="K729" s="2" t="s">
        <v>113</v>
      </c>
      <c r="L729" s="7">
        <v>44886.0</v>
      </c>
      <c r="M729" s="2" t="s">
        <v>25</v>
      </c>
      <c r="N729" s="2" t="s">
        <v>35</v>
      </c>
      <c r="O729" s="2" t="s">
        <v>27</v>
      </c>
      <c r="P729" s="2" t="s">
        <v>36</v>
      </c>
    </row>
    <row r="730" ht="14.25" customHeight="1">
      <c r="A730" s="6">
        <v>1.3210188E7</v>
      </c>
      <c r="B730" s="2" t="s">
        <v>3037</v>
      </c>
      <c r="C730" s="2" t="s">
        <v>17</v>
      </c>
      <c r="D730" s="2" t="s">
        <v>18</v>
      </c>
      <c r="E730" s="2" t="s">
        <v>3038</v>
      </c>
      <c r="F730" s="2" t="s">
        <v>3038</v>
      </c>
      <c r="G730" s="2" t="s">
        <v>3039</v>
      </c>
      <c r="H730" s="2" t="s">
        <v>3033</v>
      </c>
      <c r="I730" s="2" t="s">
        <v>2540</v>
      </c>
      <c r="J730" s="2" t="s">
        <v>34</v>
      </c>
      <c r="K730" s="2" t="s">
        <v>113</v>
      </c>
      <c r="L730" s="7">
        <v>45418.0</v>
      </c>
      <c r="M730" s="2" t="s">
        <v>25</v>
      </c>
      <c r="N730" s="2" t="s">
        <v>35</v>
      </c>
      <c r="O730" s="2" t="s">
        <v>27</v>
      </c>
      <c r="P730" s="2" t="s">
        <v>36</v>
      </c>
    </row>
    <row r="731" ht="14.25" customHeight="1">
      <c r="A731" s="6">
        <v>1.0372218E7</v>
      </c>
      <c r="B731" s="2" t="s">
        <v>3040</v>
      </c>
      <c r="C731" s="2" t="s">
        <v>17</v>
      </c>
      <c r="D731" s="2" t="s">
        <v>18</v>
      </c>
      <c r="E731" s="2" t="s">
        <v>3041</v>
      </c>
      <c r="F731" s="2" t="s">
        <v>3041</v>
      </c>
      <c r="G731" s="2" t="s">
        <v>3042</v>
      </c>
      <c r="H731" s="2" t="s">
        <v>3033</v>
      </c>
      <c r="I731" s="2" t="s">
        <v>2540</v>
      </c>
      <c r="J731" s="2" t="s">
        <v>34</v>
      </c>
      <c r="K731" s="2" t="s">
        <v>113</v>
      </c>
      <c r="L731" s="7">
        <v>40513.0</v>
      </c>
      <c r="M731" s="2" t="s">
        <v>25</v>
      </c>
      <c r="N731" s="2" t="s">
        <v>35</v>
      </c>
      <c r="O731" s="2" t="s">
        <v>27</v>
      </c>
      <c r="P731" s="2" t="s">
        <v>36</v>
      </c>
    </row>
    <row r="732" ht="14.25" customHeight="1">
      <c r="A732" s="6">
        <v>1.3513616E7</v>
      </c>
      <c r="B732" s="2" t="s">
        <v>3043</v>
      </c>
      <c r="C732" s="2" t="s">
        <v>17</v>
      </c>
      <c r="D732" s="2" t="s">
        <v>18</v>
      </c>
      <c r="E732" s="2" t="s">
        <v>3044</v>
      </c>
      <c r="F732" s="2" t="s">
        <v>3044</v>
      </c>
      <c r="G732" s="2" t="s">
        <v>3045</v>
      </c>
      <c r="H732" s="2" t="s">
        <v>3033</v>
      </c>
      <c r="I732" s="2" t="s">
        <v>2540</v>
      </c>
      <c r="J732" s="2" t="s">
        <v>34</v>
      </c>
      <c r="K732" s="2" t="s">
        <v>113</v>
      </c>
      <c r="L732" s="7">
        <v>44512.0</v>
      </c>
      <c r="M732" s="2" t="s">
        <v>25</v>
      </c>
      <c r="N732" s="2" t="s">
        <v>35</v>
      </c>
      <c r="O732" s="2" t="s">
        <v>27</v>
      </c>
      <c r="P732" s="2" t="s">
        <v>36</v>
      </c>
    </row>
    <row r="733" ht="14.25" customHeight="1">
      <c r="A733" s="6">
        <v>9995034.0</v>
      </c>
      <c r="B733" s="2" t="s">
        <v>3046</v>
      </c>
      <c r="C733" s="2" t="s">
        <v>17</v>
      </c>
      <c r="D733" s="2" t="s">
        <v>18</v>
      </c>
      <c r="E733" s="2" t="s">
        <v>3047</v>
      </c>
      <c r="F733" s="2" t="s">
        <v>3047</v>
      </c>
      <c r="G733" s="2" t="s">
        <v>3048</v>
      </c>
      <c r="H733" s="2" t="s">
        <v>3033</v>
      </c>
      <c r="I733" s="2" t="s">
        <v>2540</v>
      </c>
      <c r="J733" s="2" t="s">
        <v>34</v>
      </c>
      <c r="K733" s="2" t="s">
        <v>113</v>
      </c>
      <c r="L733" s="7">
        <v>40513.0</v>
      </c>
      <c r="M733" s="2" t="s">
        <v>25</v>
      </c>
      <c r="N733" s="2" t="s">
        <v>35</v>
      </c>
      <c r="O733" s="2" t="s">
        <v>27</v>
      </c>
      <c r="P733" s="2" t="s">
        <v>36</v>
      </c>
    </row>
    <row r="734" ht="14.25" customHeight="1">
      <c r="A734" s="6">
        <v>1.9815829E7</v>
      </c>
      <c r="B734" s="2" t="s">
        <v>3049</v>
      </c>
      <c r="C734" s="2" t="s">
        <v>17</v>
      </c>
      <c r="D734" s="2" t="s">
        <v>57</v>
      </c>
      <c r="E734" s="2" t="s">
        <v>3050</v>
      </c>
      <c r="F734" s="2" t="s">
        <v>3050</v>
      </c>
      <c r="G734" s="2" t="s">
        <v>3051</v>
      </c>
      <c r="H734" s="2" t="s">
        <v>85</v>
      </c>
      <c r="I734" s="2" t="s">
        <v>101</v>
      </c>
      <c r="J734" s="2" t="s">
        <v>62</v>
      </c>
      <c r="K734" s="2" t="s">
        <v>24</v>
      </c>
      <c r="L734" s="7">
        <v>45933.0</v>
      </c>
      <c r="M734" s="2" t="s">
        <v>25</v>
      </c>
      <c r="N734" s="2" t="s">
        <v>35</v>
      </c>
      <c r="O734" s="2" t="s">
        <v>27</v>
      </c>
      <c r="P734" s="2" t="s">
        <v>28</v>
      </c>
    </row>
    <row r="735" ht="14.25" customHeight="1">
      <c r="A735" s="6">
        <v>1.8500986E7</v>
      </c>
      <c r="B735" s="2" t="s">
        <v>3052</v>
      </c>
      <c r="C735" s="2" t="s">
        <v>17</v>
      </c>
      <c r="D735" s="2" t="s">
        <v>167</v>
      </c>
      <c r="E735" s="2" t="s">
        <v>3053</v>
      </c>
      <c r="F735" s="2" t="s">
        <v>3054</v>
      </c>
      <c r="G735" s="2" t="s">
        <v>3055</v>
      </c>
      <c r="H735" s="2" t="s">
        <v>85</v>
      </c>
      <c r="I735" s="2" t="s">
        <v>86</v>
      </c>
      <c r="J735" s="2" t="s">
        <v>62</v>
      </c>
      <c r="K735" s="2" t="s">
        <v>24</v>
      </c>
      <c r="L735" s="7">
        <v>45933.0</v>
      </c>
      <c r="M735" s="2" t="s">
        <v>25</v>
      </c>
      <c r="N735" s="2" t="s">
        <v>35</v>
      </c>
      <c r="O735" s="2" t="s">
        <v>27</v>
      </c>
      <c r="P735" s="2" t="s">
        <v>28</v>
      </c>
    </row>
    <row r="736" ht="14.25" customHeight="1">
      <c r="A736" s="6">
        <v>1.3959135E7</v>
      </c>
      <c r="B736" s="2" t="s">
        <v>3056</v>
      </c>
      <c r="C736" s="2" t="s">
        <v>17</v>
      </c>
      <c r="D736" s="2" t="s">
        <v>88</v>
      </c>
      <c r="E736" s="2" t="s">
        <v>3057</v>
      </c>
      <c r="F736" s="2" t="s">
        <v>3057</v>
      </c>
      <c r="G736" s="2" t="s">
        <v>3058</v>
      </c>
      <c r="H736" s="2" t="s">
        <v>85</v>
      </c>
      <c r="I736" s="2" t="s">
        <v>105</v>
      </c>
      <c r="J736" s="2" t="s">
        <v>62</v>
      </c>
      <c r="K736" s="2" t="s">
        <v>24</v>
      </c>
      <c r="L736" s="7">
        <v>45933.0</v>
      </c>
      <c r="M736" s="2" t="s">
        <v>25</v>
      </c>
      <c r="N736" s="2" t="s">
        <v>35</v>
      </c>
      <c r="O736" s="2" t="s">
        <v>27</v>
      </c>
      <c r="P736" s="2" t="s">
        <v>28</v>
      </c>
    </row>
    <row r="737" ht="14.25" customHeight="1">
      <c r="A737" s="6">
        <v>1.6228945E7</v>
      </c>
      <c r="B737" s="2" t="s">
        <v>3059</v>
      </c>
      <c r="C737" s="2" t="s">
        <v>17</v>
      </c>
      <c r="D737" s="2" t="s">
        <v>57</v>
      </c>
      <c r="E737" s="2" t="s">
        <v>3060</v>
      </c>
      <c r="F737" s="2" t="s">
        <v>3060</v>
      </c>
      <c r="G737" s="2" t="s">
        <v>3061</v>
      </c>
      <c r="H737" s="2" t="s">
        <v>85</v>
      </c>
      <c r="I737" s="2" t="s">
        <v>86</v>
      </c>
      <c r="J737" s="2" t="s">
        <v>62</v>
      </c>
      <c r="K737" s="2" t="s">
        <v>24</v>
      </c>
      <c r="L737" s="7">
        <v>45933.0</v>
      </c>
      <c r="M737" s="2" t="s">
        <v>25</v>
      </c>
      <c r="N737" s="2" t="s">
        <v>35</v>
      </c>
      <c r="O737" s="2" t="s">
        <v>27</v>
      </c>
      <c r="P737" s="2" t="s">
        <v>28</v>
      </c>
    </row>
    <row r="738" ht="14.25" customHeight="1">
      <c r="A738" s="6">
        <v>1.862641E7</v>
      </c>
      <c r="B738" s="2" t="s">
        <v>3062</v>
      </c>
      <c r="C738" s="2" t="s">
        <v>17</v>
      </c>
      <c r="D738" s="2" t="s">
        <v>38</v>
      </c>
      <c r="E738" s="2" t="s">
        <v>3063</v>
      </c>
      <c r="F738" s="2" t="s">
        <v>3063</v>
      </c>
      <c r="G738" s="2" t="s">
        <v>3064</v>
      </c>
      <c r="H738" s="2" t="s">
        <v>127</v>
      </c>
      <c r="I738" s="2" t="s">
        <v>622</v>
      </c>
      <c r="J738" s="2" t="s">
        <v>62</v>
      </c>
      <c r="K738" s="2" t="s">
        <v>630</v>
      </c>
      <c r="L738" s="7">
        <v>45621.0</v>
      </c>
      <c r="M738" s="2" t="s">
        <v>48</v>
      </c>
      <c r="N738" s="2" t="s">
        <v>35</v>
      </c>
      <c r="O738" s="2" t="s">
        <v>27</v>
      </c>
      <c r="P738" s="2" t="s">
        <v>28</v>
      </c>
    </row>
    <row r="739" ht="14.25" customHeight="1">
      <c r="A739" s="6">
        <v>1.4060194E7</v>
      </c>
      <c r="B739" s="2" t="s">
        <v>3065</v>
      </c>
      <c r="C739" s="2" t="s">
        <v>17</v>
      </c>
      <c r="D739" s="2" t="s">
        <v>38</v>
      </c>
      <c r="E739" s="2" t="s">
        <v>3066</v>
      </c>
      <c r="F739" s="2" t="s">
        <v>3066</v>
      </c>
      <c r="G739" s="2" t="s">
        <v>3067</v>
      </c>
      <c r="H739" s="2" t="s">
        <v>127</v>
      </c>
      <c r="I739" s="2" t="s">
        <v>3068</v>
      </c>
      <c r="J739" s="2" t="s">
        <v>62</v>
      </c>
      <c r="K739" s="2" t="s">
        <v>630</v>
      </c>
      <c r="L739" s="7">
        <v>45890.0</v>
      </c>
      <c r="M739" s="2" t="s">
        <v>48</v>
      </c>
      <c r="N739" s="2" t="s">
        <v>35</v>
      </c>
      <c r="O739" s="2" t="s">
        <v>200</v>
      </c>
      <c r="P739" s="2" t="s">
        <v>194</v>
      </c>
    </row>
    <row r="740" ht="14.25" customHeight="1">
      <c r="A740" s="6">
        <v>2.003308E7</v>
      </c>
      <c r="B740" s="2" t="s">
        <v>3069</v>
      </c>
      <c r="C740" s="2" t="s">
        <v>17</v>
      </c>
      <c r="D740" s="2" t="s">
        <v>38</v>
      </c>
      <c r="E740" s="2" t="s">
        <v>3070</v>
      </c>
      <c r="F740" s="2" t="s">
        <v>3070</v>
      </c>
      <c r="G740" s="2" t="s">
        <v>3071</v>
      </c>
      <c r="H740" s="2" t="s">
        <v>127</v>
      </c>
      <c r="I740" s="2" t="s">
        <v>3068</v>
      </c>
      <c r="J740" s="2" t="s">
        <v>62</v>
      </c>
      <c r="K740" s="2" t="s">
        <v>630</v>
      </c>
      <c r="L740" s="7">
        <v>45890.0</v>
      </c>
      <c r="M740" s="2" t="s">
        <v>48</v>
      </c>
      <c r="N740" s="2" t="s">
        <v>35</v>
      </c>
      <c r="O740" s="2" t="s">
        <v>200</v>
      </c>
      <c r="P740" s="2" t="s">
        <v>194</v>
      </c>
    </row>
    <row r="741" ht="14.25" customHeight="1">
      <c r="A741" s="6">
        <v>1.4533295E7</v>
      </c>
      <c r="B741" s="2" t="s">
        <v>3072</v>
      </c>
      <c r="C741" s="2" t="s">
        <v>17</v>
      </c>
      <c r="D741" s="2" t="s">
        <v>38</v>
      </c>
      <c r="E741" s="2" t="s">
        <v>3073</v>
      </c>
      <c r="F741" s="2" t="s">
        <v>3073</v>
      </c>
      <c r="G741" s="2" t="s">
        <v>3074</v>
      </c>
      <c r="H741" s="2" t="s">
        <v>127</v>
      </c>
      <c r="I741" s="2" t="s">
        <v>3068</v>
      </c>
      <c r="J741" s="2" t="s">
        <v>62</v>
      </c>
      <c r="K741" s="2" t="s">
        <v>630</v>
      </c>
      <c r="L741" s="7">
        <v>45890.0</v>
      </c>
      <c r="M741" s="2" t="s">
        <v>48</v>
      </c>
      <c r="N741" s="2" t="s">
        <v>35</v>
      </c>
      <c r="O741" s="2" t="s">
        <v>200</v>
      </c>
      <c r="P741" s="2" t="s">
        <v>194</v>
      </c>
    </row>
    <row r="742" ht="14.25" customHeight="1">
      <c r="A742" s="6">
        <v>1.7862768E7</v>
      </c>
      <c r="B742" s="2" t="s">
        <v>3075</v>
      </c>
      <c r="C742" s="2" t="s">
        <v>17</v>
      </c>
      <c r="D742" s="2" t="s">
        <v>38</v>
      </c>
      <c r="E742" s="2" t="s">
        <v>3076</v>
      </c>
      <c r="F742" s="2" t="s">
        <v>3076</v>
      </c>
      <c r="G742" s="2" t="s">
        <v>3077</v>
      </c>
      <c r="H742" s="2" t="s">
        <v>127</v>
      </c>
      <c r="I742" s="2" t="s">
        <v>2599</v>
      </c>
      <c r="J742" s="2" t="s">
        <v>62</v>
      </c>
      <c r="K742" s="2" t="s">
        <v>630</v>
      </c>
      <c r="L742" s="7">
        <v>45600.0</v>
      </c>
      <c r="M742" s="2" t="s">
        <v>48</v>
      </c>
      <c r="N742" s="2" t="s">
        <v>35</v>
      </c>
      <c r="O742" s="2" t="s">
        <v>27</v>
      </c>
      <c r="P742" s="2" t="s">
        <v>28</v>
      </c>
    </row>
    <row r="743" ht="14.25" customHeight="1">
      <c r="A743" s="6">
        <v>1.0639924E7</v>
      </c>
      <c r="B743" s="2" t="s">
        <v>3078</v>
      </c>
      <c r="C743" s="2" t="s">
        <v>17</v>
      </c>
      <c r="D743" s="2" t="s">
        <v>57</v>
      </c>
      <c r="E743" s="2" t="s">
        <v>3079</v>
      </c>
      <c r="F743" s="2" t="s">
        <v>3079</v>
      </c>
      <c r="G743" s="2" t="s">
        <v>3080</v>
      </c>
      <c r="H743" s="2" t="s">
        <v>127</v>
      </c>
      <c r="I743" s="2" t="s">
        <v>3068</v>
      </c>
      <c r="J743" s="2" t="s">
        <v>62</v>
      </c>
      <c r="K743" s="2" t="s">
        <v>630</v>
      </c>
      <c r="L743" s="7">
        <v>45890.0</v>
      </c>
      <c r="M743" s="2" t="s">
        <v>48</v>
      </c>
      <c r="N743" s="2" t="s">
        <v>35</v>
      </c>
      <c r="O743" s="2" t="s">
        <v>200</v>
      </c>
      <c r="P743" s="2" t="s">
        <v>194</v>
      </c>
    </row>
    <row r="744" ht="14.25" customHeight="1">
      <c r="A744" s="6">
        <v>1.6873892E7</v>
      </c>
      <c r="B744" s="2" t="s">
        <v>3081</v>
      </c>
      <c r="C744" s="2" t="s">
        <v>17</v>
      </c>
      <c r="D744" s="2" t="s">
        <v>57</v>
      </c>
      <c r="E744" s="2" t="s">
        <v>3082</v>
      </c>
      <c r="F744" s="2" t="s">
        <v>3082</v>
      </c>
      <c r="G744" s="2" t="s">
        <v>3083</v>
      </c>
      <c r="H744" s="2" t="s">
        <v>127</v>
      </c>
      <c r="I744" s="2" t="s">
        <v>3068</v>
      </c>
      <c r="J744" s="2" t="s">
        <v>62</v>
      </c>
      <c r="K744" s="2" t="s">
        <v>630</v>
      </c>
      <c r="L744" s="7">
        <v>45890.0</v>
      </c>
      <c r="M744" s="2" t="s">
        <v>48</v>
      </c>
      <c r="N744" s="2" t="s">
        <v>35</v>
      </c>
      <c r="O744" s="2" t="s">
        <v>200</v>
      </c>
      <c r="P744" s="2" t="s">
        <v>194</v>
      </c>
    </row>
    <row r="745" ht="14.25" customHeight="1">
      <c r="A745" s="6">
        <v>1.463815E7</v>
      </c>
      <c r="B745" s="2" t="s">
        <v>3084</v>
      </c>
      <c r="C745" s="2" t="s">
        <v>17</v>
      </c>
      <c r="D745" s="2" t="s">
        <v>57</v>
      </c>
      <c r="E745" s="2" t="s">
        <v>3085</v>
      </c>
      <c r="F745" s="2" t="s">
        <v>3085</v>
      </c>
      <c r="G745" s="2" t="s">
        <v>3086</v>
      </c>
      <c r="H745" s="2" t="s">
        <v>127</v>
      </c>
      <c r="I745" s="2" t="s">
        <v>3068</v>
      </c>
      <c r="J745" s="2" t="s">
        <v>62</v>
      </c>
      <c r="K745" s="2" t="s">
        <v>630</v>
      </c>
      <c r="L745" s="7">
        <v>45890.0</v>
      </c>
      <c r="M745" s="2" t="s">
        <v>48</v>
      </c>
      <c r="N745" s="2" t="s">
        <v>35</v>
      </c>
      <c r="O745" s="2" t="s">
        <v>200</v>
      </c>
      <c r="P745" s="2" t="s">
        <v>194</v>
      </c>
    </row>
    <row r="746" ht="14.25" customHeight="1">
      <c r="A746" s="6">
        <v>1.9120791E7</v>
      </c>
      <c r="B746" s="2" t="s">
        <v>3087</v>
      </c>
      <c r="C746" s="2" t="s">
        <v>17</v>
      </c>
      <c r="D746" s="2" t="s">
        <v>167</v>
      </c>
      <c r="E746" s="2" t="s">
        <v>3088</v>
      </c>
      <c r="F746" s="2" t="s">
        <v>3088</v>
      </c>
      <c r="G746" s="2" t="s">
        <v>3089</v>
      </c>
      <c r="H746" s="2" t="s">
        <v>127</v>
      </c>
      <c r="I746" s="2" t="s">
        <v>622</v>
      </c>
      <c r="J746" s="2" t="s">
        <v>62</v>
      </c>
      <c r="K746" s="2" t="s">
        <v>630</v>
      </c>
      <c r="L746" s="7">
        <v>45600.0</v>
      </c>
      <c r="M746" s="2" t="s">
        <v>48</v>
      </c>
      <c r="N746" s="2" t="s">
        <v>35</v>
      </c>
      <c r="O746" s="2" t="s">
        <v>27</v>
      </c>
      <c r="P746" s="2" t="s">
        <v>28</v>
      </c>
    </row>
    <row r="747" ht="14.25" customHeight="1">
      <c r="A747" s="6">
        <v>1.2926809E7</v>
      </c>
      <c r="B747" s="2" t="s">
        <v>3090</v>
      </c>
      <c r="C747" s="2" t="s">
        <v>17</v>
      </c>
      <c r="D747" s="2" t="s">
        <v>57</v>
      </c>
      <c r="E747" s="2" t="s">
        <v>3091</v>
      </c>
      <c r="F747" s="2" t="s">
        <v>3091</v>
      </c>
      <c r="G747" s="2" t="s">
        <v>3092</v>
      </c>
      <c r="H747" s="2" t="s">
        <v>127</v>
      </c>
      <c r="I747" s="2" t="s">
        <v>3068</v>
      </c>
      <c r="J747" s="2" t="s">
        <v>62</v>
      </c>
      <c r="K747" s="2" t="s">
        <v>630</v>
      </c>
      <c r="L747" s="7">
        <v>45890.0</v>
      </c>
      <c r="M747" s="2" t="s">
        <v>48</v>
      </c>
      <c r="N747" s="2" t="s">
        <v>35</v>
      </c>
      <c r="O747" s="2" t="s">
        <v>200</v>
      </c>
      <c r="P747" s="2" t="s">
        <v>194</v>
      </c>
    </row>
    <row r="748" ht="14.25" customHeight="1">
      <c r="A748" s="6">
        <v>2.0613586E7</v>
      </c>
      <c r="B748" s="2" t="s">
        <v>3093</v>
      </c>
      <c r="C748" s="2" t="s">
        <v>17</v>
      </c>
      <c r="D748" s="2" t="s">
        <v>18</v>
      </c>
      <c r="E748" s="2" t="s">
        <v>3094</v>
      </c>
      <c r="F748" s="2" t="s">
        <v>3094</v>
      </c>
      <c r="G748" s="2" t="s">
        <v>3095</v>
      </c>
      <c r="H748" s="2" t="s">
        <v>127</v>
      </c>
      <c r="I748" s="2" t="s">
        <v>622</v>
      </c>
      <c r="J748" s="2" t="s">
        <v>62</v>
      </c>
      <c r="K748" s="2" t="s">
        <v>630</v>
      </c>
      <c r="L748" s="7">
        <v>45754.0</v>
      </c>
      <c r="M748" s="2" t="s">
        <v>48</v>
      </c>
      <c r="N748" s="2" t="s">
        <v>35</v>
      </c>
      <c r="O748" s="2" t="s">
        <v>27</v>
      </c>
      <c r="P748" s="2" t="s">
        <v>28</v>
      </c>
    </row>
    <row r="749" ht="14.25" customHeight="1">
      <c r="A749" s="6">
        <v>7887183.0</v>
      </c>
      <c r="B749" s="2" t="s">
        <v>3096</v>
      </c>
      <c r="C749" s="2" t="s">
        <v>17</v>
      </c>
      <c r="D749" s="2" t="s">
        <v>831</v>
      </c>
      <c r="E749" s="2" t="s">
        <v>3097</v>
      </c>
      <c r="F749" s="2" t="s">
        <v>3097</v>
      </c>
      <c r="G749" s="2" t="s">
        <v>3098</v>
      </c>
      <c r="H749" s="2" t="s">
        <v>127</v>
      </c>
      <c r="I749" s="2" t="s">
        <v>3068</v>
      </c>
      <c r="J749" s="2" t="s">
        <v>62</v>
      </c>
      <c r="K749" s="2" t="s">
        <v>630</v>
      </c>
      <c r="L749" s="7">
        <v>45890.0</v>
      </c>
      <c r="M749" s="2" t="s">
        <v>48</v>
      </c>
      <c r="N749" s="2" t="s">
        <v>35</v>
      </c>
      <c r="O749" s="2" t="s">
        <v>200</v>
      </c>
      <c r="P749" s="2" t="s">
        <v>194</v>
      </c>
    </row>
    <row r="750" ht="14.25" customHeight="1">
      <c r="A750" s="6">
        <v>9554554.0</v>
      </c>
      <c r="B750" s="2" t="s">
        <v>3099</v>
      </c>
      <c r="C750" s="2" t="s">
        <v>17</v>
      </c>
      <c r="D750" s="2" t="s">
        <v>831</v>
      </c>
      <c r="E750" s="2" t="s">
        <v>3100</v>
      </c>
      <c r="F750" s="2" t="s">
        <v>3100</v>
      </c>
      <c r="G750" s="2" t="s">
        <v>3101</v>
      </c>
      <c r="H750" s="2" t="s">
        <v>127</v>
      </c>
      <c r="I750" s="2" t="s">
        <v>3068</v>
      </c>
      <c r="J750" s="2" t="s">
        <v>62</v>
      </c>
      <c r="K750" s="2" t="s">
        <v>630</v>
      </c>
      <c r="L750" s="7">
        <v>45890.0</v>
      </c>
      <c r="M750" s="2" t="s">
        <v>48</v>
      </c>
      <c r="N750" s="2" t="s">
        <v>35</v>
      </c>
      <c r="O750" s="2" t="s">
        <v>200</v>
      </c>
      <c r="P750" s="2" t="s">
        <v>194</v>
      </c>
    </row>
    <row r="751" ht="14.25" customHeight="1">
      <c r="A751" s="6">
        <v>1.4059909E7</v>
      </c>
      <c r="B751" s="2" t="s">
        <v>3102</v>
      </c>
      <c r="C751" s="2" t="s">
        <v>17</v>
      </c>
      <c r="D751" s="2" t="s">
        <v>831</v>
      </c>
      <c r="E751" s="2" t="s">
        <v>3103</v>
      </c>
      <c r="F751" s="2" t="s">
        <v>3103</v>
      </c>
      <c r="G751" s="2" t="s">
        <v>3104</v>
      </c>
      <c r="H751" s="2" t="s">
        <v>127</v>
      </c>
      <c r="I751" s="2" t="s">
        <v>3068</v>
      </c>
      <c r="J751" s="2" t="s">
        <v>62</v>
      </c>
      <c r="K751" s="2" t="s">
        <v>630</v>
      </c>
      <c r="L751" s="7">
        <v>45890.0</v>
      </c>
      <c r="M751" s="2" t="s">
        <v>48</v>
      </c>
      <c r="N751" s="2" t="s">
        <v>35</v>
      </c>
      <c r="O751" s="2" t="s">
        <v>200</v>
      </c>
      <c r="P751" s="2" t="s">
        <v>194</v>
      </c>
    </row>
    <row r="752" ht="14.25" customHeight="1">
      <c r="A752" s="6">
        <v>9954004.0</v>
      </c>
      <c r="B752" s="2" t="s">
        <v>3105</v>
      </c>
      <c r="C752" s="2" t="s">
        <v>17</v>
      </c>
      <c r="D752" s="2" t="s">
        <v>831</v>
      </c>
      <c r="E752" s="2" t="s">
        <v>3106</v>
      </c>
      <c r="F752" s="2" t="s">
        <v>3106</v>
      </c>
      <c r="G752" s="2" t="s">
        <v>3107</v>
      </c>
      <c r="H752" s="2" t="s">
        <v>127</v>
      </c>
      <c r="I752" s="2" t="s">
        <v>3068</v>
      </c>
      <c r="J752" s="2" t="s">
        <v>62</v>
      </c>
      <c r="K752" s="2" t="s">
        <v>630</v>
      </c>
      <c r="L752" s="7">
        <v>45890.0</v>
      </c>
      <c r="M752" s="2" t="s">
        <v>48</v>
      </c>
      <c r="N752" s="2" t="s">
        <v>35</v>
      </c>
      <c r="O752" s="2" t="s">
        <v>200</v>
      </c>
      <c r="P752" s="2" t="s">
        <v>194</v>
      </c>
    </row>
    <row r="753" ht="14.25" customHeight="1">
      <c r="A753" s="6">
        <v>1.4404736E7</v>
      </c>
      <c r="B753" s="2" t="s">
        <v>3108</v>
      </c>
      <c r="C753" s="2" t="s">
        <v>17</v>
      </c>
      <c r="D753" s="2" t="s">
        <v>831</v>
      </c>
      <c r="E753" s="2" t="s">
        <v>3109</v>
      </c>
      <c r="F753" s="2" t="s">
        <v>3109</v>
      </c>
      <c r="G753" s="2" t="s">
        <v>3110</v>
      </c>
      <c r="H753" s="2" t="s">
        <v>127</v>
      </c>
      <c r="I753" s="2" t="s">
        <v>3068</v>
      </c>
      <c r="J753" s="2" t="s">
        <v>62</v>
      </c>
      <c r="K753" s="2" t="s">
        <v>630</v>
      </c>
      <c r="L753" s="7">
        <v>45890.0</v>
      </c>
      <c r="M753" s="2" t="s">
        <v>48</v>
      </c>
      <c r="N753" s="2" t="s">
        <v>35</v>
      </c>
      <c r="O753" s="2" t="s">
        <v>200</v>
      </c>
      <c r="P753" s="2" t="s">
        <v>194</v>
      </c>
    </row>
    <row r="754" ht="14.25" customHeight="1">
      <c r="A754" s="6">
        <v>1.2299414E7</v>
      </c>
      <c r="B754" s="2" t="s">
        <v>3111</v>
      </c>
      <c r="C754" s="2" t="s">
        <v>17</v>
      </c>
      <c r="D754" s="2" t="s">
        <v>831</v>
      </c>
      <c r="E754" s="2" t="s">
        <v>3112</v>
      </c>
      <c r="F754" s="2" t="s">
        <v>3112</v>
      </c>
      <c r="G754" s="2" t="s">
        <v>3113</v>
      </c>
      <c r="H754" s="2" t="s">
        <v>127</v>
      </c>
      <c r="I754" s="2" t="s">
        <v>3068</v>
      </c>
      <c r="J754" s="2" t="s">
        <v>62</v>
      </c>
      <c r="K754" s="2" t="s">
        <v>630</v>
      </c>
      <c r="L754" s="7">
        <v>45890.0</v>
      </c>
      <c r="M754" s="2" t="s">
        <v>48</v>
      </c>
      <c r="N754" s="2" t="s">
        <v>35</v>
      </c>
      <c r="O754" s="2" t="s">
        <v>200</v>
      </c>
      <c r="P754" s="2" t="s">
        <v>194</v>
      </c>
    </row>
    <row r="755" ht="14.25" customHeight="1">
      <c r="A755" s="6">
        <v>2.639898E7</v>
      </c>
      <c r="B755" s="2" t="s">
        <v>3114</v>
      </c>
      <c r="C755" s="2" t="s">
        <v>17</v>
      </c>
      <c r="D755" s="2" t="s">
        <v>831</v>
      </c>
      <c r="E755" s="2" t="s">
        <v>3115</v>
      </c>
      <c r="F755" s="2" t="s">
        <v>3115</v>
      </c>
      <c r="G755" s="2" t="s">
        <v>3116</v>
      </c>
      <c r="H755" s="2" t="s">
        <v>127</v>
      </c>
      <c r="I755" s="2" t="s">
        <v>3068</v>
      </c>
      <c r="J755" s="2" t="s">
        <v>62</v>
      </c>
      <c r="K755" s="2" t="s">
        <v>630</v>
      </c>
      <c r="L755" s="7">
        <v>45890.0</v>
      </c>
      <c r="M755" s="2" t="s">
        <v>48</v>
      </c>
      <c r="N755" s="2" t="s">
        <v>35</v>
      </c>
      <c r="O755" s="2" t="s">
        <v>200</v>
      </c>
      <c r="P755" s="2" t="s">
        <v>194</v>
      </c>
    </row>
    <row r="756" ht="14.25" customHeight="1">
      <c r="A756" s="6">
        <v>1.3105315E7</v>
      </c>
      <c r="B756" s="2" t="s">
        <v>3117</v>
      </c>
      <c r="C756" s="2" t="s">
        <v>17</v>
      </c>
      <c r="D756" s="2" t="s">
        <v>831</v>
      </c>
      <c r="E756" s="2" t="s">
        <v>3118</v>
      </c>
      <c r="F756" s="2" t="s">
        <v>3118</v>
      </c>
      <c r="G756" s="2" t="s">
        <v>3119</v>
      </c>
      <c r="H756" s="2" t="s">
        <v>127</v>
      </c>
      <c r="I756" s="2" t="s">
        <v>3068</v>
      </c>
      <c r="J756" s="2" t="s">
        <v>62</v>
      </c>
      <c r="K756" s="2" t="s">
        <v>630</v>
      </c>
      <c r="L756" s="7">
        <v>45890.0</v>
      </c>
      <c r="M756" s="2" t="s">
        <v>48</v>
      </c>
      <c r="N756" s="2" t="s">
        <v>35</v>
      </c>
      <c r="O756" s="2" t="s">
        <v>200</v>
      </c>
      <c r="P756" s="2" t="s">
        <v>194</v>
      </c>
    </row>
    <row r="757" ht="14.25" customHeight="1">
      <c r="A757" s="6">
        <v>1.4272867E7</v>
      </c>
      <c r="B757" s="2" t="s">
        <v>3120</v>
      </c>
      <c r="C757" s="2" t="s">
        <v>17</v>
      </c>
      <c r="D757" s="2" t="s">
        <v>831</v>
      </c>
      <c r="E757" s="2" t="s">
        <v>3121</v>
      </c>
      <c r="F757" s="2" t="s">
        <v>3121</v>
      </c>
      <c r="G757" s="2" t="s">
        <v>3122</v>
      </c>
      <c r="H757" s="2" t="s">
        <v>127</v>
      </c>
      <c r="I757" s="2" t="s">
        <v>3068</v>
      </c>
      <c r="J757" s="2" t="s">
        <v>62</v>
      </c>
      <c r="K757" s="2" t="s">
        <v>630</v>
      </c>
      <c r="L757" s="7">
        <v>45890.0</v>
      </c>
      <c r="M757" s="2" t="s">
        <v>48</v>
      </c>
      <c r="N757" s="2" t="s">
        <v>35</v>
      </c>
      <c r="O757" s="2" t="s">
        <v>200</v>
      </c>
      <c r="P757" s="2" t="s">
        <v>194</v>
      </c>
    </row>
    <row r="758" ht="14.25" customHeight="1">
      <c r="A758" s="6">
        <v>1.4404108E7</v>
      </c>
      <c r="B758" s="2" t="s">
        <v>3123</v>
      </c>
      <c r="C758" s="2" t="s">
        <v>17</v>
      </c>
      <c r="D758" s="2" t="s">
        <v>831</v>
      </c>
      <c r="E758" s="2" t="s">
        <v>3124</v>
      </c>
      <c r="F758" s="2" t="s">
        <v>3124</v>
      </c>
      <c r="G758" s="2" t="s">
        <v>3125</v>
      </c>
      <c r="H758" s="2" t="s">
        <v>127</v>
      </c>
      <c r="I758" s="2" t="s">
        <v>3068</v>
      </c>
      <c r="J758" s="2" t="s">
        <v>62</v>
      </c>
      <c r="K758" s="2" t="s">
        <v>630</v>
      </c>
      <c r="L758" s="7">
        <v>45890.0</v>
      </c>
      <c r="M758" s="2" t="s">
        <v>48</v>
      </c>
      <c r="N758" s="2" t="s">
        <v>35</v>
      </c>
      <c r="O758" s="2" t="s">
        <v>200</v>
      </c>
      <c r="P758" s="2" t="s">
        <v>194</v>
      </c>
    </row>
    <row r="759" ht="14.25" customHeight="1">
      <c r="A759" s="6">
        <v>1.7845345E7</v>
      </c>
      <c r="B759" s="2" t="s">
        <v>3126</v>
      </c>
      <c r="C759" s="2" t="s">
        <v>17</v>
      </c>
      <c r="D759" s="2" t="s">
        <v>831</v>
      </c>
      <c r="E759" s="2" t="s">
        <v>3127</v>
      </c>
      <c r="F759" s="2" t="s">
        <v>3127</v>
      </c>
      <c r="G759" s="2" t="s">
        <v>3128</v>
      </c>
      <c r="H759" s="2" t="s">
        <v>127</v>
      </c>
      <c r="I759" s="2" t="s">
        <v>3068</v>
      </c>
      <c r="J759" s="2" t="s">
        <v>62</v>
      </c>
      <c r="K759" s="2" t="s">
        <v>630</v>
      </c>
      <c r="L759" s="7">
        <v>45890.0</v>
      </c>
      <c r="M759" s="2" t="s">
        <v>48</v>
      </c>
      <c r="N759" s="2" t="s">
        <v>35</v>
      </c>
      <c r="O759" s="2" t="s">
        <v>200</v>
      </c>
      <c r="P759" s="2" t="s">
        <v>194</v>
      </c>
    </row>
    <row r="760" ht="14.25" customHeight="1">
      <c r="A760" s="6">
        <v>1.1496271E7</v>
      </c>
      <c r="B760" s="2" t="s">
        <v>3129</v>
      </c>
      <c r="C760" s="2" t="s">
        <v>17</v>
      </c>
      <c r="D760" s="2" t="s">
        <v>831</v>
      </c>
      <c r="E760" s="2" t="s">
        <v>3130</v>
      </c>
      <c r="F760" s="2" t="s">
        <v>3130</v>
      </c>
      <c r="G760" s="2" t="s">
        <v>3131</v>
      </c>
      <c r="H760" s="2" t="s">
        <v>127</v>
      </c>
      <c r="I760" s="2" t="s">
        <v>3068</v>
      </c>
      <c r="J760" s="2" t="s">
        <v>62</v>
      </c>
      <c r="K760" s="2" t="s">
        <v>630</v>
      </c>
      <c r="L760" s="7">
        <v>45890.0</v>
      </c>
      <c r="M760" s="2" t="s">
        <v>48</v>
      </c>
      <c r="N760" s="2" t="s">
        <v>35</v>
      </c>
      <c r="O760" s="2" t="s">
        <v>200</v>
      </c>
      <c r="P760" s="2" t="s">
        <v>194</v>
      </c>
    </row>
    <row r="761" ht="14.25" customHeight="1">
      <c r="A761" s="6">
        <v>8670563.0</v>
      </c>
      <c r="B761" s="2" t="s">
        <v>3132</v>
      </c>
      <c r="C761" s="2" t="s">
        <v>17</v>
      </c>
      <c r="D761" s="2" t="s">
        <v>831</v>
      </c>
      <c r="E761" s="2" t="s">
        <v>3133</v>
      </c>
      <c r="F761" s="2" t="s">
        <v>3133</v>
      </c>
      <c r="G761" s="2" t="s">
        <v>3134</v>
      </c>
      <c r="H761" s="2" t="s">
        <v>127</v>
      </c>
      <c r="I761" s="2" t="s">
        <v>3068</v>
      </c>
      <c r="J761" s="2" t="s">
        <v>62</v>
      </c>
      <c r="K761" s="2" t="s">
        <v>630</v>
      </c>
      <c r="L761" s="7">
        <v>45890.0</v>
      </c>
      <c r="M761" s="2" t="s">
        <v>48</v>
      </c>
      <c r="N761" s="2" t="s">
        <v>35</v>
      </c>
      <c r="O761" s="2" t="s">
        <v>200</v>
      </c>
      <c r="P761" s="2" t="s">
        <v>194</v>
      </c>
    </row>
    <row r="762" ht="14.25" customHeight="1">
      <c r="A762" s="6">
        <v>7964822.0</v>
      </c>
      <c r="B762" s="2" t="s">
        <v>3135</v>
      </c>
      <c r="C762" s="2" t="s">
        <v>17</v>
      </c>
      <c r="D762" s="2" t="s">
        <v>831</v>
      </c>
      <c r="E762" s="2" t="s">
        <v>3136</v>
      </c>
      <c r="F762" s="2" t="s">
        <v>3136</v>
      </c>
      <c r="G762" s="2" t="s">
        <v>3137</v>
      </c>
      <c r="H762" s="2" t="s">
        <v>127</v>
      </c>
      <c r="I762" s="2" t="s">
        <v>3068</v>
      </c>
      <c r="J762" s="2" t="s">
        <v>62</v>
      </c>
      <c r="K762" s="2" t="s">
        <v>630</v>
      </c>
      <c r="L762" s="7">
        <v>45890.0</v>
      </c>
      <c r="M762" s="2" t="s">
        <v>48</v>
      </c>
      <c r="N762" s="2" t="s">
        <v>35</v>
      </c>
      <c r="O762" s="2" t="s">
        <v>200</v>
      </c>
      <c r="P762" s="2" t="s">
        <v>194</v>
      </c>
    </row>
    <row r="763" ht="14.25" customHeight="1">
      <c r="A763" s="6">
        <v>8291810.0</v>
      </c>
      <c r="B763" s="2" t="s">
        <v>3138</v>
      </c>
      <c r="C763" s="2" t="s">
        <v>17</v>
      </c>
      <c r="D763" s="2" t="s">
        <v>831</v>
      </c>
      <c r="E763" s="2" t="s">
        <v>3139</v>
      </c>
      <c r="F763" s="2" t="s">
        <v>3139</v>
      </c>
      <c r="G763" s="2" t="s">
        <v>3140</v>
      </c>
      <c r="H763" s="2" t="s">
        <v>127</v>
      </c>
      <c r="I763" s="2" t="s">
        <v>3068</v>
      </c>
      <c r="J763" s="2" t="s">
        <v>62</v>
      </c>
      <c r="K763" s="2" t="s">
        <v>630</v>
      </c>
      <c r="L763" s="7">
        <v>45890.0</v>
      </c>
      <c r="M763" s="2" t="s">
        <v>48</v>
      </c>
      <c r="N763" s="2" t="s">
        <v>35</v>
      </c>
      <c r="O763" s="2" t="s">
        <v>200</v>
      </c>
      <c r="P763" s="2" t="s">
        <v>194</v>
      </c>
    </row>
    <row r="764" ht="14.25" customHeight="1">
      <c r="A764" s="6">
        <v>2.6341506E7</v>
      </c>
      <c r="B764" s="2" t="s">
        <v>3141</v>
      </c>
      <c r="C764" s="2" t="s">
        <v>17</v>
      </c>
      <c r="D764" s="2" t="s">
        <v>831</v>
      </c>
      <c r="E764" s="2" t="s">
        <v>3142</v>
      </c>
      <c r="F764" s="2" t="s">
        <v>3142</v>
      </c>
      <c r="G764" s="2" t="s">
        <v>3143</v>
      </c>
      <c r="H764" s="2" t="s">
        <v>127</v>
      </c>
      <c r="I764" s="2" t="s">
        <v>3068</v>
      </c>
      <c r="J764" s="2" t="s">
        <v>62</v>
      </c>
      <c r="K764" s="2" t="s">
        <v>630</v>
      </c>
      <c r="L764" s="7">
        <v>45890.0</v>
      </c>
      <c r="M764" s="2" t="s">
        <v>48</v>
      </c>
      <c r="N764" s="2" t="s">
        <v>35</v>
      </c>
      <c r="O764" s="2" t="s">
        <v>200</v>
      </c>
      <c r="P764" s="2" t="s">
        <v>194</v>
      </c>
    </row>
    <row r="765" ht="14.25" customHeight="1">
      <c r="A765" s="6">
        <v>1.130392E7</v>
      </c>
      <c r="B765" s="2" t="s">
        <v>3144</v>
      </c>
      <c r="C765" s="2" t="s">
        <v>17</v>
      </c>
      <c r="D765" s="2" t="s">
        <v>831</v>
      </c>
      <c r="E765" s="2" t="s">
        <v>3145</v>
      </c>
      <c r="F765" s="2" t="s">
        <v>3145</v>
      </c>
      <c r="G765" s="2" t="s">
        <v>3146</v>
      </c>
      <c r="H765" s="2" t="s">
        <v>127</v>
      </c>
      <c r="I765" s="2" t="s">
        <v>3068</v>
      </c>
      <c r="J765" s="2" t="s">
        <v>62</v>
      </c>
      <c r="K765" s="2" t="s">
        <v>630</v>
      </c>
      <c r="L765" s="7">
        <v>45890.0</v>
      </c>
      <c r="M765" s="2" t="s">
        <v>48</v>
      </c>
      <c r="N765" s="2" t="s">
        <v>35</v>
      </c>
      <c r="O765" s="2" t="s">
        <v>200</v>
      </c>
      <c r="P765" s="2" t="s">
        <v>194</v>
      </c>
    </row>
    <row r="766" ht="14.25" customHeight="1">
      <c r="A766" s="6">
        <v>9789435.0</v>
      </c>
      <c r="B766" s="2" t="s">
        <v>3147</v>
      </c>
      <c r="C766" s="2" t="s">
        <v>17</v>
      </c>
      <c r="D766" s="2" t="s">
        <v>831</v>
      </c>
      <c r="E766" s="2" t="s">
        <v>3148</v>
      </c>
      <c r="F766" s="2" t="s">
        <v>3148</v>
      </c>
      <c r="G766" s="2" t="s">
        <v>3149</v>
      </c>
      <c r="H766" s="2" t="s">
        <v>127</v>
      </c>
      <c r="I766" s="2" t="s">
        <v>3068</v>
      </c>
      <c r="J766" s="2" t="s">
        <v>62</v>
      </c>
      <c r="K766" s="2" t="s">
        <v>630</v>
      </c>
      <c r="L766" s="7">
        <v>45890.0</v>
      </c>
      <c r="M766" s="2" t="s">
        <v>48</v>
      </c>
      <c r="N766" s="2" t="s">
        <v>35</v>
      </c>
      <c r="O766" s="2" t="s">
        <v>200</v>
      </c>
      <c r="P766" s="2" t="s">
        <v>194</v>
      </c>
    </row>
    <row r="767" ht="14.25" customHeight="1">
      <c r="A767" s="6">
        <v>1.7578787E7</v>
      </c>
      <c r="B767" s="2" t="s">
        <v>3150</v>
      </c>
      <c r="C767" s="2" t="s">
        <v>17</v>
      </c>
      <c r="D767" s="2" t="s">
        <v>88</v>
      </c>
      <c r="E767" s="2" t="s">
        <v>3151</v>
      </c>
      <c r="F767" s="2" t="s">
        <v>3151</v>
      </c>
      <c r="G767" s="2" t="s">
        <v>3152</v>
      </c>
      <c r="H767" s="2" t="s">
        <v>127</v>
      </c>
      <c r="I767" s="2" t="s">
        <v>622</v>
      </c>
      <c r="J767" s="2" t="s">
        <v>62</v>
      </c>
      <c r="K767" s="2" t="s">
        <v>630</v>
      </c>
      <c r="L767" s="7">
        <v>45628.0</v>
      </c>
      <c r="M767" s="2" t="s">
        <v>48</v>
      </c>
      <c r="N767" s="2" t="s">
        <v>35</v>
      </c>
      <c r="O767" s="2" t="s">
        <v>27</v>
      </c>
      <c r="P767" s="2" t="s">
        <v>28</v>
      </c>
    </row>
    <row r="768" ht="14.25" customHeight="1">
      <c r="A768" s="6">
        <v>2.0613522E7</v>
      </c>
      <c r="B768" s="2" t="s">
        <v>3153</v>
      </c>
      <c r="C768" s="2" t="s">
        <v>17</v>
      </c>
      <c r="D768" s="2" t="s">
        <v>18</v>
      </c>
      <c r="E768" s="2" t="s">
        <v>3154</v>
      </c>
      <c r="F768" s="2" t="s">
        <v>3154</v>
      </c>
      <c r="G768" s="2" t="s">
        <v>3155</v>
      </c>
      <c r="H768" s="2" t="s">
        <v>127</v>
      </c>
      <c r="I768" s="2" t="s">
        <v>622</v>
      </c>
      <c r="J768" s="2" t="s">
        <v>62</v>
      </c>
      <c r="K768" s="2" t="s">
        <v>630</v>
      </c>
      <c r="L768" s="7">
        <v>45663.0</v>
      </c>
      <c r="M768" s="2" t="s">
        <v>48</v>
      </c>
      <c r="N768" s="2" t="s">
        <v>35</v>
      </c>
      <c r="O768" s="2" t="s">
        <v>27</v>
      </c>
      <c r="P768" s="2" t="s">
        <v>28</v>
      </c>
    </row>
    <row r="769" ht="14.25" customHeight="1">
      <c r="A769" s="6">
        <v>1.6037424E7</v>
      </c>
      <c r="B769" s="2" t="s">
        <v>3156</v>
      </c>
      <c r="C769" s="2" t="s">
        <v>17</v>
      </c>
      <c r="D769" s="2" t="s">
        <v>88</v>
      </c>
      <c r="E769" s="2" t="s">
        <v>3157</v>
      </c>
      <c r="F769" s="2" t="s">
        <v>3157</v>
      </c>
      <c r="G769" s="2" t="s">
        <v>3158</v>
      </c>
      <c r="H769" s="2" t="s">
        <v>127</v>
      </c>
      <c r="I769" s="2" t="s">
        <v>622</v>
      </c>
      <c r="J769" s="2" t="s">
        <v>62</v>
      </c>
      <c r="K769" s="2" t="s">
        <v>630</v>
      </c>
      <c r="L769" s="7">
        <v>45691.0</v>
      </c>
      <c r="M769" s="2" t="s">
        <v>48</v>
      </c>
      <c r="N769" s="2" t="s">
        <v>35</v>
      </c>
      <c r="O769" s="2" t="s">
        <v>27</v>
      </c>
      <c r="P769" s="2" t="s">
        <v>28</v>
      </c>
    </row>
    <row r="770" ht="14.25" customHeight="1">
      <c r="A770" s="6">
        <v>1.7445065E7</v>
      </c>
      <c r="B770" s="2" t="s">
        <v>3159</v>
      </c>
      <c r="C770" s="2" t="s">
        <v>17</v>
      </c>
      <c r="D770" s="2" t="s">
        <v>18</v>
      </c>
      <c r="E770" s="2" t="s">
        <v>3160</v>
      </c>
      <c r="F770" s="2" t="s">
        <v>3160</v>
      </c>
      <c r="G770" s="2" t="s">
        <v>3161</v>
      </c>
      <c r="H770" s="2" t="s">
        <v>127</v>
      </c>
      <c r="I770" s="2" t="s">
        <v>622</v>
      </c>
      <c r="J770" s="2" t="s">
        <v>62</v>
      </c>
      <c r="K770" s="2" t="s">
        <v>630</v>
      </c>
      <c r="L770" s="7">
        <v>45664.0</v>
      </c>
      <c r="M770" s="2" t="s">
        <v>48</v>
      </c>
      <c r="N770" s="2" t="s">
        <v>35</v>
      </c>
      <c r="O770" s="2" t="s">
        <v>27</v>
      </c>
      <c r="P770" s="2" t="s">
        <v>28</v>
      </c>
    </row>
    <row r="771" ht="14.25" customHeight="1">
      <c r="A771" s="6">
        <v>2.0125701E7</v>
      </c>
      <c r="B771" s="2" t="s">
        <v>3162</v>
      </c>
      <c r="C771" s="2" t="s">
        <v>17</v>
      </c>
      <c r="D771" s="2" t="s">
        <v>18</v>
      </c>
      <c r="E771" s="2" t="s">
        <v>3163</v>
      </c>
      <c r="F771" s="2" t="s">
        <v>3164</v>
      </c>
      <c r="G771" s="2" t="s">
        <v>3165</v>
      </c>
      <c r="H771" s="2" t="s">
        <v>127</v>
      </c>
      <c r="I771" s="2" t="s">
        <v>622</v>
      </c>
      <c r="J771" s="2" t="s">
        <v>62</v>
      </c>
      <c r="K771" s="2" t="s">
        <v>630</v>
      </c>
      <c r="L771" s="7">
        <v>45635.0</v>
      </c>
      <c r="M771" s="2" t="s">
        <v>48</v>
      </c>
      <c r="N771" s="2" t="s">
        <v>35</v>
      </c>
      <c r="O771" s="2" t="s">
        <v>27</v>
      </c>
      <c r="P771" s="2" t="s">
        <v>28</v>
      </c>
    </row>
    <row r="772" ht="14.25" customHeight="1">
      <c r="A772" s="6">
        <v>2.0613419E7</v>
      </c>
      <c r="B772" s="2" t="s">
        <v>3166</v>
      </c>
      <c r="C772" s="2" t="s">
        <v>17</v>
      </c>
      <c r="D772" s="2" t="s">
        <v>88</v>
      </c>
      <c r="E772" s="2" t="s">
        <v>3167</v>
      </c>
      <c r="F772" s="2" t="s">
        <v>3167</v>
      </c>
      <c r="G772" s="2" t="s">
        <v>3168</v>
      </c>
      <c r="H772" s="2" t="s">
        <v>127</v>
      </c>
      <c r="I772" s="2" t="s">
        <v>622</v>
      </c>
      <c r="J772" s="2" t="s">
        <v>62</v>
      </c>
      <c r="K772" s="2" t="s">
        <v>630</v>
      </c>
      <c r="L772" s="7">
        <v>45271.0</v>
      </c>
      <c r="M772" s="2" t="s">
        <v>48</v>
      </c>
      <c r="N772" s="2" t="s">
        <v>35</v>
      </c>
      <c r="O772" s="2" t="s">
        <v>27</v>
      </c>
      <c r="P772" s="2" t="s">
        <v>28</v>
      </c>
    </row>
    <row r="773" ht="14.25" customHeight="1">
      <c r="A773" s="6">
        <v>1.4372278E7</v>
      </c>
      <c r="B773" s="2" t="s">
        <v>3169</v>
      </c>
      <c r="C773" s="2" t="s">
        <v>17</v>
      </c>
      <c r="D773" s="2" t="s">
        <v>18</v>
      </c>
      <c r="E773" s="2" t="s">
        <v>3170</v>
      </c>
      <c r="F773" s="2" t="s">
        <v>3170</v>
      </c>
      <c r="G773" s="2" t="s">
        <v>3171</v>
      </c>
      <c r="H773" s="2" t="s">
        <v>127</v>
      </c>
      <c r="I773" s="2" t="s">
        <v>3068</v>
      </c>
      <c r="J773" s="2" t="s">
        <v>62</v>
      </c>
      <c r="K773" s="2" t="s">
        <v>24</v>
      </c>
      <c r="L773" s="7">
        <v>45925.0</v>
      </c>
      <c r="M773" s="2" t="s">
        <v>48</v>
      </c>
      <c r="N773" s="2" t="s">
        <v>35</v>
      </c>
      <c r="O773" s="2" t="s">
        <v>200</v>
      </c>
      <c r="P773" s="2" t="s">
        <v>194</v>
      </c>
    </row>
    <row r="774" ht="14.25" customHeight="1">
      <c r="A774" s="6">
        <v>8493006.0</v>
      </c>
      <c r="B774" s="2" t="s">
        <v>3172</v>
      </c>
      <c r="C774" s="2" t="s">
        <v>17</v>
      </c>
      <c r="D774" s="2" t="s">
        <v>57</v>
      </c>
      <c r="E774" s="2" t="s">
        <v>3173</v>
      </c>
      <c r="F774" s="2" t="s">
        <v>3174</v>
      </c>
      <c r="G774" s="2" t="s">
        <v>3175</v>
      </c>
      <c r="H774" s="2" t="s">
        <v>127</v>
      </c>
      <c r="I774" s="2" t="s">
        <v>3068</v>
      </c>
      <c r="J774" s="2" t="s">
        <v>62</v>
      </c>
      <c r="K774" s="2" t="s">
        <v>24</v>
      </c>
      <c r="L774" s="7">
        <v>45925.0</v>
      </c>
      <c r="M774" s="2" t="s">
        <v>48</v>
      </c>
      <c r="N774" s="2" t="s">
        <v>35</v>
      </c>
      <c r="O774" s="2" t="s">
        <v>200</v>
      </c>
      <c r="P774" s="2" t="s">
        <v>194</v>
      </c>
    </row>
    <row r="775" ht="14.25" customHeight="1">
      <c r="A775" s="6">
        <v>1.5589355E7</v>
      </c>
      <c r="B775" s="2" t="s">
        <v>3176</v>
      </c>
      <c r="C775" s="2" t="s">
        <v>17</v>
      </c>
      <c r="D775" s="2" t="s">
        <v>18</v>
      </c>
      <c r="E775" s="2" t="s">
        <v>3177</v>
      </c>
      <c r="F775" s="2" t="s">
        <v>3177</v>
      </c>
      <c r="G775" s="2" t="s">
        <v>3178</v>
      </c>
      <c r="H775" s="2" t="s">
        <v>127</v>
      </c>
      <c r="I775" s="2" t="s">
        <v>3068</v>
      </c>
      <c r="J775" s="2" t="s">
        <v>62</v>
      </c>
      <c r="K775" s="2" t="s">
        <v>24</v>
      </c>
      <c r="L775" s="7">
        <v>45925.0</v>
      </c>
      <c r="M775" s="2" t="s">
        <v>48</v>
      </c>
      <c r="N775" s="2" t="s">
        <v>35</v>
      </c>
      <c r="O775" s="2" t="s">
        <v>200</v>
      </c>
      <c r="P775" s="2" t="s">
        <v>194</v>
      </c>
    </row>
    <row r="776" ht="14.25" customHeight="1">
      <c r="A776" s="6">
        <v>1.5518097E7</v>
      </c>
      <c r="B776" s="2" t="s">
        <v>3179</v>
      </c>
      <c r="C776" s="2" t="s">
        <v>17</v>
      </c>
      <c r="D776" s="2" t="s">
        <v>18</v>
      </c>
      <c r="E776" s="2" t="s">
        <v>3180</v>
      </c>
      <c r="F776" s="2" t="s">
        <v>3180</v>
      </c>
      <c r="G776" s="2" t="s">
        <v>3181</v>
      </c>
      <c r="H776" s="2" t="s">
        <v>127</v>
      </c>
      <c r="I776" s="2" t="s">
        <v>3068</v>
      </c>
      <c r="J776" s="2" t="s">
        <v>62</v>
      </c>
      <c r="K776" s="2" t="s">
        <v>24</v>
      </c>
      <c r="L776" s="7">
        <v>45925.0</v>
      </c>
      <c r="M776" s="2" t="s">
        <v>48</v>
      </c>
      <c r="N776" s="2" t="s">
        <v>35</v>
      </c>
      <c r="O776" s="2" t="s">
        <v>200</v>
      </c>
      <c r="P776" s="2" t="s">
        <v>194</v>
      </c>
    </row>
    <row r="777" ht="14.25" customHeight="1">
      <c r="A777" s="6">
        <v>2.6321503E7</v>
      </c>
      <c r="B777" s="2" t="s">
        <v>3182</v>
      </c>
      <c r="C777" s="2" t="s">
        <v>17</v>
      </c>
      <c r="D777" s="2" t="s">
        <v>18</v>
      </c>
      <c r="E777" s="2" t="s">
        <v>3183</v>
      </c>
      <c r="F777" s="2" t="s">
        <v>3183</v>
      </c>
      <c r="G777" s="2" t="s">
        <v>3184</v>
      </c>
      <c r="H777" s="2" t="s">
        <v>127</v>
      </c>
      <c r="I777" s="2" t="s">
        <v>3068</v>
      </c>
      <c r="J777" s="2" t="s">
        <v>62</v>
      </c>
      <c r="K777" s="2" t="s">
        <v>24</v>
      </c>
      <c r="L777" s="7">
        <v>45925.0</v>
      </c>
      <c r="M777" s="2" t="s">
        <v>48</v>
      </c>
      <c r="N777" s="2" t="s">
        <v>35</v>
      </c>
      <c r="O777" s="2" t="s">
        <v>200</v>
      </c>
      <c r="P777" s="2" t="s">
        <v>194</v>
      </c>
    </row>
    <row r="778" ht="14.25" customHeight="1">
      <c r="A778" s="6">
        <v>1.7291555E7</v>
      </c>
      <c r="B778" s="2" t="s">
        <v>3185</v>
      </c>
      <c r="C778" s="2" t="s">
        <v>17</v>
      </c>
      <c r="D778" s="2" t="s">
        <v>18</v>
      </c>
      <c r="E778" s="2" t="s">
        <v>3186</v>
      </c>
      <c r="F778" s="2" t="s">
        <v>3186</v>
      </c>
      <c r="G778" s="2" t="s">
        <v>3187</v>
      </c>
      <c r="H778" s="2" t="s">
        <v>127</v>
      </c>
      <c r="I778" s="2" t="s">
        <v>3068</v>
      </c>
      <c r="J778" s="2" t="s">
        <v>62</v>
      </c>
      <c r="K778" s="2" t="s">
        <v>24</v>
      </c>
      <c r="L778" s="7">
        <v>45925.0</v>
      </c>
      <c r="M778" s="2" t="s">
        <v>48</v>
      </c>
      <c r="N778" s="2" t="s">
        <v>35</v>
      </c>
      <c r="O778" s="2" t="s">
        <v>200</v>
      </c>
      <c r="P778" s="2" t="s">
        <v>194</v>
      </c>
    </row>
    <row r="779" ht="14.25" customHeight="1">
      <c r="A779" s="6">
        <v>1.5517763E7</v>
      </c>
      <c r="B779" s="2" t="s">
        <v>3188</v>
      </c>
      <c r="C779" s="2" t="s">
        <v>17</v>
      </c>
      <c r="D779" s="2" t="s">
        <v>18</v>
      </c>
      <c r="E779" s="2" t="s">
        <v>3189</v>
      </c>
      <c r="F779" s="2" t="s">
        <v>3189</v>
      </c>
      <c r="G779" s="2" t="s">
        <v>3190</v>
      </c>
      <c r="H779" s="2" t="s">
        <v>127</v>
      </c>
      <c r="I779" s="2" t="s">
        <v>3068</v>
      </c>
      <c r="J779" s="2" t="s">
        <v>62</v>
      </c>
      <c r="K779" s="2" t="s">
        <v>24</v>
      </c>
      <c r="L779" s="7">
        <v>45925.0</v>
      </c>
      <c r="M779" s="2" t="s">
        <v>48</v>
      </c>
      <c r="N779" s="2" t="s">
        <v>35</v>
      </c>
      <c r="O779" s="2" t="s">
        <v>200</v>
      </c>
      <c r="P779" s="2" t="s">
        <v>194</v>
      </c>
    </row>
    <row r="780" ht="14.25" customHeight="1">
      <c r="A780" s="6">
        <v>1.7843964E7</v>
      </c>
      <c r="B780" s="2" t="s">
        <v>3191</v>
      </c>
      <c r="C780" s="2" t="s">
        <v>17</v>
      </c>
      <c r="D780" s="2" t="s">
        <v>18</v>
      </c>
      <c r="E780" s="2" t="s">
        <v>3192</v>
      </c>
      <c r="F780" s="2" t="s">
        <v>3192</v>
      </c>
      <c r="G780" s="2" t="s">
        <v>3193</v>
      </c>
      <c r="H780" s="2" t="s">
        <v>127</v>
      </c>
      <c r="I780" s="2" t="s">
        <v>3068</v>
      </c>
      <c r="J780" s="2" t="s">
        <v>62</v>
      </c>
      <c r="K780" s="2" t="s">
        <v>24</v>
      </c>
      <c r="L780" s="7">
        <v>45925.0</v>
      </c>
      <c r="M780" s="2" t="s">
        <v>48</v>
      </c>
      <c r="N780" s="2" t="s">
        <v>35</v>
      </c>
      <c r="O780" s="2" t="s">
        <v>200</v>
      </c>
      <c r="P780" s="2" t="s">
        <v>194</v>
      </c>
    </row>
    <row r="781" ht="14.25" customHeight="1">
      <c r="A781" s="6">
        <v>1.6391758E7</v>
      </c>
      <c r="B781" s="2" t="s">
        <v>3194</v>
      </c>
      <c r="C781" s="2" t="s">
        <v>17</v>
      </c>
      <c r="D781" s="2" t="s">
        <v>38</v>
      </c>
      <c r="E781" s="2" t="s">
        <v>3195</v>
      </c>
      <c r="F781" s="2" t="s">
        <v>3195</v>
      </c>
      <c r="G781" s="2" t="s">
        <v>3196</v>
      </c>
      <c r="H781" s="2" t="s">
        <v>127</v>
      </c>
      <c r="I781" s="2" t="s">
        <v>2558</v>
      </c>
      <c r="J781" s="2" t="s">
        <v>62</v>
      </c>
      <c r="K781" s="2" t="s">
        <v>24</v>
      </c>
      <c r="L781" s="7">
        <v>45938.0</v>
      </c>
      <c r="M781" s="2" t="s">
        <v>48</v>
      </c>
      <c r="N781" s="2" t="s">
        <v>35</v>
      </c>
      <c r="O781" s="2" t="s">
        <v>27</v>
      </c>
      <c r="P781" s="2" t="s">
        <v>28</v>
      </c>
    </row>
    <row r="782" ht="14.25" customHeight="1">
      <c r="A782" s="6">
        <v>1.1914227E7</v>
      </c>
      <c r="B782" s="2" t="s">
        <v>3197</v>
      </c>
      <c r="C782" s="2" t="s">
        <v>17</v>
      </c>
      <c r="D782" s="2" t="s">
        <v>88</v>
      </c>
      <c r="E782" s="2" t="s">
        <v>3198</v>
      </c>
      <c r="F782" s="2" t="s">
        <v>3198</v>
      </c>
      <c r="G782" s="2" t="s">
        <v>3199</v>
      </c>
      <c r="H782" s="2" t="s">
        <v>127</v>
      </c>
      <c r="I782" s="2" t="s">
        <v>2608</v>
      </c>
      <c r="J782" s="2" t="s">
        <v>62</v>
      </c>
      <c r="K782" s="2" t="s">
        <v>24</v>
      </c>
      <c r="L782" s="7">
        <v>45931.0</v>
      </c>
      <c r="M782" s="2" t="s">
        <v>48</v>
      </c>
      <c r="N782" s="2" t="s">
        <v>35</v>
      </c>
      <c r="O782" s="2" t="s">
        <v>27</v>
      </c>
      <c r="P782" s="2" t="s">
        <v>28</v>
      </c>
    </row>
    <row r="783" ht="14.25" customHeight="1">
      <c r="A783" s="6">
        <v>9376926.0</v>
      </c>
      <c r="B783" s="2" t="s">
        <v>3200</v>
      </c>
      <c r="C783" s="2" t="s">
        <v>17</v>
      </c>
      <c r="D783" s="2" t="s">
        <v>57</v>
      </c>
      <c r="E783" s="2" t="s">
        <v>3201</v>
      </c>
      <c r="F783" s="2" t="s">
        <v>3201</v>
      </c>
      <c r="G783" s="2" t="s">
        <v>3202</v>
      </c>
      <c r="H783" s="2" t="s">
        <v>127</v>
      </c>
      <c r="I783" s="2" t="s">
        <v>135</v>
      </c>
      <c r="J783" s="2" t="s">
        <v>62</v>
      </c>
      <c r="K783" s="2" t="s">
        <v>24</v>
      </c>
      <c r="L783" s="7">
        <v>45931.0</v>
      </c>
      <c r="M783" s="2" t="s">
        <v>48</v>
      </c>
      <c r="N783" s="2" t="s">
        <v>35</v>
      </c>
      <c r="O783" s="2" t="s">
        <v>27</v>
      </c>
      <c r="P783" s="2" t="s">
        <v>28</v>
      </c>
    </row>
    <row r="784" ht="14.25" customHeight="1">
      <c r="A784" s="6">
        <v>1.7159018E7</v>
      </c>
      <c r="B784" s="2" t="s">
        <v>3203</v>
      </c>
      <c r="C784" s="2" t="s">
        <v>17</v>
      </c>
      <c r="D784" s="2" t="s">
        <v>57</v>
      </c>
      <c r="E784" s="2" t="s">
        <v>3204</v>
      </c>
      <c r="F784" s="2" t="s">
        <v>3204</v>
      </c>
      <c r="G784" s="2" t="s">
        <v>3205</v>
      </c>
      <c r="H784" s="2" t="s">
        <v>127</v>
      </c>
      <c r="I784" s="2" t="s">
        <v>2608</v>
      </c>
      <c r="J784" s="2" t="s">
        <v>62</v>
      </c>
      <c r="K784" s="2" t="s">
        <v>24</v>
      </c>
      <c r="L784" s="7">
        <v>45931.0</v>
      </c>
      <c r="M784" s="2" t="s">
        <v>48</v>
      </c>
      <c r="N784" s="2" t="s">
        <v>35</v>
      </c>
      <c r="O784" s="2" t="s">
        <v>27</v>
      </c>
      <c r="P784" s="2" t="s">
        <v>28</v>
      </c>
    </row>
    <row r="785" ht="14.25" customHeight="1">
      <c r="A785" s="6">
        <v>9534710.0</v>
      </c>
      <c r="B785" s="2" t="s">
        <v>3206</v>
      </c>
      <c r="C785" s="2" t="s">
        <v>17</v>
      </c>
      <c r="D785" s="2" t="s">
        <v>57</v>
      </c>
      <c r="E785" s="2" t="s">
        <v>3207</v>
      </c>
      <c r="F785" s="2" t="s">
        <v>3207</v>
      </c>
      <c r="G785" s="2" t="s">
        <v>3208</v>
      </c>
      <c r="H785" s="2" t="s">
        <v>127</v>
      </c>
      <c r="I785" s="2" t="s">
        <v>2599</v>
      </c>
      <c r="J785" s="2" t="s">
        <v>62</v>
      </c>
      <c r="K785" s="2" t="s">
        <v>24</v>
      </c>
      <c r="L785" s="7">
        <v>45931.0</v>
      </c>
      <c r="M785" s="2" t="s">
        <v>48</v>
      </c>
      <c r="N785" s="2" t="s">
        <v>35</v>
      </c>
      <c r="O785" s="2" t="s">
        <v>27</v>
      </c>
      <c r="P785" s="2" t="s">
        <v>28</v>
      </c>
    </row>
    <row r="786" ht="14.25" customHeight="1">
      <c r="A786" s="6">
        <v>1.6504596E7</v>
      </c>
      <c r="B786" s="2" t="s">
        <v>3209</v>
      </c>
      <c r="C786" s="2" t="s">
        <v>17</v>
      </c>
      <c r="D786" s="2" t="s">
        <v>88</v>
      </c>
      <c r="E786" s="2" t="s">
        <v>3210</v>
      </c>
      <c r="F786" s="2" t="s">
        <v>3210</v>
      </c>
      <c r="G786" s="2" t="s">
        <v>3211</v>
      </c>
      <c r="H786" s="2" t="s">
        <v>127</v>
      </c>
      <c r="I786" s="2" t="s">
        <v>2608</v>
      </c>
      <c r="J786" s="2" t="s">
        <v>62</v>
      </c>
      <c r="K786" s="2" t="s">
        <v>24</v>
      </c>
      <c r="L786" s="7">
        <v>45931.0</v>
      </c>
      <c r="M786" s="2" t="s">
        <v>48</v>
      </c>
      <c r="N786" s="2" t="s">
        <v>35</v>
      </c>
      <c r="O786" s="2" t="s">
        <v>27</v>
      </c>
      <c r="P786" s="2" t="s">
        <v>28</v>
      </c>
    </row>
    <row r="787" ht="14.25" customHeight="1">
      <c r="A787" s="6">
        <v>1.6999738E7</v>
      </c>
      <c r="B787" s="2" t="s">
        <v>3212</v>
      </c>
      <c r="C787" s="2" t="s">
        <v>17</v>
      </c>
      <c r="D787" s="2" t="s">
        <v>167</v>
      </c>
      <c r="E787" s="2" t="s">
        <v>3213</v>
      </c>
      <c r="F787" s="2" t="s">
        <v>3213</v>
      </c>
      <c r="G787" s="2" t="s">
        <v>3214</v>
      </c>
      <c r="H787" s="2" t="s">
        <v>127</v>
      </c>
      <c r="I787" s="2" t="s">
        <v>2608</v>
      </c>
      <c r="J787" s="2" t="s">
        <v>62</v>
      </c>
      <c r="K787" s="2" t="s">
        <v>24</v>
      </c>
      <c r="L787" s="7">
        <v>45931.0</v>
      </c>
      <c r="M787" s="2" t="s">
        <v>48</v>
      </c>
      <c r="N787" s="2" t="s">
        <v>35</v>
      </c>
      <c r="O787" s="2" t="s">
        <v>27</v>
      </c>
      <c r="P787" s="2" t="s">
        <v>28</v>
      </c>
    </row>
    <row r="788" ht="14.25" customHeight="1">
      <c r="A788" s="6">
        <v>1.7076486E7</v>
      </c>
      <c r="B788" s="2" t="s">
        <v>3215</v>
      </c>
      <c r="C788" s="2" t="s">
        <v>17</v>
      </c>
      <c r="D788" s="2" t="s">
        <v>57</v>
      </c>
      <c r="E788" s="2" t="s">
        <v>3216</v>
      </c>
      <c r="F788" s="2" t="s">
        <v>3216</v>
      </c>
      <c r="G788" s="2" t="s">
        <v>3217</v>
      </c>
      <c r="H788" s="2" t="s">
        <v>127</v>
      </c>
      <c r="I788" s="2" t="s">
        <v>2608</v>
      </c>
      <c r="J788" s="2" t="s">
        <v>62</v>
      </c>
      <c r="K788" s="2" t="s">
        <v>24</v>
      </c>
      <c r="L788" s="7">
        <v>45931.0</v>
      </c>
      <c r="M788" s="2" t="s">
        <v>48</v>
      </c>
      <c r="N788" s="2" t="s">
        <v>35</v>
      </c>
      <c r="O788" s="2" t="s">
        <v>27</v>
      </c>
      <c r="P788" s="2" t="s">
        <v>28</v>
      </c>
    </row>
    <row r="789" ht="14.25" customHeight="1">
      <c r="A789" s="6">
        <v>1.7614025E7</v>
      </c>
      <c r="B789" s="2" t="s">
        <v>3218</v>
      </c>
      <c r="C789" s="2" t="s">
        <v>17</v>
      </c>
      <c r="D789" s="2" t="s">
        <v>167</v>
      </c>
      <c r="E789" s="2" t="s">
        <v>3219</v>
      </c>
      <c r="F789" s="2" t="s">
        <v>3219</v>
      </c>
      <c r="G789" s="2" t="s">
        <v>3220</v>
      </c>
      <c r="H789" s="2" t="s">
        <v>127</v>
      </c>
      <c r="I789" s="2" t="s">
        <v>2608</v>
      </c>
      <c r="J789" s="2" t="s">
        <v>62</v>
      </c>
      <c r="K789" s="2" t="s">
        <v>24</v>
      </c>
      <c r="L789" s="7">
        <v>45931.0</v>
      </c>
      <c r="M789" s="2" t="s">
        <v>48</v>
      </c>
      <c r="N789" s="2" t="s">
        <v>35</v>
      </c>
      <c r="O789" s="2" t="s">
        <v>27</v>
      </c>
      <c r="P789" s="2" t="s">
        <v>28</v>
      </c>
    </row>
    <row r="790" ht="14.25" customHeight="1">
      <c r="A790" s="6">
        <v>1.0190917E7</v>
      </c>
      <c r="B790" s="2" t="s">
        <v>3221</v>
      </c>
      <c r="C790" s="2" t="s">
        <v>17</v>
      </c>
      <c r="D790" s="2" t="s">
        <v>167</v>
      </c>
      <c r="E790" s="2" t="s">
        <v>3222</v>
      </c>
      <c r="F790" s="2" t="s">
        <v>3222</v>
      </c>
      <c r="G790" s="2" t="s">
        <v>3223</v>
      </c>
      <c r="H790" s="2" t="s">
        <v>127</v>
      </c>
      <c r="I790" s="2" t="s">
        <v>2608</v>
      </c>
      <c r="J790" s="2" t="s">
        <v>62</v>
      </c>
      <c r="K790" s="2" t="s">
        <v>24</v>
      </c>
      <c r="L790" s="7">
        <v>45931.0</v>
      </c>
      <c r="M790" s="2" t="s">
        <v>48</v>
      </c>
      <c r="N790" s="2" t="s">
        <v>35</v>
      </c>
      <c r="O790" s="2" t="s">
        <v>27</v>
      </c>
      <c r="P790" s="2" t="s">
        <v>28</v>
      </c>
    </row>
    <row r="791" ht="14.25" customHeight="1">
      <c r="A791" s="6">
        <v>1.6897013E7</v>
      </c>
      <c r="B791" s="2" t="s">
        <v>3224</v>
      </c>
      <c r="C791" s="2" t="s">
        <v>17</v>
      </c>
      <c r="D791" s="2" t="s">
        <v>167</v>
      </c>
      <c r="E791" s="2" t="s">
        <v>3225</v>
      </c>
      <c r="F791" s="2" t="s">
        <v>3225</v>
      </c>
      <c r="G791" s="2" t="s">
        <v>3226</v>
      </c>
      <c r="H791" s="2" t="s">
        <v>127</v>
      </c>
      <c r="I791" s="2" t="s">
        <v>135</v>
      </c>
      <c r="J791" s="2" t="s">
        <v>62</v>
      </c>
      <c r="K791" s="2" t="s">
        <v>24</v>
      </c>
      <c r="L791" s="7">
        <v>45931.0</v>
      </c>
      <c r="M791" s="2" t="s">
        <v>48</v>
      </c>
      <c r="N791" s="2" t="s">
        <v>35</v>
      </c>
      <c r="O791" s="2" t="s">
        <v>27</v>
      </c>
      <c r="P791" s="2" t="s">
        <v>28</v>
      </c>
    </row>
    <row r="792" ht="14.25" customHeight="1">
      <c r="A792" s="6">
        <v>1.6157284E7</v>
      </c>
      <c r="B792" s="2" t="s">
        <v>3227</v>
      </c>
      <c r="C792" s="2" t="s">
        <v>17</v>
      </c>
      <c r="D792" s="2" t="s">
        <v>88</v>
      </c>
      <c r="E792" s="2" t="s">
        <v>3228</v>
      </c>
      <c r="F792" s="2" t="s">
        <v>3228</v>
      </c>
      <c r="G792" s="2" t="s">
        <v>3229</v>
      </c>
      <c r="H792" s="2" t="s">
        <v>127</v>
      </c>
      <c r="I792" s="2" t="s">
        <v>2608</v>
      </c>
      <c r="J792" s="2" t="s">
        <v>62</v>
      </c>
      <c r="K792" s="2" t="s">
        <v>24</v>
      </c>
      <c r="L792" s="7">
        <v>45931.0</v>
      </c>
      <c r="M792" s="2" t="s">
        <v>48</v>
      </c>
      <c r="N792" s="2" t="s">
        <v>35</v>
      </c>
      <c r="O792" s="2" t="s">
        <v>27</v>
      </c>
      <c r="P792" s="2" t="s">
        <v>28</v>
      </c>
    </row>
    <row r="793" ht="14.25" customHeight="1">
      <c r="A793" s="6">
        <v>2.1323198E7</v>
      </c>
      <c r="B793" s="2" t="s">
        <v>3230</v>
      </c>
      <c r="C793" s="2" t="s">
        <v>17</v>
      </c>
      <c r="D793" s="2" t="s">
        <v>57</v>
      </c>
      <c r="E793" s="2" t="s">
        <v>3231</v>
      </c>
      <c r="F793" s="2" t="s">
        <v>3231</v>
      </c>
      <c r="G793" s="2" t="s">
        <v>3232</v>
      </c>
      <c r="H793" s="2" t="s">
        <v>127</v>
      </c>
      <c r="I793" s="2" t="s">
        <v>2599</v>
      </c>
      <c r="J793" s="2" t="s">
        <v>62</v>
      </c>
      <c r="K793" s="2" t="s">
        <v>24</v>
      </c>
      <c r="L793" s="7">
        <v>45931.0</v>
      </c>
      <c r="M793" s="2" t="s">
        <v>48</v>
      </c>
      <c r="N793" s="2" t="s">
        <v>35</v>
      </c>
      <c r="O793" s="2" t="s">
        <v>27</v>
      </c>
      <c r="P793" s="2" t="s">
        <v>28</v>
      </c>
    </row>
    <row r="794" ht="14.25" customHeight="1">
      <c r="A794" s="6">
        <v>5879555.0</v>
      </c>
      <c r="B794" s="2" t="s">
        <v>3233</v>
      </c>
      <c r="C794" s="2" t="s">
        <v>17</v>
      </c>
      <c r="D794" s="2" t="s">
        <v>38</v>
      </c>
      <c r="E794" s="2" t="s">
        <v>3234</v>
      </c>
      <c r="F794" s="2" t="s">
        <v>3234</v>
      </c>
      <c r="G794" s="2" t="s">
        <v>3235</v>
      </c>
      <c r="H794" s="2" t="s">
        <v>127</v>
      </c>
      <c r="I794" s="2" t="s">
        <v>2599</v>
      </c>
      <c r="J794" s="2" t="s">
        <v>62</v>
      </c>
      <c r="K794" s="2" t="s">
        <v>24</v>
      </c>
      <c r="L794" s="7">
        <v>45931.0</v>
      </c>
      <c r="M794" s="2" t="s">
        <v>48</v>
      </c>
      <c r="N794" s="2" t="s">
        <v>35</v>
      </c>
      <c r="O794" s="2" t="s">
        <v>27</v>
      </c>
      <c r="P794" s="2" t="s">
        <v>28</v>
      </c>
    </row>
    <row r="795" ht="14.25" customHeight="1">
      <c r="A795" s="6">
        <v>2.1582841E7</v>
      </c>
      <c r="B795" s="2" t="s">
        <v>3236</v>
      </c>
      <c r="C795" s="2" t="s">
        <v>17</v>
      </c>
      <c r="D795" s="2" t="s">
        <v>167</v>
      </c>
      <c r="E795" s="2" t="s">
        <v>3237</v>
      </c>
      <c r="F795" s="2" t="s">
        <v>3237</v>
      </c>
      <c r="G795" s="2" t="s">
        <v>3238</v>
      </c>
      <c r="H795" s="2" t="s">
        <v>127</v>
      </c>
      <c r="I795" s="2" t="s">
        <v>2599</v>
      </c>
      <c r="J795" s="2" t="s">
        <v>62</v>
      </c>
      <c r="K795" s="2" t="s">
        <v>24</v>
      </c>
      <c r="L795" s="7">
        <v>45931.0</v>
      </c>
      <c r="M795" s="2" t="s">
        <v>48</v>
      </c>
      <c r="N795" s="2" t="s">
        <v>35</v>
      </c>
      <c r="O795" s="2" t="s">
        <v>27</v>
      </c>
      <c r="P795" s="2" t="s">
        <v>28</v>
      </c>
    </row>
    <row r="796" ht="14.25" customHeight="1">
      <c r="A796" s="6">
        <v>1.7844101E7</v>
      </c>
      <c r="B796" s="2" t="s">
        <v>3239</v>
      </c>
      <c r="C796" s="2" t="s">
        <v>17</v>
      </c>
      <c r="D796" s="2" t="s">
        <v>167</v>
      </c>
      <c r="E796" s="2" t="s">
        <v>3240</v>
      </c>
      <c r="F796" s="2" t="s">
        <v>3240</v>
      </c>
      <c r="G796" s="2" t="s">
        <v>3241</v>
      </c>
      <c r="H796" s="2" t="s">
        <v>127</v>
      </c>
      <c r="I796" s="2" t="s">
        <v>2608</v>
      </c>
      <c r="J796" s="2" t="s">
        <v>62</v>
      </c>
      <c r="K796" s="2" t="s">
        <v>24</v>
      </c>
      <c r="L796" s="7">
        <v>45931.0</v>
      </c>
      <c r="M796" s="2" t="s">
        <v>48</v>
      </c>
      <c r="N796" s="2" t="s">
        <v>35</v>
      </c>
      <c r="O796" s="2" t="s">
        <v>27</v>
      </c>
      <c r="P796" s="2" t="s">
        <v>28</v>
      </c>
    </row>
    <row r="797" ht="14.25" customHeight="1">
      <c r="A797" s="6">
        <v>1.1352151E7</v>
      </c>
      <c r="B797" s="2" t="s">
        <v>3242</v>
      </c>
      <c r="C797" s="2" t="s">
        <v>17</v>
      </c>
      <c r="D797" s="2" t="s">
        <v>57</v>
      </c>
      <c r="E797" s="2" t="s">
        <v>3243</v>
      </c>
      <c r="F797" s="2" t="s">
        <v>3243</v>
      </c>
      <c r="G797" s="2" t="s">
        <v>3244</v>
      </c>
      <c r="H797" s="2" t="s">
        <v>127</v>
      </c>
      <c r="I797" s="2" t="s">
        <v>2599</v>
      </c>
      <c r="J797" s="2" t="s">
        <v>62</v>
      </c>
      <c r="K797" s="2" t="s">
        <v>24</v>
      </c>
      <c r="L797" s="7">
        <v>45931.0</v>
      </c>
      <c r="M797" s="2" t="s">
        <v>48</v>
      </c>
      <c r="N797" s="2" t="s">
        <v>35</v>
      </c>
      <c r="O797" s="2" t="s">
        <v>27</v>
      </c>
      <c r="P797" s="2" t="s">
        <v>28</v>
      </c>
    </row>
    <row r="798" ht="14.25" customHeight="1">
      <c r="A798" s="6">
        <v>2.0255114E7</v>
      </c>
      <c r="B798" s="2" t="s">
        <v>3245</v>
      </c>
      <c r="C798" s="2" t="s">
        <v>17</v>
      </c>
      <c r="D798" s="2" t="s">
        <v>88</v>
      </c>
      <c r="E798" s="2" t="s">
        <v>3246</v>
      </c>
      <c r="F798" s="2" t="s">
        <v>3246</v>
      </c>
      <c r="G798" s="2" t="s">
        <v>3247</v>
      </c>
      <c r="H798" s="2" t="s">
        <v>127</v>
      </c>
      <c r="I798" s="2" t="s">
        <v>2558</v>
      </c>
      <c r="J798" s="2" t="s">
        <v>62</v>
      </c>
      <c r="K798" s="2" t="s">
        <v>24</v>
      </c>
      <c r="L798" s="7">
        <v>45931.0</v>
      </c>
      <c r="M798" s="2" t="s">
        <v>48</v>
      </c>
      <c r="N798" s="2" t="s">
        <v>35</v>
      </c>
      <c r="O798" s="2" t="s">
        <v>27</v>
      </c>
      <c r="P798" s="2" t="s">
        <v>28</v>
      </c>
    </row>
    <row r="799" ht="14.25" customHeight="1">
      <c r="A799" s="6">
        <v>9340570.0</v>
      </c>
      <c r="B799" s="2" t="s">
        <v>3248</v>
      </c>
      <c r="C799" s="2" t="s">
        <v>17</v>
      </c>
      <c r="D799" s="2" t="s">
        <v>57</v>
      </c>
      <c r="E799" s="2" t="s">
        <v>3249</v>
      </c>
      <c r="F799" s="2" t="s">
        <v>3249</v>
      </c>
      <c r="G799" s="2" t="s">
        <v>3250</v>
      </c>
      <c r="H799" s="2" t="s">
        <v>127</v>
      </c>
      <c r="I799" s="2" t="s">
        <v>135</v>
      </c>
      <c r="J799" s="2" t="s">
        <v>62</v>
      </c>
      <c r="K799" s="2" t="s">
        <v>24</v>
      </c>
      <c r="L799" s="7">
        <v>45931.0</v>
      </c>
      <c r="M799" s="2" t="s">
        <v>48</v>
      </c>
      <c r="N799" s="2" t="s">
        <v>35</v>
      </c>
      <c r="O799" s="2" t="s">
        <v>27</v>
      </c>
      <c r="P799" s="2" t="s">
        <v>28</v>
      </c>
    </row>
    <row r="800" ht="14.25" customHeight="1">
      <c r="A800" s="6">
        <v>1.9509692E7</v>
      </c>
      <c r="B800" s="2" t="s">
        <v>3251</v>
      </c>
      <c r="C800" s="2" t="s">
        <v>17</v>
      </c>
      <c r="D800" s="2" t="s">
        <v>167</v>
      </c>
      <c r="E800" s="2" t="s">
        <v>3252</v>
      </c>
      <c r="F800" s="2" t="s">
        <v>3252</v>
      </c>
      <c r="G800" s="2" t="s">
        <v>3253</v>
      </c>
      <c r="H800" s="2" t="s">
        <v>127</v>
      </c>
      <c r="I800" s="2" t="s">
        <v>2558</v>
      </c>
      <c r="J800" s="2" t="s">
        <v>62</v>
      </c>
      <c r="K800" s="2" t="s">
        <v>24</v>
      </c>
      <c r="L800" s="7">
        <v>45931.0</v>
      </c>
      <c r="M800" s="2" t="s">
        <v>48</v>
      </c>
      <c r="N800" s="2" t="s">
        <v>35</v>
      </c>
      <c r="O800" s="2" t="s">
        <v>27</v>
      </c>
      <c r="P800" s="2" t="s">
        <v>28</v>
      </c>
    </row>
    <row r="801" ht="14.25" customHeight="1">
      <c r="A801" s="6">
        <v>1.874571E7</v>
      </c>
      <c r="B801" s="2" t="s">
        <v>3254</v>
      </c>
      <c r="C801" s="2" t="s">
        <v>17</v>
      </c>
      <c r="D801" s="2" t="s">
        <v>88</v>
      </c>
      <c r="E801" s="2" t="s">
        <v>3255</v>
      </c>
      <c r="F801" s="2" t="s">
        <v>3255</v>
      </c>
      <c r="G801" s="2" t="s">
        <v>3256</v>
      </c>
      <c r="H801" s="2" t="s">
        <v>127</v>
      </c>
      <c r="I801" s="2" t="s">
        <v>128</v>
      </c>
      <c r="J801" s="2" t="s">
        <v>62</v>
      </c>
      <c r="K801" s="2" t="s">
        <v>630</v>
      </c>
      <c r="L801" s="7">
        <v>45866.0</v>
      </c>
      <c r="M801" s="2" t="s">
        <v>48</v>
      </c>
      <c r="N801" s="2" t="s">
        <v>35</v>
      </c>
      <c r="O801" s="2" t="s">
        <v>27</v>
      </c>
      <c r="P801" s="2" t="s">
        <v>28</v>
      </c>
    </row>
    <row r="802" ht="14.25" customHeight="1">
      <c r="A802" s="6">
        <v>2.0613238E7</v>
      </c>
      <c r="B802" s="2" t="s">
        <v>3257</v>
      </c>
      <c r="C802" s="2" t="s">
        <v>17</v>
      </c>
      <c r="D802" s="2" t="s">
        <v>57</v>
      </c>
      <c r="E802" s="2" t="s">
        <v>3258</v>
      </c>
      <c r="F802" s="2" t="s">
        <v>3258</v>
      </c>
      <c r="G802" s="2" t="s">
        <v>3259</v>
      </c>
      <c r="H802" s="2" t="s">
        <v>127</v>
      </c>
      <c r="I802" s="2" t="s">
        <v>128</v>
      </c>
      <c r="J802" s="2" t="s">
        <v>62</v>
      </c>
      <c r="K802" s="2" t="s">
        <v>24</v>
      </c>
      <c r="L802" s="7">
        <v>45931.0</v>
      </c>
      <c r="M802" s="2" t="s">
        <v>48</v>
      </c>
      <c r="N802" s="2" t="s">
        <v>35</v>
      </c>
      <c r="O802" s="2" t="s">
        <v>27</v>
      </c>
      <c r="P802" s="2" t="s">
        <v>28</v>
      </c>
    </row>
    <row r="803" ht="14.25" customHeight="1">
      <c r="A803" s="6">
        <v>1.8965404E7</v>
      </c>
      <c r="B803" s="2" t="s">
        <v>3260</v>
      </c>
      <c r="C803" s="2" t="s">
        <v>17</v>
      </c>
      <c r="D803" s="2" t="s">
        <v>38</v>
      </c>
      <c r="E803" s="2" t="s">
        <v>3261</v>
      </c>
      <c r="F803" s="2" t="s">
        <v>3261</v>
      </c>
      <c r="G803" s="2" t="s">
        <v>3262</v>
      </c>
      <c r="H803" s="2" t="s">
        <v>127</v>
      </c>
      <c r="I803" s="2" t="s">
        <v>3068</v>
      </c>
      <c r="J803" s="2" t="s">
        <v>62</v>
      </c>
      <c r="K803" s="2" t="s">
        <v>630</v>
      </c>
      <c r="L803" s="7">
        <v>45566.0</v>
      </c>
      <c r="M803" s="2" t="s">
        <v>48</v>
      </c>
      <c r="N803" s="2" t="s">
        <v>35</v>
      </c>
      <c r="O803" s="2" t="s">
        <v>200</v>
      </c>
      <c r="P803" s="2" t="s">
        <v>194</v>
      </c>
    </row>
    <row r="804" ht="14.25" customHeight="1">
      <c r="A804" s="6">
        <v>1.7206159E7</v>
      </c>
      <c r="B804" s="2" t="s">
        <v>3263</v>
      </c>
      <c r="C804" s="2" t="s">
        <v>17</v>
      </c>
      <c r="D804" s="2" t="s">
        <v>18</v>
      </c>
      <c r="E804" s="2" t="s">
        <v>3264</v>
      </c>
      <c r="F804" s="2" t="s">
        <v>3264</v>
      </c>
      <c r="G804" s="2" t="s">
        <v>3265</v>
      </c>
      <c r="H804" s="2" t="s">
        <v>127</v>
      </c>
      <c r="I804" s="2" t="s">
        <v>2565</v>
      </c>
      <c r="J804" s="2" t="s">
        <v>62</v>
      </c>
      <c r="K804" s="2" t="s">
        <v>113</v>
      </c>
      <c r="L804" s="7">
        <v>44682.0</v>
      </c>
      <c r="M804" s="2" t="s">
        <v>25</v>
      </c>
      <c r="N804" s="2" t="s">
        <v>35</v>
      </c>
      <c r="O804" s="2" t="s">
        <v>27</v>
      </c>
      <c r="P804" s="2" t="s">
        <v>36</v>
      </c>
    </row>
    <row r="805" ht="14.25" customHeight="1">
      <c r="A805" s="6">
        <v>1.7004979E7</v>
      </c>
      <c r="B805" s="2" t="s">
        <v>3266</v>
      </c>
      <c r="C805" s="2" t="s">
        <v>17</v>
      </c>
      <c r="D805" s="2" t="s">
        <v>18</v>
      </c>
      <c r="E805" s="2" t="s">
        <v>3267</v>
      </c>
      <c r="F805" s="2" t="s">
        <v>3267</v>
      </c>
      <c r="G805" s="2" t="s">
        <v>3268</v>
      </c>
      <c r="H805" s="2" t="s">
        <v>127</v>
      </c>
      <c r="I805" s="2" t="s">
        <v>622</v>
      </c>
      <c r="J805" s="2" t="s">
        <v>62</v>
      </c>
      <c r="K805" s="2" t="s">
        <v>630</v>
      </c>
      <c r="L805" s="7">
        <v>45334.0</v>
      </c>
      <c r="M805" s="2" t="s">
        <v>48</v>
      </c>
      <c r="N805" s="2" t="s">
        <v>35</v>
      </c>
      <c r="O805" s="2" t="s">
        <v>27</v>
      </c>
      <c r="P805" s="2" t="s">
        <v>28</v>
      </c>
    </row>
    <row r="806" ht="14.25" customHeight="1">
      <c r="A806" s="6">
        <v>1.7445691E7</v>
      </c>
      <c r="B806" s="2" t="s">
        <v>3269</v>
      </c>
      <c r="C806" s="2" t="s">
        <v>17</v>
      </c>
      <c r="D806" s="2" t="s">
        <v>18</v>
      </c>
      <c r="E806" s="2" t="s">
        <v>3270</v>
      </c>
      <c r="F806" s="2" t="s">
        <v>3270</v>
      </c>
      <c r="G806" s="2" t="s">
        <v>3271</v>
      </c>
      <c r="H806" s="2" t="s">
        <v>127</v>
      </c>
      <c r="I806" s="2" t="s">
        <v>622</v>
      </c>
      <c r="J806" s="2" t="s">
        <v>62</v>
      </c>
      <c r="K806" s="2" t="s">
        <v>630</v>
      </c>
      <c r="L806" s="7">
        <v>45631.0</v>
      </c>
      <c r="M806" s="2" t="s">
        <v>48</v>
      </c>
      <c r="N806" s="2" t="s">
        <v>35</v>
      </c>
      <c r="O806" s="2" t="s">
        <v>27</v>
      </c>
      <c r="P806" s="2" t="s">
        <v>28</v>
      </c>
    </row>
    <row r="807" ht="14.25" customHeight="1">
      <c r="A807" s="6">
        <v>1.7570949E7</v>
      </c>
      <c r="B807" s="2" t="s">
        <v>3272</v>
      </c>
      <c r="C807" s="2" t="s">
        <v>17</v>
      </c>
      <c r="D807" s="2" t="s">
        <v>38</v>
      </c>
      <c r="E807" s="2" t="s">
        <v>3273</v>
      </c>
      <c r="F807" s="2" t="s">
        <v>3273</v>
      </c>
      <c r="G807" s="2" t="s">
        <v>3274</v>
      </c>
      <c r="H807" s="2" t="s">
        <v>127</v>
      </c>
      <c r="I807" s="2" t="s">
        <v>622</v>
      </c>
      <c r="J807" s="2" t="s">
        <v>62</v>
      </c>
      <c r="K807" s="2" t="s">
        <v>630</v>
      </c>
      <c r="L807" s="7">
        <v>45628.0</v>
      </c>
      <c r="M807" s="2" t="s">
        <v>48</v>
      </c>
      <c r="N807" s="2" t="s">
        <v>35</v>
      </c>
      <c r="O807" s="2" t="s">
        <v>27</v>
      </c>
      <c r="P807" s="2" t="s">
        <v>28</v>
      </c>
    </row>
    <row r="808" ht="14.25" customHeight="1">
      <c r="A808" s="6">
        <v>1.7641264E7</v>
      </c>
      <c r="B808" s="2" t="s">
        <v>3275</v>
      </c>
      <c r="C808" s="2" t="s">
        <v>17</v>
      </c>
      <c r="D808" s="2" t="s">
        <v>167</v>
      </c>
      <c r="E808" s="2" t="s">
        <v>3276</v>
      </c>
      <c r="F808" s="2" t="s">
        <v>3276</v>
      </c>
      <c r="G808" s="2" t="s">
        <v>3277</v>
      </c>
      <c r="H808" s="2" t="s">
        <v>127</v>
      </c>
      <c r="I808" s="2" t="s">
        <v>622</v>
      </c>
      <c r="J808" s="2" t="s">
        <v>62</v>
      </c>
      <c r="K808" s="2" t="s">
        <v>630</v>
      </c>
      <c r="L808" s="7">
        <v>45600.0</v>
      </c>
      <c r="M808" s="2" t="s">
        <v>48</v>
      </c>
      <c r="N808" s="2" t="s">
        <v>35</v>
      </c>
      <c r="O808" s="2" t="s">
        <v>27</v>
      </c>
      <c r="P808" s="2" t="s">
        <v>28</v>
      </c>
    </row>
    <row r="809" ht="14.25" customHeight="1">
      <c r="A809" s="6">
        <v>1.8333448E7</v>
      </c>
      <c r="B809" s="2" t="s">
        <v>3278</v>
      </c>
      <c r="C809" s="2" t="s">
        <v>17</v>
      </c>
      <c r="D809" s="2" t="s">
        <v>88</v>
      </c>
      <c r="E809" s="2" t="s">
        <v>3279</v>
      </c>
      <c r="F809" s="2" t="s">
        <v>3279</v>
      </c>
      <c r="G809" s="2" t="s">
        <v>3280</v>
      </c>
      <c r="H809" s="2" t="s">
        <v>127</v>
      </c>
      <c r="I809" s="2" t="s">
        <v>622</v>
      </c>
      <c r="J809" s="2" t="s">
        <v>62</v>
      </c>
      <c r="K809" s="2" t="s">
        <v>630</v>
      </c>
      <c r="L809" s="7">
        <v>45663.0</v>
      </c>
      <c r="M809" s="2" t="s">
        <v>48</v>
      </c>
      <c r="N809" s="2" t="s">
        <v>35</v>
      </c>
      <c r="O809" s="2" t="s">
        <v>27</v>
      </c>
      <c r="P809" s="2" t="s">
        <v>28</v>
      </c>
    </row>
    <row r="810" ht="14.25" customHeight="1">
      <c r="A810" s="6">
        <v>1.8433641E7</v>
      </c>
      <c r="B810" s="2" t="s">
        <v>3281</v>
      </c>
      <c r="C810" s="2" t="s">
        <v>17</v>
      </c>
      <c r="D810" s="2" t="s">
        <v>38</v>
      </c>
      <c r="E810" s="2" t="s">
        <v>3282</v>
      </c>
      <c r="F810" s="2" t="s">
        <v>3282</v>
      </c>
      <c r="G810" s="2" t="s">
        <v>3283</v>
      </c>
      <c r="H810" s="2" t="s">
        <v>127</v>
      </c>
      <c r="I810" s="2" t="s">
        <v>622</v>
      </c>
      <c r="J810" s="2" t="s">
        <v>62</v>
      </c>
      <c r="K810" s="2" t="s">
        <v>630</v>
      </c>
      <c r="L810" s="7">
        <v>45628.0</v>
      </c>
      <c r="M810" s="2" t="s">
        <v>48</v>
      </c>
      <c r="N810" s="2" t="s">
        <v>35</v>
      </c>
      <c r="O810" s="2" t="s">
        <v>27</v>
      </c>
      <c r="P810" s="2" t="s">
        <v>28</v>
      </c>
    </row>
    <row r="811" ht="14.25" customHeight="1">
      <c r="A811" s="6">
        <v>1.8950117E7</v>
      </c>
      <c r="B811" s="2" t="s">
        <v>3284</v>
      </c>
      <c r="C811" s="2" t="s">
        <v>17</v>
      </c>
      <c r="D811" s="2" t="s">
        <v>18</v>
      </c>
      <c r="E811" s="2" t="s">
        <v>3285</v>
      </c>
      <c r="F811" s="2" t="s">
        <v>3285</v>
      </c>
      <c r="G811" s="2" t="s">
        <v>3286</v>
      </c>
      <c r="H811" s="2" t="s">
        <v>127</v>
      </c>
      <c r="I811" s="2" t="s">
        <v>622</v>
      </c>
      <c r="J811" s="2" t="s">
        <v>62</v>
      </c>
      <c r="K811" s="2" t="s">
        <v>630</v>
      </c>
      <c r="L811" s="7">
        <v>45663.0</v>
      </c>
      <c r="M811" s="2" t="s">
        <v>48</v>
      </c>
      <c r="N811" s="2" t="s">
        <v>35</v>
      </c>
      <c r="O811" s="2" t="s">
        <v>27</v>
      </c>
      <c r="P811" s="2" t="s">
        <v>28</v>
      </c>
    </row>
    <row r="812" ht="14.25" customHeight="1">
      <c r="A812" s="6">
        <v>1.9297859E7</v>
      </c>
      <c r="B812" s="2" t="s">
        <v>3287</v>
      </c>
      <c r="C812" s="2" t="s">
        <v>17</v>
      </c>
      <c r="D812" s="2" t="s">
        <v>88</v>
      </c>
      <c r="E812" s="2" t="s">
        <v>3288</v>
      </c>
      <c r="F812" s="2" t="s">
        <v>3288</v>
      </c>
      <c r="G812" s="2" t="s">
        <v>3289</v>
      </c>
      <c r="H812" s="2" t="s">
        <v>127</v>
      </c>
      <c r="I812" s="2" t="s">
        <v>622</v>
      </c>
      <c r="J812" s="2" t="s">
        <v>62</v>
      </c>
      <c r="K812" s="2" t="s">
        <v>630</v>
      </c>
      <c r="L812" s="7">
        <v>45628.0</v>
      </c>
      <c r="M812" s="2" t="s">
        <v>48</v>
      </c>
      <c r="N812" s="2" t="s">
        <v>35</v>
      </c>
      <c r="O812" s="2" t="s">
        <v>27</v>
      </c>
      <c r="P812" s="2" t="s">
        <v>28</v>
      </c>
    </row>
    <row r="813" ht="14.25" customHeight="1">
      <c r="A813" s="6">
        <v>1.9578149E7</v>
      </c>
      <c r="B813" s="2" t="s">
        <v>3290</v>
      </c>
      <c r="C813" s="2" t="s">
        <v>17</v>
      </c>
      <c r="D813" s="2" t="s">
        <v>88</v>
      </c>
      <c r="E813" s="2" t="s">
        <v>3291</v>
      </c>
      <c r="F813" s="2" t="s">
        <v>3291</v>
      </c>
      <c r="G813" s="2" t="s">
        <v>3292</v>
      </c>
      <c r="H813" s="2" t="s">
        <v>127</v>
      </c>
      <c r="I813" s="2" t="s">
        <v>622</v>
      </c>
      <c r="J813" s="2" t="s">
        <v>62</v>
      </c>
      <c r="K813" s="2" t="s">
        <v>630</v>
      </c>
      <c r="L813" s="7">
        <v>45323.0</v>
      </c>
      <c r="M813" s="2" t="s">
        <v>48</v>
      </c>
      <c r="N813" s="2" t="s">
        <v>35</v>
      </c>
      <c r="O813" s="2" t="s">
        <v>27</v>
      </c>
      <c r="P813" s="2" t="s">
        <v>28</v>
      </c>
    </row>
    <row r="814" ht="14.25" customHeight="1">
      <c r="A814" s="6">
        <v>1.9799683E7</v>
      </c>
      <c r="B814" s="2" t="s">
        <v>3293</v>
      </c>
      <c r="C814" s="2" t="s">
        <v>17</v>
      </c>
      <c r="D814" s="2" t="s">
        <v>18</v>
      </c>
      <c r="E814" s="2" t="s">
        <v>3294</v>
      </c>
      <c r="F814" s="2" t="s">
        <v>3294</v>
      </c>
      <c r="G814" s="2" t="s">
        <v>3295</v>
      </c>
      <c r="H814" s="2" t="s">
        <v>127</v>
      </c>
      <c r="I814" s="2" t="s">
        <v>622</v>
      </c>
      <c r="J814" s="2" t="s">
        <v>62</v>
      </c>
      <c r="K814" s="2" t="s">
        <v>630</v>
      </c>
      <c r="L814" s="7">
        <v>45754.0</v>
      </c>
      <c r="M814" s="2" t="s">
        <v>48</v>
      </c>
      <c r="N814" s="2" t="s">
        <v>35</v>
      </c>
      <c r="O814" s="2" t="s">
        <v>27</v>
      </c>
      <c r="P814" s="2" t="s">
        <v>28</v>
      </c>
    </row>
    <row r="815" ht="14.25" customHeight="1">
      <c r="A815" s="6">
        <v>1.9814462E7</v>
      </c>
      <c r="B815" s="2" t="s">
        <v>3296</v>
      </c>
      <c r="C815" s="2" t="s">
        <v>17</v>
      </c>
      <c r="D815" s="2" t="s">
        <v>18</v>
      </c>
      <c r="E815" s="2" t="s">
        <v>3297</v>
      </c>
      <c r="F815" s="2" t="s">
        <v>3297</v>
      </c>
      <c r="G815" s="2" t="s">
        <v>3298</v>
      </c>
      <c r="H815" s="2" t="s">
        <v>127</v>
      </c>
      <c r="I815" s="2" t="s">
        <v>622</v>
      </c>
      <c r="J815" s="2" t="s">
        <v>62</v>
      </c>
      <c r="K815" s="2" t="s">
        <v>630</v>
      </c>
      <c r="L815" s="7">
        <v>44531.0</v>
      </c>
      <c r="M815" s="2" t="s">
        <v>48</v>
      </c>
      <c r="N815" s="2" t="s">
        <v>35</v>
      </c>
      <c r="O815" s="2" t="s">
        <v>27</v>
      </c>
      <c r="P815" s="2" t="s">
        <v>28</v>
      </c>
    </row>
    <row r="816" ht="14.25" customHeight="1">
      <c r="A816" s="6">
        <v>2.0868667E7</v>
      </c>
      <c r="B816" s="2" t="s">
        <v>3299</v>
      </c>
      <c r="C816" s="2" t="s">
        <v>17</v>
      </c>
      <c r="D816" s="2" t="s">
        <v>18</v>
      </c>
      <c r="E816" s="2" t="s">
        <v>3300</v>
      </c>
      <c r="F816" s="2" t="s">
        <v>3300</v>
      </c>
      <c r="G816" s="2" t="s">
        <v>3301</v>
      </c>
      <c r="H816" s="2" t="s">
        <v>127</v>
      </c>
      <c r="I816" s="2" t="s">
        <v>622</v>
      </c>
      <c r="J816" s="2" t="s">
        <v>62</v>
      </c>
      <c r="K816" s="2" t="s">
        <v>630</v>
      </c>
      <c r="L816" s="7">
        <v>45352.0</v>
      </c>
      <c r="M816" s="2" t="s">
        <v>48</v>
      </c>
      <c r="N816" s="2" t="s">
        <v>35</v>
      </c>
      <c r="O816" s="2" t="s">
        <v>27</v>
      </c>
      <c r="P816" s="2" t="s">
        <v>28</v>
      </c>
    </row>
    <row r="817" ht="14.25" customHeight="1">
      <c r="A817" s="6">
        <v>2.1130789E7</v>
      </c>
      <c r="B817" s="2" t="s">
        <v>3302</v>
      </c>
      <c r="C817" s="2" t="s">
        <v>17</v>
      </c>
      <c r="D817" s="2" t="s">
        <v>38</v>
      </c>
      <c r="E817" s="2" t="s">
        <v>3303</v>
      </c>
      <c r="F817" s="2" t="s">
        <v>3303</v>
      </c>
      <c r="G817" s="2" t="s">
        <v>3304</v>
      </c>
      <c r="H817" s="2" t="s">
        <v>127</v>
      </c>
      <c r="I817" s="2" t="s">
        <v>622</v>
      </c>
      <c r="J817" s="2" t="s">
        <v>62</v>
      </c>
      <c r="K817" s="2" t="s">
        <v>630</v>
      </c>
      <c r="L817" s="7">
        <v>45384.0</v>
      </c>
      <c r="M817" s="2" t="s">
        <v>48</v>
      </c>
      <c r="N817" s="2" t="s">
        <v>35</v>
      </c>
      <c r="O817" s="2" t="s">
        <v>27</v>
      </c>
      <c r="P817" s="2" t="s">
        <v>28</v>
      </c>
    </row>
    <row r="818" ht="14.25" customHeight="1">
      <c r="A818" s="6">
        <v>2.1265993E7</v>
      </c>
      <c r="B818" s="2" t="s">
        <v>3305</v>
      </c>
      <c r="C818" s="2" t="s">
        <v>17</v>
      </c>
      <c r="D818" s="2" t="s">
        <v>88</v>
      </c>
      <c r="E818" s="2" t="s">
        <v>3306</v>
      </c>
      <c r="F818" s="2" t="s">
        <v>3306</v>
      </c>
      <c r="G818" s="2" t="s">
        <v>3307</v>
      </c>
      <c r="H818" s="2" t="s">
        <v>127</v>
      </c>
      <c r="I818" s="2" t="s">
        <v>622</v>
      </c>
      <c r="J818" s="2" t="s">
        <v>62</v>
      </c>
      <c r="K818" s="2" t="s">
        <v>630</v>
      </c>
      <c r="L818" s="7">
        <v>45264.0</v>
      </c>
      <c r="M818" s="2" t="s">
        <v>48</v>
      </c>
      <c r="N818" s="2" t="s">
        <v>35</v>
      </c>
      <c r="O818" s="2" t="s">
        <v>27</v>
      </c>
      <c r="P818" s="2" t="s">
        <v>28</v>
      </c>
    </row>
    <row r="819" ht="14.25" customHeight="1">
      <c r="A819" s="6">
        <v>1.9799758E7</v>
      </c>
      <c r="B819" s="2" t="s">
        <v>3308</v>
      </c>
      <c r="C819" s="2" t="s">
        <v>17</v>
      </c>
      <c r="D819" s="2" t="s">
        <v>88</v>
      </c>
      <c r="E819" s="2" t="s">
        <v>3309</v>
      </c>
      <c r="F819" s="2" t="s">
        <v>3309</v>
      </c>
      <c r="G819" s="2" t="s">
        <v>3310</v>
      </c>
      <c r="H819" s="2" t="s">
        <v>127</v>
      </c>
      <c r="I819" s="2" t="s">
        <v>622</v>
      </c>
      <c r="J819" s="2" t="s">
        <v>62</v>
      </c>
      <c r="K819" s="2" t="s">
        <v>630</v>
      </c>
      <c r="L819" s="7">
        <v>45323.0</v>
      </c>
      <c r="M819" s="2" t="s">
        <v>48</v>
      </c>
      <c r="N819" s="2" t="s">
        <v>35</v>
      </c>
      <c r="O819" s="2" t="s">
        <v>27</v>
      </c>
      <c r="P819" s="2" t="s">
        <v>28</v>
      </c>
    </row>
    <row r="820" ht="14.25" customHeight="1">
      <c r="A820" s="6">
        <v>1.8150095E7</v>
      </c>
      <c r="B820" s="2" t="s">
        <v>3311</v>
      </c>
      <c r="C820" s="2" t="s">
        <v>17</v>
      </c>
      <c r="D820" s="2" t="s">
        <v>57</v>
      </c>
      <c r="E820" s="2" t="s">
        <v>3312</v>
      </c>
      <c r="F820" s="2" t="s">
        <v>3312</v>
      </c>
      <c r="G820" s="2" t="s">
        <v>3313</v>
      </c>
      <c r="H820" s="2" t="s">
        <v>127</v>
      </c>
      <c r="I820" s="2" t="s">
        <v>135</v>
      </c>
      <c r="J820" s="2" t="s">
        <v>62</v>
      </c>
      <c r="K820" s="2" t="s">
        <v>24</v>
      </c>
      <c r="L820" s="7">
        <v>45931.0</v>
      </c>
      <c r="M820" s="2" t="s">
        <v>48</v>
      </c>
      <c r="N820" s="2" t="s">
        <v>35</v>
      </c>
      <c r="O820" s="2" t="s">
        <v>27</v>
      </c>
      <c r="P820" s="2" t="s">
        <v>28</v>
      </c>
    </row>
    <row r="821" ht="14.25" customHeight="1">
      <c r="A821" s="6">
        <v>2.0951605E7</v>
      </c>
      <c r="B821" s="2" t="s">
        <v>3314</v>
      </c>
      <c r="C821" s="2" t="s">
        <v>17</v>
      </c>
      <c r="D821" s="2" t="s">
        <v>167</v>
      </c>
      <c r="E821" s="2" t="s">
        <v>3315</v>
      </c>
      <c r="F821" s="2" t="s">
        <v>3315</v>
      </c>
      <c r="G821" s="2" t="s">
        <v>3316</v>
      </c>
      <c r="H821" s="2" t="s">
        <v>127</v>
      </c>
      <c r="I821" s="2" t="s">
        <v>128</v>
      </c>
      <c r="J821" s="2" t="s">
        <v>62</v>
      </c>
      <c r="K821" s="2" t="s">
        <v>24</v>
      </c>
      <c r="L821" s="7">
        <v>45931.0</v>
      </c>
      <c r="M821" s="2" t="s">
        <v>48</v>
      </c>
      <c r="N821" s="2" t="s">
        <v>35</v>
      </c>
      <c r="O821" s="2" t="s">
        <v>27</v>
      </c>
      <c r="P821" s="2" t="s">
        <v>28</v>
      </c>
    </row>
    <row r="822" ht="14.25" customHeight="1">
      <c r="A822" s="6">
        <v>1.4005846E7</v>
      </c>
      <c r="B822" s="2" t="s">
        <v>3317</v>
      </c>
      <c r="C822" s="2" t="s">
        <v>17</v>
      </c>
      <c r="D822" s="2" t="s">
        <v>831</v>
      </c>
      <c r="E822" s="2" t="s">
        <v>3318</v>
      </c>
      <c r="F822" s="2" t="s">
        <v>3318</v>
      </c>
      <c r="G822" s="2" t="s">
        <v>3319</v>
      </c>
      <c r="H822" s="2" t="s">
        <v>127</v>
      </c>
      <c r="I822" s="2" t="s">
        <v>128</v>
      </c>
      <c r="J822" s="2" t="s">
        <v>62</v>
      </c>
      <c r="K822" s="2" t="s">
        <v>24</v>
      </c>
      <c r="L822" s="7">
        <v>45931.0</v>
      </c>
      <c r="M822" s="2" t="s">
        <v>48</v>
      </c>
      <c r="N822" s="2" t="s">
        <v>35</v>
      </c>
      <c r="O822" s="2" t="s">
        <v>27</v>
      </c>
      <c r="P822" s="2" t="s">
        <v>28</v>
      </c>
    </row>
    <row r="823" ht="14.25" customHeight="1">
      <c r="A823" s="6">
        <v>1.1617791E7</v>
      </c>
      <c r="B823" s="2" t="s">
        <v>3320</v>
      </c>
      <c r="C823" s="2" t="s">
        <v>17</v>
      </c>
      <c r="D823" s="2" t="s">
        <v>57</v>
      </c>
      <c r="E823" s="2" t="s">
        <v>3321</v>
      </c>
      <c r="F823" s="2" t="s">
        <v>3321</v>
      </c>
      <c r="G823" s="2" t="s">
        <v>3322</v>
      </c>
      <c r="H823" s="2" t="s">
        <v>127</v>
      </c>
      <c r="I823" s="2" t="s">
        <v>128</v>
      </c>
      <c r="J823" s="2" t="s">
        <v>62</v>
      </c>
      <c r="K823" s="2" t="s">
        <v>24</v>
      </c>
      <c r="L823" s="7">
        <v>45931.0</v>
      </c>
      <c r="M823" s="2" t="s">
        <v>48</v>
      </c>
      <c r="N823" s="2" t="s">
        <v>35</v>
      </c>
      <c r="O823" s="2" t="s">
        <v>27</v>
      </c>
      <c r="P823" s="2" t="s">
        <v>28</v>
      </c>
    </row>
    <row r="824" ht="14.25" customHeight="1">
      <c r="A824" s="6">
        <v>1.4393543E7</v>
      </c>
      <c r="B824" s="2" t="s">
        <v>3323</v>
      </c>
      <c r="C824" s="2" t="s">
        <v>17</v>
      </c>
      <c r="D824" s="2" t="s">
        <v>167</v>
      </c>
      <c r="E824" s="2" t="s">
        <v>3324</v>
      </c>
      <c r="F824" s="2" t="s">
        <v>3324</v>
      </c>
      <c r="G824" s="2" t="s">
        <v>3325</v>
      </c>
      <c r="H824" s="2" t="s">
        <v>127</v>
      </c>
      <c r="I824" s="2" t="s">
        <v>128</v>
      </c>
      <c r="J824" s="2" t="s">
        <v>62</v>
      </c>
      <c r="K824" s="2" t="s">
        <v>24</v>
      </c>
      <c r="L824" s="7">
        <v>45931.0</v>
      </c>
      <c r="M824" s="2" t="s">
        <v>48</v>
      </c>
      <c r="N824" s="2" t="s">
        <v>35</v>
      </c>
      <c r="O824" s="2" t="s">
        <v>27</v>
      </c>
      <c r="P824" s="2" t="s">
        <v>28</v>
      </c>
    </row>
    <row r="825" ht="14.25" customHeight="1">
      <c r="A825" s="6">
        <v>1.8069291E7</v>
      </c>
      <c r="B825" s="2" t="s">
        <v>3326</v>
      </c>
      <c r="C825" s="2" t="s">
        <v>17</v>
      </c>
      <c r="D825" s="2" t="s">
        <v>167</v>
      </c>
      <c r="E825" s="2" t="s">
        <v>3327</v>
      </c>
      <c r="F825" s="2" t="s">
        <v>3327</v>
      </c>
      <c r="G825" s="2" t="s">
        <v>3328</v>
      </c>
      <c r="H825" s="2" t="s">
        <v>127</v>
      </c>
      <c r="I825" s="2" t="s">
        <v>128</v>
      </c>
      <c r="J825" s="2" t="s">
        <v>62</v>
      </c>
      <c r="K825" s="2" t="s">
        <v>24</v>
      </c>
      <c r="L825" s="7">
        <v>45931.0</v>
      </c>
      <c r="M825" s="2" t="s">
        <v>48</v>
      </c>
      <c r="N825" s="2" t="s">
        <v>35</v>
      </c>
      <c r="O825" s="2" t="s">
        <v>27</v>
      </c>
      <c r="P825" s="2" t="s">
        <v>28</v>
      </c>
    </row>
    <row r="826" ht="14.25" customHeight="1">
      <c r="A826" s="6">
        <v>1.0926581E7</v>
      </c>
      <c r="B826" s="2" t="s">
        <v>3329</v>
      </c>
      <c r="C826" s="2" t="s">
        <v>17</v>
      </c>
      <c r="D826" s="2" t="s">
        <v>167</v>
      </c>
      <c r="E826" s="2" t="s">
        <v>3330</v>
      </c>
      <c r="F826" s="2" t="s">
        <v>3330</v>
      </c>
      <c r="G826" s="2" t="s">
        <v>3331</v>
      </c>
      <c r="H826" s="2" t="s">
        <v>127</v>
      </c>
      <c r="I826" s="2" t="s">
        <v>128</v>
      </c>
      <c r="J826" s="2" t="s">
        <v>62</v>
      </c>
      <c r="K826" s="2" t="s">
        <v>24</v>
      </c>
      <c r="L826" s="7">
        <v>45931.0</v>
      </c>
      <c r="M826" s="2" t="s">
        <v>48</v>
      </c>
      <c r="N826" s="2" t="s">
        <v>35</v>
      </c>
      <c r="O826" s="2" t="s">
        <v>27</v>
      </c>
      <c r="P826" s="2" t="s">
        <v>28</v>
      </c>
    </row>
    <row r="827" ht="14.25" customHeight="1">
      <c r="A827" s="6">
        <v>1.1684652E7</v>
      </c>
      <c r="B827" s="2" t="s">
        <v>3332</v>
      </c>
      <c r="C827" s="2" t="s">
        <v>17</v>
      </c>
      <c r="D827" s="2" t="s">
        <v>38</v>
      </c>
      <c r="E827" s="2" t="s">
        <v>3333</v>
      </c>
      <c r="F827" s="2" t="s">
        <v>3333</v>
      </c>
      <c r="G827" s="2" t="s">
        <v>3334</v>
      </c>
      <c r="H827" s="2" t="s">
        <v>127</v>
      </c>
      <c r="I827" s="2" t="s">
        <v>128</v>
      </c>
      <c r="J827" s="2" t="s">
        <v>62</v>
      </c>
      <c r="K827" s="2" t="s">
        <v>24</v>
      </c>
      <c r="L827" s="7">
        <v>45931.0</v>
      </c>
      <c r="M827" s="2" t="s">
        <v>48</v>
      </c>
      <c r="N827" s="2" t="s">
        <v>35</v>
      </c>
      <c r="O827" s="2" t="s">
        <v>27</v>
      </c>
      <c r="P827" s="2" t="s">
        <v>28</v>
      </c>
    </row>
    <row r="828" ht="14.25" customHeight="1">
      <c r="A828" s="6">
        <v>1.5615512E7</v>
      </c>
      <c r="B828" s="2" t="s">
        <v>3335</v>
      </c>
      <c r="C828" s="2" t="s">
        <v>17</v>
      </c>
      <c r="D828" s="2" t="s">
        <v>57</v>
      </c>
      <c r="E828" s="2" t="s">
        <v>3336</v>
      </c>
      <c r="F828" s="2" t="s">
        <v>3336</v>
      </c>
      <c r="G828" s="2" t="s">
        <v>3337</v>
      </c>
      <c r="H828" s="2" t="s">
        <v>127</v>
      </c>
      <c r="I828" s="2" t="s">
        <v>128</v>
      </c>
      <c r="J828" s="2" t="s">
        <v>62</v>
      </c>
      <c r="K828" s="2" t="s">
        <v>24</v>
      </c>
      <c r="L828" s="7">
        <v>45931.0</v>
      </c>
      <c r="M828" s="2" t="s">
        <v>48</v>
      </c>
      <c r="N828" s="2" t="s">
        <v>35</v>
      </c>
      <c r="O828" s="2" t="s">
        <v>27</v>
      </c>
      <c r="P828" s="2" t="s">
        <v>28</v>
      </c>
    </row>
    <row r="829" ht="14.25" customHeight="1">
      <c r="A829" s="6">
        <v>1.6353077E7</v>
      </c>
      <c r="B829" s="2" t="s">
        <v>3338</v>
      </c>
      <c r="C829" s="2" t="s">
        <v>17</v>
      </c>
      <c r="D829" s="2" t="s">
        <v>38</v>
      </c>
      <c r="E829" s="2" t="s">
        <v>3339</v>
      </c>
      <c r="F829" s="2" t="s">
        <v>3339</v>
      </c>
      <c r="G829" s="2" t="s">
        <v>3340</v>
      </c>
      <c r="H829" s="2" t="s">
        <v>127</v>
      </c>
      <c r="I829" s="2" t="s">
        <v>128</v>
      </c>
      <c r="J829" s="2" t="s">
        <v>62</v>
      </c>
      <c r="K829" s="2" t="s">
        <v>24</v>
      </c>
      <c r="L829" s="7">
        <v>45931.0</v>
      </c>
      <c r="M829" s="2" t="s">
        <v>48</v>
      </c>
      <c r="N829" s="2" t="s">
        <v>35</v>
      </c>
      <c r="O829" s="2" t="s">
        <v>27</v>
      </c>
      <c r="P829" s="2" t="s">
        <v>28</v>
      </c>
    </row>
    <row r="830" ht="14.25" customHeight="1">
      <c r="A830" s="6">
        <v>1.9139371E7</v>
      </c>
      <c r="B830" s="2" t="s">
        <v>3341</v>
      </c>
      <c r="C830" s="2" t="s">
        <v>17</v>
      </c>
      <c r="D830" s="2" t="s">
        <v>57</v>
      </c>
      <c r="E830" s="2" t="s">
        <v>3342</v>
      </c>
      <c r="F830" s="2" t="s">
        <v>3342</v>
      </c>
      <c r="G830" s="2" t="s">
        <v>3343</v>
      </c>
      <c r="H830" s="2" t="s">
        <v>127</v>
      </c>
      <c r="I830" s="2" t="s">
        <v>128</v>
      </c>
      <c r="J830" s="2" t="s">
        <v>62</v>
      </c>
      <c r="K830" s="2" t="s">
        <v>24</v>
      </c>
      <c r="L830" s="7">
        <v>45931.0</v>
      </c>
      <c r="M830" s="2" t="s">
        <v>48</v>
      </c>
      <c r="N830" s="2" t="s">
        <v>35</v>
      </c>
      <c r="O830" s="2" t="s">
        <v>27</v>
      </c>
      <c r="P830" s="2" t="s">
        <v>28</v>
      </c>
    </row>
    <row r="831" ht="14.25" customHeight="1">
      <c r="A831" s="6">
        <v>1.3791833E7</v>
      </c>
      <c r="B831" s="2" t="s">
        <v>3344</v>
      </c>
      <c r="C831" s="2" t="s">
        <v>17</v>
      </c>
      <c r="D831" s="2" t="s">
        <v>88</v>
      </c>
      <c r="E831" s="2" t="s">
        <v>3345</v>
      </c>
      <c r="F831" s="2" t="s">
        <v>3345</v>
      </c>
      <c r="G831" s="2" t="s">
        <v>3346</v>
      </c>
      <c r="H831" s="2" t="s">
        <v>127</v>
      </c>
      <c r="I831" s="2" t="s">
        <v>128</v>
      </c>
      <c r="J831" s="2" t="s">
        <v>62</v>
      </c>
      <c r="K831" s="2" t="s">
        <v>24</v>
      </c>
      <c r="L831" s="7">
        <v>45931.0</v>
      </c>
      <c r="M831" s="2" t="s">
        <v>48</v>
      </c>
      <c r="N831" s="2" t="s">
        <v>35</v>
      </c>
      <c r="O831" s="2" t="s">
        <v>27</v>
      </c>
      <c r="P831" s="2" t="s">
        <v>28</v>
      </c>
    </row>
    <row r="832" ht="14.25" customHeight="1">
      <c r="A832" s="6">
        <v>2.0125875E7</v>
      </c>
      <c r="B832" s="2" t="s">
        <v>3347</v>
      </c>
      <c r="C832" s="2" t="s">
        <v>17</v>
      </c>
      <c r="D832" s="2" t="s">
        <v>88</v>
      </c>
      <c r="E832" s="2" t="s">
        <v>3348</v>
      </c>
      <c r="F832" s="2" t="s">
        <v>3348</v>
      </c>
      <c r="G832" s="2" t="s">
        <v>3349</v>
      </c>
      <c r="H832" s="2" t="s">
        <v>127</v>
      </c>
      <c r="I832" s="2" t="s">
        <v>128</v>
      </c>
      <c r="J832" s="2" t="s">
        <v>62</v>
      </c>
      <c r="K832" s="2" t="s">
        <v>24</v>
      </c>
      <c r="L832" s="7">
        <v>45931.0</v>
      </c>
      <c r="M832" s="2" t="s">
        <v>48</v>
      </c>
      <c r="N832" s="2" t="s">
        <v>35</v>
      </c>
      <c r="O832" s="2" t="s">
        <v>27</v>
      </c>
      <c r="P832" s="2" t="s">
        <v>28</v>
      </c>
    </row>
    <row r="833" ht="14.25" customHeight="1">
      <c r="A833" s="6">
        <v>1.5955083E7</v>
      </c>
      <c r="B833" s="2" t="s">
        <v>3350</v>
      </c>
      <c r="C833" s="2" t="s">
        <v>17</v>
      </c>
      <c r="D833" s="2" t="s">
        <v>88</v>
      </c>
      <c r="E833" s="2" t="s">
        <v>3351</v>
      </c>
      <c r="F833" s="2" t="s">
        <v>3351</v>
      </c>
      <c r="G833" s="2" t="s">
        <v>3352</v>
      </c>
      <c r="H833" s="2" t="s">
        <v>127</v>
      </c>
      <c r="I833" s="2" t="s">
        <v>128</v>
      </c>
      <c r="J833" s="2" t="s">
        <v>62</v>
      </c>
      <c r="K833" s="2" t="s">
        <v>24</v>
      </c>
      <c r="L833" s="7">
        <v>45931.0</v>
      </c>
      <c r="M833" s="2" t="s">
        <v>48</v>
      </c>
      <c r="N833" s="2" t="s">
        <v>35</v>
      </c>
      <c r="O833" s="2" t="s">
        <v>27</v>
      </c>
      <c r="P833" s="2" t="s">
        <v>28</v>
      </c>
    </row>
    <row r="834" ht="14.25" customHeight="1">
      <c r="A834" s="6">
        <v>1.7540088E7</v>
      </c>
      <c r="B834" s="2" t="s">
        <v>3353</v>
      </c>
      <c r="C834" s="2" t="s">
        <v>17</v>
      </c>
      <c r="D834" s="2" t="s">
        <v>38</v>
      </c>
      <c r="E834" s="2" t="s">
        <v>3354</v>
      </c>
      <c r="F834" s="2" t="s">
        <v>3354</v>
      </c>
      <c r="G834" s="2" t="s">
        <v>3355</v>
      </c>
      <c r="H834" s="2" t="s">
        <v>127</v>
      </c>
      <c r="I834" s="2" t="s">
        <v>128</v>
      </c>
      <c r="J834" s="2" t="s">
        <v>62</v>
      </c>
      <c r="K834" s="2" t="s">
        <v>24</v>
      </c>
      <c r="L834" s="7">
        <v>45931.0</v>
      </c>
      <c r="M834" s="2" t="s">
        <v>48</v>
      </c>
      <c r="N834" s="2" t="s">
        <v>35</v>
      </c>
      <c r="O834" s="2" t="s">
        <v>27</v>
      </c>
      <c r="P834" s="2" t="s">
        <v>28</v>
      </c>
    </row>
    <row r="835" ht="14.25" customHeight="1">
      <c r="A835" s="6">
        <v>1.4061893E7</v>
      </c>
      <c r="B835" s="2" t="s">
        <v>3356</v>
      </c>
      <c r="C835" s="2" t="s">
        <v>17</v>
      </c>
      <c r="D835" s="2" t="s">
        <v>167</v>
      </c>
      <c r="E835" s="2" t="s">
        <v>3357</v>
      </c>
      <c r="F835" s="2" t="s">
        <v>3357</v>
      </c>
      <c r="G835" s="2" t="s">
        <v>3358</v>
      </c>
      <c r="H835" s="2" t="s">
        <v>127</v>
      </c>
      <c r="I835" s="2" t="s">
        <v>128</v>
      </c>
      <c r="J835" s="2" t="s">
        <v>62</v>
      </c>
      <c r="K835" s="2" t="s">
        <v>24</v>
      </c>
      <c r="L835" s="7">
        <v>45931.0</v>
      </c>
      <c r="M835" s="2" t="s">
        <v>48</v>
      </c>
      <c r="N835" s="2" t="s">
        <v>35</v>
      </c>
      <c r="O835" s="2" t="s">
        <v>27</v>
      </c>
      <c r="P835" s="2" t="s">
        <v>28</v>
      </c>
    </row>
    <row r="836" ht="14.25" customHeight="1">
      <c r="A836" s="6">
        <v>1.97993E7</v>
      </c>
      <c r="B836" s="2" t="s">
        <v>3359</v>
      </c>
      <c r="C836" s="2" t="s">
        <v>17</v>
      </c>
      <c r="D836" s="2" t="s">
        <v>38</v>
      </c>
      <c r="E836" s="2" t="s">
        <v>3360</v>
      </c>
      <c r="F836" s="2" t="s">
        <v>3360</v>
      </c>
      <c r="G836" s="2" t="s">
        <v>3361</v>
      </c>
      <c r="H836" s="2" t="s">
        <v>127</v>
      </c>
      <c r="I836" s="2" t="s">
        <v>128</v>
      </c>
      <c r="J836" s="2" t="s">
        <v>62</v>
      </c>
      <c r="K836" s="2" t="s">
        <v>24</v>
      </c>
      <c r="L836" s="7">
        <v>45931.0</v>
      </c>
      <c r="M836" s="2" t="s">
        <v>48</v>
      </c>
      <c r="N836" s="2" t="s">
        <v>35</v>
      </c>
      <c r="O836" s="2" t="s">
        <v>27</v>
      </c>
      <c r="P836" s="2" t="s">
        <v>28</v>
      </c>
    </row>
    <row r="837" ht="14.25" customHeight="1">
      <c r="A837" s="6">
        <v>1.5193188E7</v>
      </c>
      <c r="B837" s="2" t="s">
        <v>3362</v>
      </c>
      <c r="C837" s="2" t="s">
        <v>17</v>
      </c>
      <c r="D837" s="2" t="s">
        <v>167</v>
      </c>
      <c r="E837" s="2" t="s">
        <v>3363</v>
      </c>
      <c r="F837" s="2" t="s">
        <v>3363</v>
      </c>
      <c r="G837" s="2" t="s">
        <v>3364</v>
      </c>
      <c r="H837" s="2" t="s">
        <v>127</v>
      </c>
      <c r="I837" s="2" t="s">
        <v>128</v>
      </c>
      <c r="J837" s="2" t="s">
        <v>62</v>
      </c>
      <c r="K837" s="2" t="s">
        <v>24</v>
      </c>
      <c r="L837" s="7">
        <v>45931.0</v>
      </c>
      <c r="M837" s="2" t="s">
        <v>48</v>
      </c>
      <c r="N837" s="2" t="s">
        <v>35</v>
      </c>
      <c r="O837" s="2" t="s">
        <v>27</v>
      </c>
      <c r="P837" s="2" t="s">
        <v>28</v>
      </c>
    </row>
    <row r="838" ht="14.25" customHeight="1">
      <c r="A838" s="6">
        <v>9942186.0</v>
      </c>
      <c r="B838" s="2" t="s">
        <v>3365</v>
      </c>
      <c r="C838" s="2" t="s">
        <v>17</v>
      </c>
      <c r="D838" s="2" t="s">
        <v>57</v>
      </c>
      <c r="E838" s="2" t="s">
        <v>3366</v>
      </c>
      <c r="F838" s="2" t="s">
        <v>3366</v>
      </c>
      <c r="G838" s="2" t="s">
        <v>3367</v>
      </c>
      <c r="H838" s="2" t="s">
        <v>127</v>
      </c>
      <c r="I838" s="2" t="s">
        <v>128</v>
      </c>
      <c r="J838" s="2" t="s">
        <v>62</v>
      </c>
      <c r="K838" s="2" t="s">
        <v>24</v>
      </c>
      <c r="L838" s="7">
        <v>45931.0</v>
      </c>
      <c r="M838" s="2" t="s">
        <v>48</v>
      </c>
      <c r="N838" s="2" t="s">
        <v>35</v>
      </c>
      <c r="O838" s="2" t="s">
        <v>27</v>
      </c>
      <c r="P838" s="2" t="s">
        <v>28</v>
      </c>
    </row>
    <row r="839" ht="14.25" customHeight="1">
      <c r="A839" s="6">
        <v>1.6229182E7</v>
      </c>
      <c r="B839" s="2" t="s">
        <v>3368</v>
      </c>
      <c r="C839" s="2" t="s">
        <v>17</v>
      </c>
      <c r="D839" s="2" t="s">
        <v>167</v>
      </c>
      <c r="E839" s="2" t="s">
        <v>3369</v>
      </c>
      <c r="F839" s="2" t="s">
        <v>3369</v>
      </c>
      <c r="G839" s="2" t="s">
        <v>3370</v>
      </c>
      <c r="H839" s="2" t="s">
        <v>127</v>
      </c>
      <c r="I839" s="2" t="s">
        <v>128</v>
      </c>
      <c r="J839" s="2" t="s">
        <v>62</v>
      </c>
      <c r="K839" s="2" t="s">
        <v>24</v>
      </c>
      <c r="L839" s="7">
        <v>45931.0</v>
      </c>
      <c r="M839" s="2" t="s">
        <v>48</v>
      </c>
      <c r="N839" s="2" t="s">
        <v>35</v>
      </c>
      <c r="O839" s="2" t="s">
        <v>27</v>
      </c>
      <c r="P839" s="2" t="s">
        <v>28</v>
      </c>
    </row>
    <row r="840" ht="14.25" customHeight="1">
      <c r="A840" s="6">
        <v>1.4462254E7</v>
      </c>
      <c r="B840" s="2" t="s">
        <v>3371</v>
      </c>
      <c r="C840" s="2" t="s">
        <v>17</v>
      </c>
      <c r="D840" s="2" t="s">
        <v>38</v>
      </c>
      <c r="E840" s="2" t="s">
        <v>3372</v>
      </c>
      <c r="F840" s="2" t="s">
        <v>3372</v>
      </c>
      <c r="G840" s="2" t="s">
        <v>3373</v>
      </c>
      <c r="H840" s="2" t="s">
        <v>127</v>
      </c>
      <c r="I840" s="2" t="s">
        <v>128</v>
      </c>
      <c r="J840" s="2" t="s">
        <v>62</v>
      </c>
      <c r="K840" s="2" t="s">
        <v>24</v>
      </c>
      <c r="L840" s="7">
        <v>45931.0</v>
      </c>
      <c r="M840" s="2" t="s">
        <v>48</v>
      </c>
      <c r="N840" s="2" t="s">
        <v>35</v>
      </c>
      <c r="O840" s="2" t="s">
        <v>27</v>
      </c>
      <c r="P840" s="2" t="s">
        <v>28</v>
      </c>
    </row>
    <row r="841" ht="14.25" customHeight="1">
      <c r="A841" s="6">
        <v>1.9531621E7</v>
      </c>
      <c r="B841" s="2" t="s">
        <v>3374</v>
      </c>
      <c r="C841" s="2" t="s">
        <v>17</v>
      </c>
      <c r="D841" s="2" t="s">
        <v>38</v>
      </c>
      <c r="E841" s="2" t="s">
        <v>3375</v>
      </c>
      <c r="F841" s="2" t="s">
        <v>3375</v>
      </c>
      <c r="G841" s="2" t="s">
        <v>3376</v>
      </c>
      <c r="H841" s="2" t="s">
        <v>127</v>
      </c>
      <c r="I841" s="2" t="s">
        <v>128</v>
      </c>
      <c r="J841" s="2" t="s">
        <v>62</v>
      </c>
      <c r="K841" s="2" t="s">
        <v>24</v>
      </c>
      <c r="L841" s="7">
        <v>45931.0</v>
      </c>
      <c r="M841" s="2" t="s">
        <v>48</v>
      </c>
      <c r="N841" s="2" t="s">
        <v>35</v>
      </c>
      <c r="O841" s="2" t="s">
        <v>27</v>
      </c>
      <c r="P841" s="2" t="s">
        <v>28</v>
      </c>
    </row>
    <row r="842" ht="14.25" customHeight="1">
      <c r="A842" s="6">
        <v>1.6229943E7</v>
      </c>
      <c r="B842" s="2" t="s">
        <v>3377</v>
      </c>
      <c r="C842" s="2" t="s">
        <v>17</v>
      </c>
      <c r="D842" s="2" t="s">
        <v>167</v>
      </c>
      <c r="E842" s="2" t="s">
        <v>3378</v>
      </c>
      <c r="F842" s="2" t="s">
        <v>3378</v>
      </c>
      <c r="G842" s="2" t="s">
        <v>3379</v>
      </c>
      <c r="H842" s="2" t="s">
        <v>127</v>
      </c>
      <c r="I842" s="2" t="s">
        <v>128</v>
      </c>
      <c r="J842" s="2" t="s">
        <v>62</v>
      </c>
      <c r="K842" s="2" t="s">
        <v>24</v>
      </c>
      <c r="L842" s="7">
        <v>45931.0</v>
      </c>
      <c r="M842" s="2" t="s">
        <v>48</v>
      </c>
      <c r="N842" s="2" t="s">
        <v>35</v>
      </c>
      <c r="O842" s="2" t="s">
        <v>27</v>
      </c>
      <c r="P842" s="2" t="s">
        <v>28</v>
      </c>
    </row>
    <row r="843" ht="14.25" customHeight="1">
      <c r="A843" s="6">
        <v>1.4214649E7</v>
      </c>
      <c r="B843" s="2" t="s">
        <v>3380</v>
      </c>
      <c r="C843" s="2" t="s">
        <v>17</v>
      </c>
      <c r="D843" s="2" t="s">
        <v>57</v>
      </c>
      <c r="E843" s="2" t="s">
        <v>3381</v>
      </c>
      <c r="F843" s="2" t="s">
        <v>3381</v>
      </c>
      <c r="G843" s="2" t="s">
        <v>3382</v>
      </c>
      <c r="H843" s="2" t="s">
        <v>127</v>
      </c>
      <c r="I843" s="2" t="s">
        <v>128</v>
      </c>
      <c r="J843" s="2" t="s">
        <v>62</v>
      </c>
      <c r="K843" s="2" t="s">
        <v>24</v>
      </c>
      <c r="L843" s="7">
        <v>45931.0</v>
      </c>
      <c r="M843" s="2" t="s">
        <v>48</v>
      </c>
      <c r="N843" s="2" t="s">
        <v>35</v>
      </c>
      <c r="O843" s="2" t="s">
        <v>27</v>
      </c>
      <c r="P843" s="2" t="s">
        <v>28</v>
      </c>
    </row>
    <row r="844" ht="14.25" customHeight="1">
      <c r="A844" s="6">
        <v>9687601.0</v>
      </c>
      <c r="B844" s="2" t="s">
        <v>3383</v>
      </c>
      <c r="C844" s="2" t="s">
        <v>17</v>
      </c>
      <c r="D844" s="2" t="s">
        <v>167</v>
      </c>
      <c r="E844" s="2" t="s">
        <v>3384</v>
      </c>
      <c r="F844" s="2" t="s">
        <v>3384</v>
      </c>
      <c r="G844" s="2" t="s">
        <v>3385</v>
      </c>
      <c r="H844" s="2" t="s">
        <v>127</v>
      </c>
      <c r="I844" s="2" t="s">
        <v>128</v>
      </c>
      <c r="J844" s="2" t="s">
        <v>62</v>
      </c>
      <c r="K844" s="2" t="s">
        <v>24</v>
      </c>
      <c r="L844" s="7">
        <v>45931.0</v>
      </c>
      <c r="M844" s="2" t="s">
        <v>48</v>
      </c>
      <c r="N844" s="2" t="s">
        <v>35</v>
      </c>
      <c r="O844" s="2" t="s">
        <v>27</v>
      </c>
      <c r="P844" s="2" t="s">
        <v>28</v>
      </c>
    </row>
    <row r="845" ht="14.25" customHeight="1">
      <c r="A845" s="6">
        <v>2.0908426E7</v>
      </c>
      <c r="B845" s="2" t="s">
        <v>3386</v>
      </c>
      <c r="C845" s="2" t="s">
        <v>17</v>
      </c>
      <c r="D845" s="2" t="s">
        <v>38</v>
      </c>
      <c r="E845" s="2" t="s">
        <v>3387</v>
      </c>
      <c r="F845" s="2" t="s">
        <v>3387</v>
      </c>
      <c r="G845" s="2" t="s">
        <v>3388</v>
      </c>
      <c r="H845" s="2" t="s">
        <v>127</v>
      </c>
      <c r="I845" s="2" t="s">
        <v>128</v>
      </c>
      <c r="J845" s="2" t="s">
        <v>62</v>
      </c>
      <c r="K845" s="2" t="s">
        <v>24</v>
      </c>
      <c r="L845" s="7">
        <v>45931.0</v>
      </c>
      <c r="M845" s="2" t="s">
        <v>48</v>
      </c>
      <c r="N845" s="2" t="s">
        <v>35</v>
      </c>
      <c r="O845" s="2" t="s">
        <v>27</v>
      </c>
      <c r="P845" s="2" t="s">
        <v>28</v>
      </c>
    </row>
    <row r="846" ht="14.25" customHeight="1">
      <c r="A846" s="6">
        <v>1.2925981E7</v>
      </c>
      <c r="B846" s="2" t="s">
        <v>3389</v>
      </c>
      <c r="C846" s="2" t="s">
        <v>17</v>
      </c>
      <c r="D846" s="2" t="s">
        <v>88</v>
      </c>
      <c r="E846" s="2" t="s">
        <v>3390</v>
      </c>
      <c r="F846" s="2" t="s">
        <v>3390</v>
      </c>
      <c r="G846" s="2" t="s">
        <v>3391</v>
      </c>
      <c r="H846" s="2" t="s">
        <v>127</v>
      </c>
      <c r="I846" s="2" t="s">
        <v>128</v>
      </c>
      <c r="J846" s="2" t="s">
        <v>62</v>
      </c>
      <c r="K846" s="2" t="s">
        <v>24</v>
      </c>
      <c r="L846" s="7">
        <v>45931.0</v>
      </c>
      <c r="M846" s="2" t="s">
        <v>48</v>
      </c>
      <c r="N846" s="2" t="s">
        <v>35</v>
      </c>
      <c r="O846" s="2" t="s">
        <v>27</v>
      </c>
      <c r="P846" s="2" t="s">
        <v>28</v>
      </c>
    </row>
    <row r="847" ht="14.25" customHeight="1">
      <c r="A847" s="6">
        <v>1.3448553E7</v>
      </c>
      <c r="B847" s="2" t="s">
        <v>3392</v>
      </c>
      <c r="C847" s="2" t="s">
        <v>17</v>
      </c>
      <c r="D847" s="2" t="s">
        <v>38</v>
      </c>
      <c r="E847" s="2" t="s">
        <v>3393</v>
      </c>
      <c r="F847" s="2" t="s">
        <v>3393</v>
      </c>
      <c r="G847" s="2" t="s">
        <v>3394</v>
      </c>
      <c r="H847" s="2" t="s">
        <v>127</v>
      </c>
      <c r="I847" s="2" t="s">
        <v>128</v>
      </c>
      <c r="J847" s="2" t="s">
        <v>62</v>
      </c>
      <c r="K847" s="2" t="s">
        <v>24</v>
      </c>
      <c r="L847" s="7">
        <v>45931.0</v>
      </c>
      <c r="M847" s="2" t="s">
        <v>48</v>
      </c>
      <c r="N847" s="2" t="s">
        <v>35</v>
      </c>
      <c r="O847" s="2" t="s">
        <v>27</v>
      </c>
      <c r="P847" s="2" t="s">
        <v>28</v>
      </c>
    </row>
    <row r="848" ht="14.25" customHeight="1">
      <c r="A848" s="6">
        <v>1.9090305E7</v>
      </c>
      <c r="B848" s="2" t="s">
        <v>3395</v>
      </c>
      <c r="C848" s="2" t="s">
        <v>17</v>
      </c>
      <c r="D848" s="2" t="s">
        <v>38</v>
      </c>
      <c r="E848" s="2" t="s">
        <v>3396</v>
      </c>
      <c r="F848" s="2" t="s">
        <v>3396</v>
      </c>
      <c r="G848" s="2" t="s">
        <v>3397</v>
      </c>
      <c r="H848" s="2" t="s">
        <v>127</v>
      </c>
      <c r="I848" s="2" t="s">
        <v>128</v>
      </c>
      <c r="J848" s="2" t="s">
        <v>62</v>
      </c>
      <c r="K848" s="2" t="s">
        <v>24</v>
      </c>
      <c r="L848" s="7">
        <v>45931.0</v>
      </c>
      <c r="M848" s="2" t="s">
        <v>48</v>
      </c>
      <c r="N848" s="2" t="s">
        <v>35</v>
      </c>
      <c r="O848" s="2" t="s">
        <v>27</v>
      </c>
      <c r="P848" s="2" t="s">
        <v>28</v>
      </c>
    </row>
    <row r="849" ht="14.25" customHeight="1">
      <c r="A849" s="6">
        <v>2.0327334E7</v>
      </c>
      <c r="B849" s="2" t="s">
        <v>3398</v>
      </c>
      <c r="C849" s="2" t="s">
        <v>17</v>
      </c>
      <c r="D849" s="2" t="s">
        <v>38</v>
      </c>
      <c r="E849" s="2" t="s">
        <v>3399</v>
      </c>
      <c r="F849" s="2" t="s">
        <v>3399</v>
      </c>
      <c r="G849" s="2" t="s">
        <v>3400</v>
      </c>
      <c r="H849" s="2" t="s">
        <v>127</v>
      </c>
      <c r="I849" s="2" t="s">
        <v>128</v>
      </c>
      <c r="J849" s="2" t="s">
        <v>62</v>
      </c>
      <c r="K849" s="2" t="s">
        <v>24</v>
      </c>
      <c r="L849" s="7">
        <v>45931.0</v>
      </c>
      <c r="M849" s="2" t="s">
        <v>48</v>
      </c>
      <c r="N849" s="2" t="s">
        <v>35</v>
      </c>
      <c r="O849" s="2" t="s">
        <v>27</v>
      </c>
      <c r="P849" s="2" t="s">
        <v>28</v>
      </c>
    </row>
    <row r="850" ht="14.25" customHeight="1">
      <c r="A850" s="6">
        <v>1.1149806E7</v>
      </c>
      <c r="B850" s="2" t="s">
        <v>3401</v>
      </c>
      <c r="C850" s="2" t="s">
        <v>17</v>
      </c>
      <c r="D850" s="2" t="s">
        <v>38</v>
      </c>
      <c r="E850" s="2" t="s">
        <v>3402</v>
      </c>
      <c r="F850" s="2" t="s">
        <v>3402</v>
      </c>
      <c r="G850" s="2" t="s">
        <v>3403</v>
      </c>
      <c r="H850" s="2" t="s">
        <v>127</v>
      </c>
      <c r="I850" s="2" t="s">
        <v>128</v>
      </c>
      <c r="J850" s="2" t="s">
        <v>62</v>
      </c>
      <c r="K850" s="2" t="s">
        <v>24</v>
      </c>
      <c r="L850" s="7">
        <v>45931.0</v>
      </c>
      <c r="M850" s="2" t="s">
        <v>48</v>
      </c>
      <c r="N850" s="2" t="s">
        <v>35</v>
      </c>
      <c r="O850" s="2" t="s">
        <v>27</v>
      </c>
      <c r="P850" s="2" t="s">
        <v>28</v>
      </c>
    </row>
    <row r="851" ht="14.25" customHeight="1">
      <c r="A851" s="6">
        <v>1.9090154E7</v>
      </c>
      <c r="B851" s="2" t="s">
        <v>3404</v>
      </c>
      <c r="C851" s="2" t="s">
        <v>17</v>
      </c>
      <c r="D851" s="2" t="s">
        <v>831</v>
      </c>
      <c r="E851" s="2" t="s">
        <v>3405</v>
      </c>
      <c r="F851" s="2" t="s">
        <v>3405</v>
      </c>
      <c r="G851" s="2" t="s">
        <v>3406</v>
      </c>
      <c r="H851" s="2" t="s">
        <v>127</v>
      </c>
      <c r="I851" s="2" t="s">
        <v>128</v>
      </c>
      <c r="J851" s="2" t="s">
        <v>62</v>
      </c>
      <c r="K851" s="2" t="s">
        <v>24</v>
      </c>
      <c r="L851" s="7">
        <v>45931.0</v>
      </c>
      <c r="M851" s="2" t="s">
        <v>48</v>
      </c>
      <c r="N851" s="2" t="s">
        <v>35</v>
      </c>
      <c r="O851" s="2" t="s">
        <v>27</v>
      </c>
      <c r="P851" s="2" t="s">
        <v>28</v>
      </c>
    </row>
    <row r="852" ht="14.25" customHeight="1">
      <c r="A852" s="6">
        <v>1.2528068E7</v>
      </c>
      <c r="B852" s="2" t="s">
        <v>3407</v>
      </c>
      <c r="C852" s="2" t="s">
        <v>17</v>
      </c>
      <c r="D852" s="2" t="s">
        <v>831</v>
      </c>
      <c r="E852" s="2" t="s">
        <v>3408</v>
      </c>
      <c r="F852" s="2" t="s">
        <v>3408</v>
      </c>
      <c r="G852" s="2" t="s">
        <v>3409</v>
      </c>
      <c r="H852" s="2" t="s">
        <v>127</v>
      </c>
      <c r="I852" s="2" t="s">
        <v>128</v>
      </c>
      <c r="J852" s="2" t="s">
        <v>62</v>
      </c>
      <c r="K852" s="2" t="s">
        <v>24</v>
      </c>
      <c r="L852" s="7">
        <v>45931.0</v>
      </c>
      <c r="M852" s="2" t="s">
        <v>48</v>
      </c>
      <c r="N852" s="2" t="s">
        <v>35</v>
      </c>
      <c r="O852" s="2" t="s">
        <v>27</v>
      </c>
      <c r="P852" s="2" t="s">
        <v>28</v>
      </c>
    </row>
    <row r="853" ht="14.25" customHeight="1">
      <c r="A853" s="6">
        <v>1.6690465E7</v>
      </c>
      <c r="B853" s="2" t="s">
        <v>3410</v>
      </c>
      <c r="C853" s="2" t="s">
        <v>17</v>
      </c>
      <c r="D853" s="2" t="s">
        <v>57</v>
      </c>
      <c r="E853" s="2" t="s">
        <v>3411</v>
      </c>
      <c r="F853" s="2" t="s">
        <v>3411</v>
      </c>
      <c r="G853" s="2" t="s">
        <v>3412</v>
      </c>
      <c r="H853" s="2" t="s">
        <v>127</v>
      </c>
      <c r="I853" s="2" t="s">
        <v>128</v>
      </c>
      <c r="J853" s="2" t="s">
        <v>62</v>
      </c>
      <c r="K853" s="2" t="s">
        <v>24</v>
      </c>
      <c r="L853" s="7">
        <v>45931.0</v>
      </c>
      <c r="M853" s="2" t="s">
        <v>48</v>
      </c>
      <c r="N853" s="2" t="s">
        <v>35</v>
      </c>
      <c r="O853" s="2" t="s">
        <v>27</v>
      </c>
      <c r="P853" s="2" t="s">
        <v>28</v>
      </c>
    </row>
    <row r="854" ht="14.25" customHeight="1">
      <c r="A854" s="6">
        <v>1.23905E7</v>
      </c>
      <c r="B854" s="2" t="s">
        <v>3413</v>
      </c>
      <c r="C854" s="2" t="s">
        <v>17</v>
      </c>
      <c r="D854" s="2" t="s">
        <v>57</v>
      </c>
      <c r="E854" s="2" t="s">
        <v>3414</v>
      </c>
      <c r="F854" s="2" t="s">
        <v>3414</v>
      </c>
      <c r="G854" s="2" t="s">
        <v>3415</v>
      </c>
      <c r="H854" s="2" t="s">
        <v>127</v>
      </c>
      <c r="I854" s="2" t="s">
        <v>128</v>
      </c>
      <c r="J854" s="2" t="s">
        <v>62</v>
      </c>
      <c r="K854" s="2" t="s">
        <v>24</v>
      </c>
      <c r="L854" s="7">
        <v>45931.0</v>
      </c>
      <c r="M854" s="2" t="s">
        <v>48</v>
      </c>
      <c r="N854" s="2" t="s">
        <v>35</v>
      </c>
      <c r="O854" s="2" t="s">
        <v>27</v>
      </c>
      <c r="P854" s="2" t="s">
        <v>28</v>
      </c>
    </row>
    <row r="855" ht="14.25" customHeight="1">
      <c r="A855" s="6">
        <v>9950892.0</v>
      </c>
      <c r="B855" s="2" t="s">
        <v>3416</v>
      </c>
      <c r="C855" s="2" t="s">
        <v>17</v>
      </c>
      <c r="D855" s="2" t="s">
        <v>167</v>
      </c>
      <c r="E855" s="2" t="s">
        <v>3417</v>
      </c>
      <c r="F855" s="2" t="s">
        <v>3417</v>
      </c>
      <c r="G855" s="2" t="s">
        <v>3418</v>
      </c>
      <c r="H855" s="2" t="s">
        <v>127</v>
      </c>
      <c r="I855" s="2" t="s">
        <v>128</v>
      </c>
      <c r="J855" s="2" t="s">
        <v>62</v>
      </c>
      <c r="K855" s="2" t="s">
        <v>24</v>
      </c>
      <c r="L855" s="7">
        <v>45931.0</v>
      </c>
      <c r="M855" s="2" t="s">
        <v>48</v>
      </c>
      <c r="N855" s="2" t="s">
        <v>35</v>
      </c>
      <c r="O855" s="2" t="s">
        <v>27</v>
      </c>
      <c r="P855" s="2" t="s">
        <v>28</v>
      </c>
    </row>
    <row r="856" ht="14.25" customHeight="1">
      <c r="A856" s="6">
        <v>1.1291672E7</v>
      </c>
      <c r="B856" s="2" t="s">
        <v>3419</v>
      </c>
      <c r="C856" s="2" t="s">
        <v>17</v>
      </c>
      <c r="D856" s="2" t="s">
        <v>57</v>
      </c>
      <c r="E856" s="2" t="s">
        <v>3420</v>
      </c>
      <c r="F856" s="2" t="s">
        <v>3420</v>
      </c>
      <c r="G856" s="2" t="s">
        <v>3421</v>
      </c>
      <c r="H856" s="2" t="s">
        <v>127</v>
      </c>
      <c r="I856" s="2" t="s">
        <v>128</v>
      </c>
      <c r="J856" s="2" t="s">
        <v>62</v>
      </c>
      <c r="K856" s="2" t="s">
        <v>24</v>
      </c>
      <c r="L856" s="7">
        <v>45931.0</v>
      </c>
      <c r="M856" s="2" t="s">
        <v>48</v>
      </c>
      <c r="N856" s="2" t="s">
        <v>35</v>
      </c>
      <c r="O856" s="2" t="s">
        <v>27</v>
      </c>
      <c r="P856" s="2" t="s">
        <v>28</v>
      </c>
    </row>
    <row r="857" ht="14.25" customHeight="1">
      <c r="A857" s="6">
        <v>1.8134971E7</v>
      </c>
      <c r="B857" s="2" t="s">
        <v>3422</v>
      </c>
      <c r="C857" s="2" t="s">
        <v>17</v>
      </c>
      <c r="D857" s="2" t="s">
        <v>38</v>
      </c>
      <c r="E857" s="2" t="s">
        <v>3423</v>
      </c>
      <c r="F857" s="2" t="s">
        <v>3423</v>
      </c>
      <c r="G857" s="2" t="s">
        <v>3424</v>
      </c>
      <c r="H857" s="2" t="s">
        <v>127</v>
      </c>
      <c r="I857" s="2" t="s">
        <v>128</v>
      </c>
      <c r="J857" s="2" t="s">
        <v>62</v>
      </c>
      <c r="K857" s="2" t="s">
        <v>24</v>
      </c>
      <c r="L857" s="7">
        <v>45931.0</v>
      </c>
      <c r="M857" s="2" t="s">
        <v>48</v>
      </c>
      <c r="N857" s="2" t="s">
        <v>35</v>
      </c>
      <c r="O857" s="2" t="s">
        <v>27</v>
      </c>
      <c r="P857" s="2" t="s">
        <v>28</v>
      </c>
    </row>
    <row r="858" ht="14.25" customHeight="1">
      <c r="A858" s="6">
        <v>1.8815806E7</v>
      </c>
      <c r="B858" s="2" t="s">
        <v>3425</v>
      </c>
      <c r="C858" s="2" t="s">
        <v>17</v>
      </c>
      <c r="D858" s="2" t="s">
        <v>38</v>
      </c>
      <c r="E858" s="2" t="s">
        <v>3426</v>
      </c>
      <c r="F858" s="2" t="s">
        <v>3426</v>
      </c>
      <c r="G858" s="2" t="s">
        <v>3427</v>
      </c>
      <c r="H858" s="2" t="s">
        <v>127</v>
      </c>
      <c r="I858" s="2" t="s">
        <v>128</v>
      </c>
      <c r="J858" s="2" t="s">
        <v>62</v>
      </c>
      <c r="K858" s="2" t="s">
        <v>24</v>
      </c>
      <c r="L858" s="7">
        <v>45931.0</v>
      </c>
      <c r="M858" s="2" t="s">
        <v>48</v>
      </c>
      <c r="N858" s="2" t="s">
        <v>35</v>
      </c>
      <c r="O858" s="2" t="s">
        <v>27</v>
      </c>
      <c r="P858" s="2" t="s">
        <v>28</v>
      </c>
    </row>
    <row r="859" ht="14.25" customHeight="1">
      <c r="A859" s="6">
        <v>1.6175421E7</v>
      </c>
      <c r="B859" s="2" t="s">
        <v>3428</v>
      </c>
      <c r="C859" s="2" t="s">
        <v>17</v>
      </c>
      <c r="D859" s="2" t="s">
        <v>88</v>
      </c>
      <c r="E859" s="2" t="s">
        <v>3429</v>
      </c>
      <c r="F859" s="2" t="s">
        <v>3429</v>
      </c>
      <c r="G859" s="2" t="s">
        <v>3430</v>
      </c>
      <c r="H859" s="2" t="s">
        <v>127</v>
      </c>
      <c r="I859" s="2" t="s">
        <v>128</v>
      </c>
      <c r="J859" s="2" t="s">
        <v>62</v>
      </c>
      <c r="K859" s="2" t="s">
        <v>24</v>
      </c>
      <c r="L859" s="7">
        <v>45931.0</v>
      </c>
      <c r="M859" s="2" t="s">
        <v>48</v>
      </c>
      <c r="N859" s="2" t="s">
        <v>35</v>
      </c>
      <c r="O859" s="2" t="s">
        <v>27</v>
      </c>
      <c r="P859" s="2" t="s">
        <v>28</v>
      </c>
    </row>
    <row r="860" ht="14.25" customHeight="1">
      <c r="A860" s="6">
        <v>1.7789509E7</v>
      </c>
      <c r="B860" s="2" t="s">
        <v>3431</v>
      </c>
      <c r="C860" s="2" t="s">
        <v>17</v>
      </c>
      <c r="D860" s="2" t="s">
        <v>167</v>
      </c>
      <c r="E860" s="2" t="s">
        <v>3432</v>
      </c>
      <c r="F860" s="2" t="s">
        <v>3432</v>
      </c>
      <c r="G860" s="2" t="s">
        <v>3433</v>
      </c>
      <c r="H860" s="2" t="s">
        <v>127</v>
      </c>
      <c r="I860" s="2" t="s">
        <v>128</v>
      </c>
      <c r="J860" s="2" t="s">
        <v>62</v>
      </c>
      <c r="K860" s="2" t="s">
        <v>24</v>
      </c>
      <c r="L860" s="7">
        <v>45931.0</v>
      </c>
      <c r="M860" s="2" t="s">
        <v>48</v>
      </c>
      <c r="N860" s="2" t="s">
        <v>35</v>
      </c>
      <c r="O860" s="2" t="s">
        <v>27</v>
      </c>
      <c r="P860" s="2" t="s">
        <v>28</v>
      </c>
    </row>
    <row r="861" ht="14.25" customHeight="1">
      <c r="A861" s="6">
        <v>1.5451873E7</v>
      </c>
      <c r="B861" s="2" t="s">
        <v>3434</v>
      </c>
      <c r="C861" s="2" t="s">
        <v>17</v>
      </c>
      <c r="D861" s="2" t="s">
        <v>38</v>
      </c>
      <c r="E861" s="2" t="s">
        <v>3435</v>
      </c>
      <c r="F861" s="2" t="s">
        <v>3435</v>
      </c>
      <c r="G861" s="2" t="s">
        <v>3436</v>
      </c>
      <c r="H861" s="2" t="s">
        <v>127</v>
      </c>
      <c r="I861" s="2" t="s">
        <v>128</v>
      </c>
      <c r="J861" s="2" t="s">
        <v>62</v>
      </c>
      <c r="K861" s="2" t="s">
        <v>24</v>
      </c>
      <c r="L861" s="7">
        <v>45931.0</v>
      </c>
      <c r="M861" s="2" t="s">
        <v>48</v>
      </c>
      <c r="N861" s="2" t="s">
        <v>35</v>
      </c>
      <c r="O861" s="2" t="s">
        <v>27</v>
      </c>
      <c r="P861" s="2" t="s">
        <v>28</v>
      </c>
    </row>
    <row r="862" ht="14.25" customHeight="1">
      <c r="A862" s="6">
        <v>1.1103782E7</v>
      </c>
      <c r="B862" s="2" t="s">
        <v>3437</v>
      </c>
      <c r="C862" s="2" t="s">
        <v>17</v>
      </c>
      <c r="D862" s="2" t="s">
        <v>167</v>
      </c>
      <c r="E862" s="2" t="s">
        <v>3438</v>
      </c>
      <c r="F862" s="2" t="s">
        <v>3438</v>
      </c>
      <c r="G862" s="2" t="s">
        <v>3439</v>
      </c>
      <c r="H862" s="2" t="s">
        <v>127</v>
      </c>
      <c r="I862" s="2" t="s">
        <v>128</v>
      </c>
      <c r="J862" s="2" t="s">
        <v>62</v>
      </c>
      <c r="K862" s="2" t="s">
        <v>24</v>
      </c>
      <c r="L862" s="7">
        <v>45931.0</v>
      </c>
      <c r="M862" s="2" t="s">
        <v>48</v>
      </c>
      <c r="N862" s="2" t="s">
        <v>35</v>
      </c>
      <c r="O862" s="2" t="s">
        <v>27</v>
      </c>
      <c r="P862" s="2" t="s">
        <v>28</v>
      </c>
    </row>
    <row r="863" ht="14.25" customHeight="1">
      <c r="A863" s="6">
        <v>9412953.0</v>
      </c>
      <c r="B863" s="2" t="s">
        <v>3440</v>
      </c>
      <c r="C863" s="2" t="s">
        <v>17</v>
      </c>
      <c r="D863" s="2" t="s">
        <v>831</v>
      </c>
      <c r="E863" s="2" t="s">
        <v>3441</v>
      </c>
      <c r="F863" s="2" t="s">
        <v>3441</v>
      </c>
      <c r="G863" s="2" t="s">
        <v>3442</v>
      </c>
      <c r="H863" s="2" t="s">
        <v>127</v>
      </c>
      <c r="I863" s="2" t="s">
        <v>128</v>
      </c>
      <c r="J863" s="2" t="s">
        <v>62</v>
      </c>
      <c r="K863" s="2" t="s">
        <v>24</v>
      </c>
      <c r="L863" s="7">
        <v>45931.0</v>
      </c>
      <c r="M863" s="2" t="s">
        <v>48</v>
      </c>
      <c r="N863" s="2" t="s">
        <v>35</v>
      </c>
      <c r="O863" s="2" t="s">
        <v>27</v>
      </c>
      <c r="P863" s="2" t="s">
        <v>28</v>
      </c>
    </row>
    <row r="864" ht="14.25" customHeight="1">
      <c r="A864" s="6">
        <v>1.0316058E7</v>
      </c>
      <c r="B864" s="2" t="s">
        <v>3443</v>
      </c>
      <c r="C864" s="2" t="s">
        <v>17</v>
      </c>
      <c r="D864" s="2" t="s">
        <v>38</v>
      </c>
      <c r="E864" s="2" t="s">
        <v>3444</v>
      </c>
      <c r="F864" s="2" t="s">
        <v>3444</v>
      </c>
      <c r="G864" s="2" t="s">
        <v>3445</v>
      </c>
      <c r="H864" s="2" t="s">
        <v>127</v>
      </c>
      <c r="I864" s="2" t="s">
        <v>128</v>
      </c>
      <c r="J864" s="2" t="s">
        <v>62</v>
      </c>
      <c r="K864" s="2" t="s">
        <v>24</v>
      </c>
      <c r="L864" s="7">
        <v>45931.0</v>
      </c>
      <c r="M864" s="2" t="s">
        <v>48</v>
      </c>
      <c r="N864" s="2" t="s">
        <v>35</v>
      </c>
      <c r="O864" s="2" t="s">
        <v>27</v>
      </c>
      <c r="P864" s="2" t="s">
        <v>28</v>
      </c>
    </row>
    <row r="865" ht="14.25" customHeight="1">
      <c r="A865" s="6">
        <v>2.7021665E7</v>
      </c>
      <c r="B865" s="2" t="s">
        <v>3446</v>
      </c>
      <c r="C865" s="2" t="s">
        <v>17</v>
      </c>
      <c r="D865" s="2" t="s">
        <v>38</v>
      </c>
      <c r="E865" s="2" t="s">
        <v>3447</v>
      </c>
      <c r="F865" s="2" t="s">
        <v>3447</v>
      </c>
      <c r="G865" s="2" t="s">
        <v>3448</v>
      </c>
      <c r="H865" s="2" t="s">
        <v>127</v>
      </c>
      <c r="I865" s="2" t="s">
        <v>128</v>
      </c>
      <c r="J865" s="2" t="s">
        <v>62</v>
      </c>
      <c r="K865" s="2" t="s">
        <v>24</v>
      </c>
      <c r="L865" s="7">
        <v>45931.0</v>
      </c>
      <c r="M865" s="2" t="s">
        <v>48</v>
      </c>
      <c r="N865" s="2" t="s">
        <v>35</v>
      </c>
      <c r="O865" s="2" t="s">
        <v>27</v>
      </c>
      <c r="P865" s="2" t="s">
        <v>28</v>
      </c>
    </row>
    <row r="866" ht="14.25" customHeight="1">
      <c r="A866" s="6">
        <v>2.7046927E7</v>
      </c>
      <c r="B866" s="2" t="s">
        <v>3449</v>
      </c>
      <c r="C866" s="2" t="s">
        <v>17</v>
      </c>
      <c r="D866" s="2" t="s">
        <v>88</v>
      </c>
      <c r="E866" s="2" t="s">
        <v>3450</v>
      </c>
      <c r="F866" s="2" t="s">
        <v>3450</v>
      </c>
      <c r="G866" s="2" t="s">
        <v>3451</v>
      </c>
      <c r="H866" s="2" t="s">
        <v>127</v>
      </c>
      <c r="I866" s="2" t="s">
        <v>128</v>
      </c>
      <c r="J866" s="2" t="s">
        <v>62</v>
      </c>
      <c r="K866" s="2" t="s">
        <v>24</v>
      </c>
      <c r="L866" s="7">
        <v>45931.0</v>
      </c>
      <c r="M866" s="2" t="s">
        <v>48</v>
      </c>
      <c r="N866" s="2" t="s">
        <v>35</v>
      </c>
      <c r="O866" s="2" t="s">
        <v>27</v>
      </c>
      <c r="P866" s="2" t="s">
        <v>28</v>
      </c>
    </row>
    <row r="867" ht="14.25" customHeight="1">
      <c r="A867" s="6">
        <v>2.0149546E7</v>
      </c>
      <c r="B867" s="2" t="s">
        <v>3452</v>
      </c>
      <c r="C867" s="2" t="s">
        <v>17</v>
      </c>
      <c r="D867" s="2" t="s">
        <v>88</v>
      </c>
      <c r="E867" s="2" t="s">
        <v>3453</v>
      </c>
      <c r="F867" s="2" t="s">
        <v>3453</v>
      </c>
      <c r="G867" s="2" t="s">
        <v>3454</v>
      </c>
      <c r="H867" s="2" t="s">
        <v>127</v>
      </c>
      <c r="I867" s="2" t="s">
        <v>128</v>
      </c>
      <c r="J867" s="2" t="s">
        <v>62</v>
      </c>
      <c r="K867" s="2" t="s">
        <v>24</v>
      </c>
      <c r="L867" s="7">
        <v>45931.0</v>
      </c>
      <c r="M867" s="2" t="s">
        <v>48</v>
      </c>
      <c r="N867" s="2" t="s">
        <v>35</v>
      </c>
      <c r="O867" s="2" t="s">
        <v>27</v>
      </c>
      <c r="P867" s="2" t="s">
        <v>28</v>
      </c>
    </row>
    <row r="868" ht="14.25" customHeight="1">
      <c r="A868" s="6">
        <v>1.7844943E7</v>
      </c>
      <c r="B868" s="2" t="s">
        <v>3455</v>
      </c>
      <c r="C868" s="2" t="s">
        <v>17</v>
      </c>
      <c r="D868" s="2" t="s">
        <v>57</v>
      </c>
      <c r="E868" s="2" t="s">
        <v>3456</v>
      </c>
      <c r="F868" s="2" t="s">
        <v>3456</v>
      </c>
      <c r="G868" s="2" t="s">
        <v>3457</v>
      </c>
      <c r="H868" s="2" t="s">
        <v>127</v>
      </c>
      <c r="I868" s="2" t="s">
        <v>135</v>
      </c>
      <c r="J868" s="2" t="s">
        <v>62</v>
      </c>
      <c r="K868" s="2" t="s">
        <v>24</v>
      </c>
      <c r="L868" s="7">
        <v>45931.0</v>
      </c>
      <c r="M868" s="2" t="s">
        <v>48</v>
      </c>
      <c r="N868" s="2" t="s">
        <v>35</v>
      </c>
      <c r="O868" s="2" t="s">
        <v>27</v>
      </c>
      <c r="P868" s="2" t="s">
        <v>28</v>
      </c>
    </row>
    <row r="869" ht="14.25" customHeight="1">
      <c r="A869" s="6">
        <v>1.6827318E7</v>
      </c>
      <c r="B869" s="2" t="s">
        <v>3458</v>
      </c>
      <c r="C869" s="2" t="s">
        <v>17</v>
      </c>
      <c r="D869" s="2" t="s">
        <v>57</v>
      </c>
      <c r="E869" s="2" t="s">
        <v>3459</v>
      </c>
      <c r="F869" s="2" t="s">
        <v>3459</v>
      </c>
      <c r="G869" s="2" t="s">
        <v>3460</v>
      </c>
      <c r="H869" s="2" t="s">
        <v>127</v>
      </c>
      <c r="I869" s="2" t="s">
        <v>135</v>
      </c>
      <c r="J869" s="2" t="s">
        <v>62</v>
      </c>
      <c r="K869" s="2" t="s">
        <v>24</v>
      </c>
      <c r="L869" s="7">
        <v>45931.0</v>
      </c>
      <c r="M869" s="2" t="s">
        <v>48</v>
      </c>
      <c r="N869" s="2" t="s">
        <v>35</v>
      </c>
      <c r="O869" s="2" t="s">
        <v>27</v>
      </c>
      <c r="P869" s="2" t="s">
        <v>28</v>
      </c>
    </row>
    <row r="870" ht="14.25" customHeight="1">
      <c r="A870" s="6">
        <v>1.7241952E7</v>
      </c>
      <c r="B870" s="2" t="s">
        <v>3461</v>
      </c>
      <c r="C870" s="2" t="s">
        <v>17</v>
      </c>
      <c r="D870" s="2" t="s">
        <v>57</v>
      </c>
      <c r="E870" s="2" t="s">
        <v>3462</v>
      </c>
      <c r="F870" s="2" t="s">
        <v>3462</v>
      </c>
      <c r="G870" s="2" t="s">
        <v>3463</v>
      </c>
      <c r="H870" s="2" t="s">
        <v>127</v>
      </c>
      <c r="I870" s="2" t="s">
        <v>135</v>
      </c>
      <c r="J870" s="2" t="s">
        <v>62</v>
      </c>
      <c r="K870" s="2" t="s">
        <v>24</v>
      </c>
      <c r="L870" s="7">
        <v>45931.0</v>
      </c>
      <c r="M870" s="2" t="s">
        <v>48</v>
      </c>
      <c r="N870" s="2" t="s">
        <v>35</v>
      </c>
      <c r="O870" s="2" t="s">
        <v>27</v>
      </c>
      <c r="P870" s="2" t="s">
        <v>28</v>
      </c>
    </row>
    <row r="871" ht="14.25" customHeight="1">
      <c r="A871" s="6">
        <v>2.0992362E7</v>
      </c>
      <c r="B871" s="2" t="s">
        <v>3464</v>
      </c>
      <c r="C871" s="2" t="s">
        <v>17</v>
      </c>
      <c r="D871" s="2" t="s">
        <v>167</v>
      </c>
      <c r="E871" s="2" t="s">
        <v>3465</v>
      </c>
      <c r="F871" s="2" t="s">
        <v>3465</v>
      </c>
      <c r="G871" s="2" t="s">
        <v>3466</v>
      </c>
      <c r="H871" s="2" t="s">
        <v>127</v>
      </c>
      <c r="I871" s="2" t="s">
        <v>135</v>
      </c>
      <c r="J871" s="2" t="s">
        <v>62</v>
      </c>
      <c r="K871" s="2" t="s">
        <v>24</v>
      </c>
      <c r="L871" s="7">
        <v>45931.0</v>
      </c>
      <c r="M871" s="2" t="s">
        <v>48</v>
      </c>
      <c r="N871" s="2" t="s">
        <v>35</v>
      </c>
      <c r="O871" s="2" t="s">
        <v>27</v>
      </c>
      <c r="P871" s="2" t="s">
        <v>28</v>
      </c>
    </row>
    <row r="872" ht="14.25" customHeight="1">
      <c r="A872" s="6">
        <v>2.1895659E7</v>
      </c>
      <c r="B872" s="2" t="s">
        <v>3467</v>
      </c>
      <c r="C872" s="2" t="s">
        <v>17</v>
      </c>
      <c r="D872" s="2" t="s">
        <v>38</v>
      </c>
      <c r="E872" s="2" t="s">
        <v>3468</v>
      </c>
      <c r="F872" s="2" t="s">
        <v>3468</v>
      </c>
      <c r="G872" s="2" t="s">
        <v>3469</v>
      </c>
      <c r="H872" s="2" t="s">
        <v>127</v>
      </c>
      <c r="I872" s="2" t="s">
        <v>135</v>
      </c>
      <c r="J872" s="2" t="s">
        <v>62</v>
      </c>
      <c r="K872" s="2" t="s">
        <v>24</v>
      </c>
      <c r="L872" s="7">
        <v>45931.0</v>
      </c>
      <c r="M872" s="2" t="s">
        <v>48</v>
      </c>
      <c r="N872" s="2" t="s">
        <v>35</v>
      </c>
      <c r="O872" s="2" t="s">
        <v>27</v>
      </c>
      <c r="P872" s="2" t="s">
        <v>28</v>
      </c>
    </row>
    <row r="873" ht="14.25" customHeight="1">
      <c r="A873" s="6">
        <v>9688358.0</v>
      </c>
      <c r="B873" s="2" t="s">
        <v>3470</v>
      </c>
      <c r="C873" s="2" t="s">
        <v>17</v>
      </c>
      <c r="D873" s="2" t="s">
        <v>57</v>
      </c>
      <c r="E873" s="2" t="s">
        <v>3471</v>
      </c>
      <c r="F873" s="2" t="s">
        <v>3471</v>
      </c>
      <c r="G873" s="2" t="s">
        <v>3472</v>
      </c>
      <c r="H873" s="2" t="s">
        <v>127</v>
      </c>
      <c r="I873" s="2" t="s">
        <v>135</v>
      </c>
      <c r="J873" s="2" t="s">
        <v>62</v>
      </c>
      <c r="K873" s="2" t="s">
        <v>24</v>
      </c>
      <c r="L873" s="7">
        <v>45931.0</v>
      </c>
      <c r="M873" s="2" t="s">
        <v>48</v>
      </c>
      <c r="N873" s="2" t="s">
        <v>35</v>
      </c>
      <c r="O873" s="2" t="s">
        <v>27</v>
      </c>
      <c r="P873" s="2" t="s">
        <v>28</v>
      </c>
    </row>
    <row r="874" ht="14.25" customHeight="1">
      <c r="A874" s="6">
        <v>2.1303511E7</v>
      </c>
      <c r="B874" s="2" t="s">
        <v>3473</v>
      </c>
      <c r="C874" s="2" t="s">
        <v>17</v>
      </c>
      <c r="D874" s="2" t="s">
        <v>57</v>
      </c>
      <c r="E874" s="2" t="s">
        <v>3474</v>
      </c>
      <c r="F874" s="2" t="s">
        <v>3474</v>
      </c>
      <c r="G874" s="2" t="s">
        <v>3475</v>
      </c>
      <c r="H874" s="2" t="s">
        <v>127</v>
      </c>
      <c r="I874" s="2" t="s">
        <v>135</v>
      </c>
      <c r="J874" s="2" t="s">
        <v>62</v>
      </c>
      <c r="K874" s="2" t="s">
        <v>24</v>
      </c>
      <c r="L874" s="7">
        <v>45931.0</v>
      </c>
      <c r="M874" s="2" t="s">
        <v>48</v>
      </c>
      <c r="N874" s="2" t="s">
        <v>35</v>
      </c>
      <c r="O874" s="2" t="s">
        <v>27</v>
      </c>
      <c r="P874" s="2" t="s">
        <v>28</v>
      </c>
    </row>
    <row r="875" ht="14.25" customHeight="1">
      <c r="A875" s="6">
        <v>2.0362221E7</v>
      </c>
      <c r="B875" s="2" t="s">
        <v>3476</v>
      </c>
      <c r="C875" s="2" t="s">
        <v>17</v>
      </c>
      <c r="D875" s="2" t="s">
        <v>38</v>
      </c>
      <c r="E875" s="2" t="s">
        <v>3477</v>
      </c>
      <c r="F875" s="2" t="s">
        <v>3477</v>
      </c>
      <c r="G875" s="2" t="s">
        <v>3478</v>
      </c>
      <c r="H875" s="2" t="s">
        <v>127</v>
      </c>
      <c r="I875" s="2" t="s">
        <v>2558</v>
      </c>
      <c r="J875" s="2" t="s">
        <v>62</v>
      </c>
      <c r="K875" s="2" t="s">
        <v>24</v>
      </c>
      <c r="L875" s="7">
        <v>45931.0</v>
      </c>
      <c r="M875" s="2" t="s">
        <v>48</v>
      </c>
      <c r="N875" s="2" t="s">
        <v>35</v>
      </c>
      <c r="O875" s="2" t="s">
        <v>27</v>
      </c>
      <c r="P875" s="2" t="s">
        <v>28</v>
      </c>
    </row>
    <row r="876" ht="14.25" customHeight="1">
      <c r="A876" s="6">
        <v>1.8384071E7</v>
      </c>
      <c r="B876" s="2" t="s">
        <v>3479</v>
      </c>
      <c r="C876" s="2" t="s">
        <v>17</v>
      </c>
      <c r="D876" s="2" t="s">
        <v>88</v>
      </c>
      <c r="E876" s="2" t="s">
        <v>3480</v>
      </c>
      <c r="F876" s="2" t="s">
        <v>3480</v>
      </c>
      <c r="G876" s="2" t="s">
        <v>3481</v>
      </c>
      <c r="H876" s="2" t="s">
        <v>127</v>
      </c>
      <c r="I876" s="2" t="s">
        <v>135</v>
      </c>
      <c r="J876" s="2" t="s">
        <v>62</v>
      </c>
      <c r="K876" s="2" t="s">
        <v>24</v>
      </c>
      <c r="L876" s="7">
        <v>45931.0</v>
      </c>
      <c r="M876" s="2" t="s">
        <v>48</v>
      </c>
      <c r="N876" s="2" t="s">
        <v>35</v>
      </c>
      <c r="O876" s="2" t="s">
        <v>27</v>
      </c>
      <c r="P876" s="2" t="s">
        <v>28</v>
      </c>
    </row>
    <row r="877" ht="14.25" customHeight="1">
      <c r="A877" s="6">
        <v>1.1179246E7</v>
      </c>
      <c r="B877" s="2" t="s">
        <v>3482</v>
      </c>
      <c r="C877" s="2" t="s">
        <v>17</v>
      </c>
      <c r="D877" s="2" t="s">
        <v>167</v>
      </c>
      <c r="E877" s="2" t="s">
        <v>3483</v>
      </c>
      <c r="F877" s="2" t="s">
        <v>3483</v>
      </c>
      <c r="G877" s="2" t="s">
        <v>3484</v>
      </c>
      <c r="H877" s="2" t="s">
        <v>127</v>
      </c>
      <c r="I877" s="2" t="s">
        <v>135</v>
      </c>
      <c r="J877" s="2" t="s">
        <v>62</v>
      </c>
      <c r="K877" s="2" t="s">
        <v>24</v>
      </c>
      <c r="L877" s="7">
        <v>45931.0</v>
      </c>
      <c r="M877" s="2" t="s">
        <v>48</v>
      </c>
      <c r="N877" s="2" t="s">
        <v>35</v>
      </c>
      <c r="O877" s="2" t="s">
        <v>27</v>
      </c>
      <c r="P877" s="2" t="s">
        <v>28</v>
      </c>
    </row>
    <row r="878" ht="14.25" customHeight="1">
      <c r="A878" s="6">
        <v>2.0866749E7</v>
      </c>
      <c r="B878" s="2" t="s">
        <v>3485</v>
      </c>
      <c r="C878" s="2" t="s">
        <v>17</v>
      </c>
      <c r="D878" s="2" t="s">
        <v>88</v>
      </c>
      <c r="E878" s="2" t="s">
        <v>3486</v>
      </c>
      <c r="F878" s="2" t="s">
        <v>3486</v>
      </c>
      <c r="G878" s="2" t="s">
        <v>3487</v>
      </c>
      <c r="H878" s="2" t="s">
        <v>127</v>
      </c>
      <c r="I878" s="2" t="s">
        <v>135</v>
      </c>
      <c r="J878" s="2" t="s">
        <v>62</v>
      </c>
      <c r="K878" s="2" t="s">
        <v>24</v>
      </c>
      <c r="L878" s="7">
        <v>45931.0</v>
      </c>
      <c r="M878" s="2" t="s">
        <v>48</v>
      </c>
      <c r="N878" s="2" t="s">
        <v>35</v>
      </c>
      <c r="O878" s="2" t="s">
        <v>27</v>
      </c>
      <c r="P878" s="2" t="s">
        <v>28</v>
      </c>
    </row>
    <row r="879" ht="14.25" customHeight="1">
      <c r="A879" s="6">
        <v>1.9532216E7</v>
      </c>
      <c r="B879" s="2" t="s">
        <v>3488</v>
      </c>
      <c r="C879" s="2" t="s">
        <v>17</v>
      </c>
      <c r="D879" s="2" t="s">
        <v>57</v>
      </c>
      <c r="E879" s="2" t="s">
        <v>3489</v>
      </c>
      <c r="F879" s="2" t="s">
        <v>3489</v>
      </c>
      <c r="G879" s="2" t="s">
        <v>3490</v>
      </c>
      <c r="H879" s="2" t="s">
        <v>127</v>
      </c>
      <c r="I879" s="2" t="s">
        <v>135</v>
      </c>
      <c r="J879" s="2" t="s">
        <v>62</v>
      </c>
      <c r="K879" s="2" t="s">
        <v>24</v>
      </c>
      <c r="L879" s="7">
        <v>45931.0</v>
      </c>
      <c r="M879" s="2" t="s">
        <v>48</v>
      </c>
      <c r="N879" s="2" t="s">
        <v>35</v>
      </c>
      <c r="O879" s="2" t="s">
        <v>27</v>
      </c>
      <c r="P879" s="2" t="s">
        <v>28</v>
      </c>
    </row>
    <row r="880" ht="14.25" customHeight="1">
      <c r="A880" s="6">
        <v>1.2704435E7</v>
      </c>
      <c r="B880" s="2" t="s">
        <v>3491</v>
      </c>
      <c r="C880" s="2" t="s">
        <v>17</v>
      </c>
      <c r="D880" s="2" t="s">
        <v>167</v>
      </c>
      <c r="E880" s="2" t="s">
        <v>3492</v>
      </c>
      <c r="F880" s="2" t="s">
        <v>3492</v>
      </c>
      <c r="G880" s="2" t="s">
        <v>3493</v>
      </c>
      <c r="H880" s="2" t="s">
        <v>127</v>
      </c>
      <c r="I880" s="2" t="s">
        <v>135</v>
      </c>
      <c r="J880" s="2" t="s">
        <v>62</v>
      </c>
      <c r="K880" s="2" t="s">
        <v>24</v>
      </c>
      <c r="L880" s="7">
        <v>45931.0</v>
      </c>
      <c r="M880" s="2" t="s">
        <v>48</v>
      </c>
      <c r="N880" s="2" t="s">
        <v>35</v>
      </c>
      <c r="O880" s="2" t="s">
        <v>27</v>
      </c>
      <c r="P880" s="2" t="s">
        <v>28</v>
      </c>
    </row>
    <row r="881" ht="14.25" customHeight="1">
      <c r="A881" s="6">
        <v>1.2531947E7</v>
      </c>
      <c r="B881" s="2" t="s">
        <v>3494</v>
      </c>
      <c r="C881" s="2" t="s">
        <v>17</v>
      </c>
      <c r="D881" s="2" t="s">
        <v>57</v>
      </c>
      <c r="E881" s="2" t="s">
        <v>3495</v>
      </c>
      <c r="F881" s="2" t="s">
        <v>3495</v>
      </c>
      <c r="G881" s="2" t="s">
        <v>3496</v>
      </c>
      <c r="H881" s="2" t="s">
        <v>127</v>
      </c>
      <c r="I881" s="2" t="s">
        <v>135</v>
      </c>
      <c r="J881" s="2" t="s">
        <v>62</v>
      </c>
      <c r="K881" s="2" t="s">
        <v>24</v>
      </c>
      <c r="L881" s="7">
        <v>45931.0</v>
      </c>
      <c r="M881" s="2" t="s">
        <v>48</v>
      </c>
      <c r="N881" s="2" t="s">
        <v>35</v>
      </c>
      <c r="O881" s="2" t="s">
        <v>27</v>
      </c>
      <c r="P881" s="2" t="s">
        <v>28</v>
      </c>
    </row>
    <row r="882" ht="14.25" customHeight="1">
      <c r="A882" s="6">
        <v>2.03622E7</v>
      </c>
      <c r="B882" s="2" t="s">
        <v>3497</v>
      </c>
      <c r="C882" s="2" t="s">
        <v>17</v>
      </c>
      <c r="D882" s="2" t="s">
        <v>57</v>
      </c>
      <c r="E882" s="2" t="s">
        <v>3498</v>
      </c>
      <c r="F882" s="2" t="s">
        <v>3498</v>
      </c>
      <c r="G882" s="2" t="s">
        <v>3499</v>
      </c>
      <c r="H882" s="2" t="s">
        <v>127</v>
      </c>
      <c r="I882" s="2" t="s">
        <v>135</v>
      </c>
      <c r="J882" s="2" t="s">
        <v>62</v>
      </c>
      <c r="K882" s="2" t="s">
        <v>24</v>
      </c>
      <c r="L882" s="7">
        <v>45931.0</v>
      </c>
      <c r="M882" s="2" t="s">
        <v>48</v>
      </c>
      <c r="N882" s="2" t="s">
        <v>35</v>
      </c>
      <c r="O882" s="2" t="s">
        <v>27</v>
      </c>
      <c r="P882" s="2" t="s">
        <v>28</v>
      </c>
    </row>
    <row r="883" ht="14.25" customHeight="1">
      <c r="A883" s="6">
        <v>9084737.0</v>
      </c>
      <c r="B883" s="2" t="s">
        <v>3500</v>
      </c>
      <c r="C883" s="2" t="s">
        <v>17</v>
      </c>
      <c r="D883" s="2" t="s">
        <v>831</v>
      </c>
      <c r="E883" s="2" t="s">
        <v>3501</v>
      </c>
      <c r="F883" s="2" t="s">
        <v>3501</v>
      </c>
      <c r="G883" s="2" t="s">
        <v>3502</v>
      </c>
      <c r="H883" s="2" t="s">
        <v>127</v>
      </c>
      <c r="I883" s="2" t="s">
        <v>135</v>
      </c>
      <c r="J883" s="2" t="s">
        <v>62</v>
      </c>
      <c r="K883" s="2" t="s">
        <v>24</v>
      </c>
      <c r="L883" s="7">
        <v>45931.0</v>
      </c>
      <c r="M883" s="2" t="s">
        <v>48</v>
      </c>
      <c r="N883" s="2" t="s">
        <v>35</v>
      </c>
      <c r="O883" s="2" t="s">
        <v>27</v>
      </c>
      <c r="P883" s="2" t="s">
        <v>28</v>
      </c>
    </row>
    <row r="884" ht="14.25" customHeight="1">
      <c r="A884" s="6">
        <v>1.9532356E7</v>
      </c>
      <c r="B884" s="2" t="s">
        <v>3503</v>
      </c>
      <c r="C884" s="2" t="s">
        <v>17</v>
      </c>
      <c r="D884" s="2" t="s">
        <v>57</v>
      </c>
      <c r="E884" s="2" t="s">
        <v>3504</v>
      </c>
      <c r="F884" s="2" t="s">
        <v>3504</v>
      </c>
      <c r="G884" s="2" t="s">
        <v>3505</v>
      </c>
      <c r="H884" s="2" t="s">
        <v>127</v>
      </c>
      <c r="I884" s="2" t="s">
        <v>135</v>
      </c>
      <c r="J884" s="2" t="s">
        <v>62</v>
      </c>
      <c r="K884" s="2" t="s">
        <v>24</v>
      </c>
      <c r="L884" s="7">
        <v>45931.0</v>
      </c>
      <c r="M884" s="2" t="s">
        <v>48</v>
      </c>
      <c r="N884" s="2" t="s">
        <v>35</v>
      </c>
      <c r="O884" s="2" t="s">
        <v>27</v>
      </c>
      <c r="P884" s="2" t="s">
        <v>28</v>
      </c>
    </row>
    <row r="885" ht="14.25" customHeight="1">
      <c r="A885" s="6">
        <v>1.7206882E7</v>
      </c>
      <c r="B885" s="2" t="s">
        <v>3506</v>
      </c>
      <c r="C885" s="2" t="s">
        <v>17</v>
      </c>
      <c r="D885" s="2" t="s">
        <v>3507</v>
      </c>
      <c r="E885" s="2" t="s">
        <v>3508</v>
      </c>
      <c r="F885" s="2" t="s">
        <v>3508</v>
      </c>
      <c r="G885" s="2" t="s">
        <v>3509</v>
      </c>
      <c r="H885" s="2" t="s">
        <v>127</v>
      </c>
      <c r="I885" s="2" t="s">
        <v>135</v>
      </c>
      <c r="J885" s="2" t="s">
        <v>62</v>
      </c>
      <c r="K885" s="2" t="s">
        <v>24</v>
      </c>
      <c r="L885" s="7">
        <v>45931.0</v>
      </c>
      <c r="M885" s="2" t="s">
        <v>48</v>
      </c>
      <c r="N885" s="2" t="s">
        <v>35</v>
      </c>
      <c r="O885" s="2" t="s">
        <v>27</v>
      </c>
      <c r="P885" s="2" t="s">
        <v>28</v>
      </c>
    </row>
    <row r="886" ht="14.25" customHeight="1">
      <c r="A886" s="6">
        <v>8885420.0</v>
      </c>
      <c r="B886" s="2" t="s">
        <v>3510</v>
      </c>
      <c r="C886" s="2" t="s">
        <v>17</v>
      </c>
      <c r="D886" s="2" t="s">
        <v>38</v>
      </c>
      <c r="E886" s="2" t="s">
        <v>3511</v>
      </c>
      <c r="F886" s="2" t="s">
        <v>3511</v>
      </c>
      <c r="G886" s="2" t="s">
        <v>3512</v>
      </c>
      <c r="H886" s="2" t="s">
        <v>127</v>
      </c>
      <c r="I886" s="2" t="s">
        <v>135</v>
      </c>
      <c r="J886" s="2" t="s">
        <v>62</v>
      </c>
      <c r="K886" s="2" t="s">
        <v>24</v>
      </c>
      <c r="L886" s="7">
        <v>45931.0</v>
      </c>
      <c r="M886" s="2" t="s">
        <v>48</v>
      </c>
      <c r="N886" s="2" t="s">
        <v>35</v>
      </c>
      <c r="O886" s="2" t="s">
        <v>27</v>
      </c>
      <c r="P886" s="2" t="s">
        <v>28</v>
      </c>
    </row>
    <row r="887" ht="14.25" customHeight="1">
      <c r="A887" s="6">
        <v>9062985.0</v>
      </c>
      <c r="B887" s="2" t="s">
        <v>3513</v>
      </c>
      <c r="C887" s="2" t="s">
        <v>17</v>
      </c>
      <c r="D887" s="2" t="s">
        <v>167</v>
      </c>
      <c r="E887" s="2" t="s">
        <v>3514</v>
      </c>
      <c r="F887" s="2" t="s">
        <v>3514</v>
      </c>
      <c r="G887" s="2" t="s">
        <v>3515</v>
      </c>
      <c r="H887" s="2" t="s">
        <v>127</v>
      </c>
      <c r="I887" s="2" t="s">
        <v>135</v>
      </c>
      <c r="J887" s="2" t="s">
        <v>62</v>
      </c>
      <c r="K887" s="2" t="s">
        <v>24</v>
      </c>
      <c r="L887" s="7">
        <v>45931.0</v>
      </c>
      <c r="M887" s="2" t="s">
        <v>48</v>
      </c>
      <c r="N887" s="2" t="s">
        <v>35</v>
      </c>
      <c r="O887" s="2" t="s">
        <v>27</v>
      </c>
      <c r="P887" s="2" t="s">
        <v>28</v>
      </c>
    </row>
    <row r="888" ht="14.25" customHeight="1">
      <c r="A888" s="6">
        <v>1.1904055E7</v>
      </c>
      <c r="B888" s="2" t="s">
        <v>3516</v>
      </c>
      <c r="C888" s="2" t="s">
        <v>17</v>
      </c>
      <c r="D888" s="2" t="s">
        <v>88</v>
      </c>
      <c r="E888" s="2" t="s">
        <v>3517</v>
      </c>
      <c r="F888" s="2" t="s">
        <v>3517</v>
      </c>
      <c r="G888" s="2" t="s">
        <v>3518</v>
      </c>
      <c r="H888" s="2" t="s">
        <v>127</v>
      </c>
      <c r="I888" s="2" t="s">
        <v>135</v>
      </c>
      <c r="J888" s="2" t="s">
        <v>62</v>
      </c>
      <c r="K888" s="2" t="s">
        <v>24</v>
      </c>
      <c r="L888" s="7">
        <v>45931.0</v>
      </c>
      <c r="M888" s="2" t="s">
        <v>48</v>
      </c>
      <c r="N888" s="2" t="s">
        <v>35</v>
      </c>
      <c r="O888" s="2" t="s">
        <v>27</v>
      </c>
      <c r="P888" s="2" t="s">
        <v>28</v>
      </c>
    </row>
    <row r="889" ht="14.25" customHeight="1">
      <c r="A889" s="6">
        <v>1.9297894E7</v>
      </c>
      <c r="B889" s="2" t="s">
        <v>3519</v>
      </c>
      <c r="C889" s="2" t="s">
        <v>17</v>
      </c>
      <c r="D889" s="2" t="s">
        <v>167</v>
      </c>
      <c r="E889" s="2" t="s">
        <v>3520</v>
      </c>
      <c r="F889" s="2" t="s">
        <v>3520</v>
      </c>
      <c r="G889" s="2" t="s">
        <v>3521</v>
      </c>
      <c r="H889" s="2" t="s">
        <v>127</v>
      </c>
      <c r="I889" s="2" t="s">
        <v>135</v>
      </c>
      <c r="J889" s="2" t="s">
        <v>62</v>
      </c>
      <c r="K889" s="2" t="s">
        <v>24</v>
      </c>
      <c r="L889" s="7">
        <v>45931.0</v>
      </c>
      <c r="M889" s="2" t="s">
        <v>48</v>
      </c>
      <c r="N889" s="2" t="s">
        <v>35</v>
      </c>
      <c r="O889" s="2" t="s">
        <v>27</v>
      </c>
      <c r="P889" s="2" t="s">
        <v>28</v>
      </c>
    </row>
    <row r="890" ht="14.25" customHeight="1">
      <c r="A890" s="6">
        <v>1.5756363E7</v>
      </c>
      <c r="B890" s="2" t="s">
        <v>3522</v>
      </c>
      <c r="C890" s="2" t="s">
        <v>17</v>
      </c>
      <c r="D890" s="2" t="s">
        <v>831</v>
      </c>
      <c r="E890" s="2" t="s">
        <v>3523</v>
      </c>
      <c r="F890" s="2" t="s">
        <v>3523</v>
      </c>
      <c r="G890" s="2" t="s">
        <v>3524</v>
      </c>
      <c r="H890" s="2" t="s">
        <v>127</v>
      </c>
      <c r="I890" s="2" t="s">
        <v>135</v>
      </c>
      <c r="J890" s="2" t="s">
        <v>62</v>
      </c>
      <c r="K890" s="2" t="s">
        <v>24</v>
      </c>
      <c r="L890" s="7">
        <v>45931.0</v>
      </c>
      <c r="M890" s="2" t="s">
        <v>48</v>
      </c>
      <c r="N890" s="2" t="s">
        <v>35</v>
      </c>
      <c r="O890" s="2" t="s">
        <v>27</v>
      </c>
      <c r="P890" s="2" t="s">
        <v>28</v>
      </c>
    </row>
    <row r="891" ht="14.25" customHeight="1">
      <c r="A891" s="6">
        <v>1.6515413E7</v>
      </c>
      <c r="B891" s="2" t="s">
        <v>3525</v>
      </c>
      <c r="C891" s="2" t="s">
        <v>17</v>
      </c>
      <c r="D891" s="2" t="s">
        <v>831</v>
      </c>
      <c r="E891" s="2" t="s">
        <v>3526</v>
      </c>
      <c r="F891" s="2" t="s">
        <v>3526</v>
      </c>
      <c r="G891" s="2" t="s">
        <v>3527</v>
      </c>
      <c r="H891" s="2" t="s">
        <v>127</v>
      </c>
      <c r="I891" s="2" t="s">
        <v>135</v>
      </c>
      <c r="J891" s="2" t="s">
        <v>62</v>
      </c>
      <c r="K891" s="2" t="s">
        <v>24</v>
      </c>
      <c r="L891" s="7">
        <v>45931.0</v>
      </c>
      <c r="M891" s="2" t="s">
        <v>48</v>
      </c>
      <c r="N891" s="2" t="s">
        <v>35</v>
      </c>
      <c r="O891" s="2" t="s">
        <v>27</v>
      </c>
      <c r="P891" s="2" t="s">
        <v>28</v>
      </c>
    </row>
    <row r="892" ht="14.25" customHeight="1">
      <c r="A892" s="6">
        <v>2.0149662E7</v>
      </c>
      <c r="B892" s="2" t="s">
        <v>3528</v>
      </c>
      <c r="C892" s="2" t="s">
        <v>17</v>
      </c>
      <c r="D892" s="2" t="s">
        <v>38</v>
      </c>
      <c r="E892" s="2" t="s">
        <v>3529</v>
      </c>
      <c r="F892" s="2" t="s">
        <v>3529</v>
      </c>
      <c r="G892" s="2" t="s">
        <v>3530</v>
      </c>
      <c r="H892" s="2" t="s">
        <v>127</v>
      </c>
      <c r="I892" s="2" t="s">
        <v>135</v>
      </c>
      <c r="J892" s="2" t="s">
        <v>62</v>
      </c>
      <c r="K892" s="2" t="s">
        <v>24</v>
      </c>
      <c r="L892" s="7">
        <v>45931.0</v>
      </c>
      <c r="M892" s="2" t="s">
        <v>48</v>
      </c>
      <c r="N892" s="2" t="s">
        <v>35</v>
      </c>
      <c r="O892" s="2" t="s">
        <v>27</v>
      </c>
      <c r="P892" s="2" t="s">
        <v>28</v>
      </c>
    </row>
    <row r="893" ht="14.25" customHeight="1">
      <c r="A893" s="6">
        <v>1.6156975E7</v>
      </c>
      <c r="B893" s="2" t="s">
        <v>3531</v>
      </c>
      <c r="C893" s="2" t="s">
        <v>17</v>
      </c>
      <c r="D893" s="2" t="s">
        <v>38</v>
      </c>
      <c r="E893" s="2" t="s">
        <v>3532</v>
      </c>
      <c r="F893" s="2" t="s">
        <v>3532</v>
      </c>
      <c r="G893" s="2" t="s">
        <v>3533</v>
      </c>
      <c r="H893" s="2" t="s">
        <v>127</v>
      </c>
      <c r="I893" s="2" t="s">
        <v>135</v>
      </c>
      <c r="J893" s="2" t="s">
        <v>62</v>
      </c>
      <c r="K893" s="2" t="s">
        <v>24</v>
      </c>
      <c r="L893" s="7">
        <v>45931.0</v>
      </c>
      <c r="M893" s="2" t="s">
        <v>48</v>
      </c>
      <c r="N893" s="2" t="s">
        <v>35</v>
      </c>
      <c r="O893" s="2" t="s">
        <v>27</v>
      </c>
      <c r="P893" s="2" t="s">
        <v>28</v>
      </c>
    </row>
    <row r="894" ht="14.25" customHeight="1">
      <c r="A894" s="6">
        <v>1.2701399E7</v>
      </c>
      <c r="B894" s="2" t="s">
        <v>3534</v>
      </c>
      <c r="C894" s="2" t="s">
        <v>17</v>
      </c>
      <c r="D894" s="2" t="s">
        <v>57</v>
      </c>
      <c r="E894" s="2" t="s">
        <v>3535</v>
      </c>
      <c r="F894" s="2" t="s">
        <v>3535</v>
      </c>
      <c r="G894" s="2" t="s">
        <v>3536</v>
      </c>
      <c r="H894" s="2" t="s">
        <v>127</v>
      </c>
      <c r="I894" s="2" t="s">
        <v>135</v>
      </c>
      <c r="J894" s="2" t="s">
        <v>62</v>
      </c>
      <c r="K894" s="2" t="s">
        <v>24</v>
      </c>
      <c r="L894" s="7">
        <v>45931.0</v>
      </c>
      <c r="M894" s="2" t="s">
        <v>48</v>
      </c>
      <c r="N894" s="2" t="s">
        <v>35</v>
      </c>
      <c r="O894" s="2" t="s">
        <v>27</v>
      </c>
      <c r="P894" s="2" t="s">
        <v>28</v>
      </c>
    </row>
    <row r="895" ht="14.25" customHeight="1">
      <c r="A895" s="6">
        <v>1.5224284E7</v>
      </c>
      <c r="B895" s="2" t="s">
        <v>3537</v>
      </c>
      <c r="C895" s="2" t="s">
        <v>17</v>
      </c>
      <c r="D895" s="2" t="s">
        <v>88</v>
      </c>
      <c r="E895" s="2" t="s">
        <v>3538</v>
      </c>
      <c r="F895" s="2" t="s">
        <v>3538</v>
      </c>
      <c r="G895" s="2" t="s">
        <v>3539</v>
      </c>
      <c r="H895" s="2" t="s">
        <v>127</v>
      </c>
      <c r="I895" s="2" t="s">
        <v>135</v>
      </c>
      <c r="J895" s="2" t="s">
        <v>62</v>
      </c>
      <c r="K895" s="2" t="s">
        <v>24</v>
      </c>
      <c r="L895" s="7">
        <v>45931.0</v>
      </c>
      <c r="M895" s="2" t="s">
        <v>48</v>
      </c>
      <c r="N895" s="2" t="s">
        <v>35</v>
      </c>
      <c r="O895" s="2" t="s">
        <v>27</v>
      </c>
      <c r="P895" s="2" t="s">
        <v>28</v>
      </c>
    </row>
    <row r="896" ht="14.25" customHeight="1">
      <c r="A896" s="6">
        <v>9166404.0</v>
      </c>
      <c r="B896" s="2" t="s">
        <v>3540</v>
      </c>
      <c r="C896" s="2" t="s">
        <v>17</v>
      </c>
      <c r="D896" s="2" t="s">
        <v>57</v>
      </c>
      <c r="E896" s="2" t="s">
        <v>3541</v>
      </c>
      <c r="F896" s="2" t="s">
        <v>3541</v>
      </c>
      <c r="G896" s="2" t="s">
        <v>3542</v>
      </c>
      <c r="H896" s="2" t="s">
        <v>127</v>
      </c>
      <c r="I896" s="2" t="s">
        <v>135</v>
      </c>
      <c r="J896" s="2" t="s">
        <v>62</v>
      </c>
      <c r="K896" s="2" t="s">
        <v>24</v>
      </c>
      <c r="L896" s="7">
        <v>45931.0</v>
      </c>
      <c r="M896" s="2" t="s">
        <v>48</v>
      </c>
      <c r="N896" s="2" t="s">
        <v>35</v>
      </c>
      <c r="O896" s="2" t="s">
        <v>27</v>
      </c>
      <c r="P896" s="2" t="s">
        <v>28</v>
      </c>
    </row>
    <row r="897" ht="14.25" customHeight="1">
      <c r="A897" s="6">
        <v>2.7554603E7</v>
      </c>
      <c r="B897" s="2" t="s">
        <v>3543</v>
      </c>
      <c r="C897" s="2" t="s">
        <v>17</v>
      </c>
      <c r="D897" s="2" t="s">
        <v>831</v>
      </c>
      <c r="E897" s="2" t="s">
        <v>3544</v>
      </c>
      <c r="F897" s="2" t="s">
        <v>3544</v>
      </c>
      <c r="G897" s="2" t="s">
        <v>3545</v>
      </c>
      <c r="H897" s="2" t="s">
        <v>127</v>
      </c>
      <c r="I897" s="2" t="s">
        <v>135</v>
      </c>
      <c r="J897" s="2" t="s">
        <v>62</v>
      </c>
      <c r="K897" s="2" t="s">
        <v>24</v>
      </c>
      <c r="L897" s="7">
        <v>45931.0</v>
      </c>
      <c r="M897" s="2" t="s">
        <v>48</v>
      </c>
      <c r="N897" s="2" t="s">
        <v>35</v>
      </c>
      <c r="O897" s="2" t="s">
        <v>27</v>
      </c>
      <c r="P897" s="2" t="s">
        <v>28</v>
      </c>
    </row>
    <row r="898" ht="14.25" customHeight="1">
      <c r="A898" s="6">
        <v>1.9827078E7</v>
      </c>
      <c r="B898" s="2" t="s">
        <v>3546</v>
      </c>
      <c r="C898" s="2" t="s">
        <v>17</v>
      </c>
      <c r="D898" s="2" t="s">
        <v>88</v>
      </c>
      <c r="E898" s="2" t="s">
        <v>3547</v>
      </c>
      <c r="F898" s="2" t="s">
        <v>3547</v>
      </c>
      <c r="G898" s="2" t="s">
        <v>3548</v>
      </c>
      <c r="H898" s="2" t="s">
        <v>127</v>
      </c>
      <c r="I898" s="2" t="s">
        <v>135</v>
      </c>
      <c r="J898" s="2" t="s">
        <v>62</v>
      </c>
      <c r="K898" s="2" t="s">
        <v>24</v>
      </c>
      <c r="L898" s="7">
        <v>45931.0</v>
      </c>
      <c r="M898" s="2" t="s">
        <v>48</v>
      </c>
      <c r="N898" s="2" t="s">
        <v>35</v>
      </c>
      <c r="O898" s="2" t="s">
        <v>27</v>
      </c>
      <c r="P898" s="2" t="s">
        <v>28</v>
      </c>
    </row>
    <row r="899" ht="14.25" customHeight="1">
      <c r="A899" s="6">
        <v>2.0021262E7</v>
      </c>
      <c r="B899" s="2" t="s">
        <v>3549</v>
      </c>
      <c r="C899" s="2" t="s">
        <v>17</v>
      </c>
      <c r="D899" s="2" t="s">
        <v>57</v>
      </c>
      <c r="E899" s="2" t="s">
        <v>3550</v>
      </c>
      <c r="F899" s="2" t="s">
        <v>3550</v>
      </c>
      <c r="G899" s="2" t="s">
        <v>3551</v>
      </c>
      <c r="H899" s="2" t="s">
        <v>127</v>
      </c>
      <c r="I899" s="2" t="s">
        <v>135</v>
      </c>
      <c r="J899" s="2" t="s">
        <v>62</v>
      </c>
      <c r="K899" s="2" t="s">
        <v>24</v>
      </c>
      <c r="L899" s="7">
        <v>45931.0</v>
      </c>
      <c r="M899" s="2" t="s">
        <v>48</v>
      </c>
      <c r="N899" s="2" t="s">
        <v>35</v>
      </c>
      <c r="O899" s="2" t="s">
        <v>27</v>
      </c>
      <c r="P899" s="2" t="s">
        <v>28</v>
      </c>
    </row>
    <row r="900" ht="14.25" customHeight="1">
      <c r="A900" s="6">
        <v>1.6304529E7</v>
      </c>
      <c r="B900" s="2" t="s">
        <v>3552</v>
      </c>
      <c r="C900" s="2" t="s">
        <v>17</v>
      </c>
      <c r="D900" s="2" t="s">
        <v>38</v>
      </c>
      <c r="E900" s="2" t="s">
        <v>3553</v>
      </c>
      <c r="F900" s="2" t="s">
        <v>3553</v>
      </c>
      <c r="G900" s="2" t="s">
        <v>3554</v>
      </c>
      <c r="H900" s="2" t="s">
        <v>127</v>
      </c>
      <c r="I900" s="2" t="s">
        <v>135</v>
      </c>
      <c r="J900" s="2" t="s">
        <v>62</v>
      </c>
      <c r="K900" s="2" t="s">
        <v>24</v>
      </c>
      <c r="L900" s="7">
        <v>45931.0</v>
      </c>
      <c r="M900" s="2" t="s">
        <v>48</v>
      </c>
      <c r="N900" s="2" t="s">
        <v>35</v>
      </c>
      <c r="O900" s="2" t="s">
        <v>27</v>
      </c>
      <c r="P900" s="2" t="s">
        <v>28</v>
      </c>
    </row>
    <row r="901" ht="14.25" customHeight="1">
      <c r="A901" s="6">
        <v>9809612.0</v>
      </c>
      <c r="B901" s="2" t="s">
        <v>3555</v>
      </c>
      <c r="C901" s="2" t="s">
        <v>17</v>
      </c>
      <c r="D901" s="2" t="s">
        <v>167</v>
      </c>
      <c r="E901" s="2" t="s">
        <v>3556</v>
      </c>
      <c r="F901" s="2" t="s">
        <v>3556</v>
      </c>
      <c r="G901" s="2" t="s">
        <v>3557</v>
      </c>
      <c r="H901" s="2" t="s">
        <v>127</v>
      </c>
      <c r="I901" s="2" t="s">
        <v>135</v>
      </c>
      <c r="J901" s="2" t="s">
        <v>62</v>
      </c>
      <c r="K901" s="2" t="s">
        <v>24</v>
      </c>
      <c r="L901" s="7">
        <v>45931.0</v>
      </c>
      <c r="M901" s="2" t="s">
        <v>48</v>
      </c>
      <c r="N901" s="2" t="s">
        <v>35</v>
      </c>
      <c r="O901" s="2" t="s">
        <v>27</v>
      </c>
      <c r="P901" s="2" t="s">
        <v>28</v>
      </c>
    </row>
    <row r="902" ht="14.25" customHeight="1">
      <c r="A902" s="6">
        <v>1.0375018E7</v>
      </c>
      <c r="B902" s="2" t="s">
        <v>3558</v>
      </c>
      <c r="C902" s="2" t="s">
        <v>17</v>
      </c>
      <c r="D902" s="2" t="s">
        <v>167</v>
      </c>
      <c r="E902" s="2" t="s">
        <v>3559</v>
      </c>
      <c r="F902" s="2" t="s">
        <v>3559</v>
      </c>
      <c r="G902" s="2" t="s">
        <v>3560</v>
      </c>
      <c r="H902" s="2" t="s">
        <v>127</v>
      </c>
      <c r="I902" s="2" t="s">
        <v>135</v>
      </c>
      <c r="J902" s="2" t="s">
        <v>62</v>
      </c>
      <c r="K902" s="2" t="s">
        <v>24</v>
      </c>
      <c r="L902" s="7">
        <v>45931.0</v>
      </c>
      <c r="M902" s="2" t="s">
        <v>48</v>
      </c>
      <c r="N902" s="2" t="s">
        <v>35</v>
      </c>
      <c r="O902" s="2" t="s">
        <v>27</v>
      </c>
      <c r="P902" s="2" t="s">
        <v>28</v>
      </c>
    </row>
    <row r="903" ht="14.25" customHeight="1">
      <c r="A903" s="6">
        <v>9422481.0</v>
      </c>
      <c r="B903" s="2" t="s">
        <v>3561</v>
      </c>
      <c r="C903" s="2" t="s">
        <v>17</v>
      </c>
      <c r="D903" s="2" t="s">
        <v>38</v>
      </c>
      <c r="E903" s="2" t="s">
        <v>3562</v>
      </c>
      <c r="F903" s="2" t="s">
        <v>3562</v>
      </c>
      <c r="G903" s="2" t="s">
        <v>3563</v>
      </c>
      <c r="H903" s="2" t="s">
        <v>127</v>
      </c>
      <c r="I903" s="2" t="s">
        <v>135</v>
      </c>
      <c r="J903" s="2" t="s">
        <v>62</v>
      </c>
      <c r="K903" s="2" t="s">
        <v>24</v>
      </c>
      <c r="L903" s="7">
        <v>45931.0</v>
      </c>
      <c r="M903" s="2" t="s">
        <v>48</v>
      </c>
      <c r="N903" s="2" t="s">
        <v>35</v>
      </c>
      <c r="O903" s="2" t="s">
        <v>27</v>
      </c>
      <c r="P903" s="2" t="s">
        <v>28</v>
      </c>
    </row>
    <row r="904" ht="14.25" customHeight="1">
      <c r="A904" s="6">
        <v>1.4214606E7</v>
      </c>
      <c r="B904" s="2" t="s">
        <v>3564</v>
      </c>
      <c r="C904" s="2" t="s">
        <v>17</v>
      </c>
      <c r="D904" s="2" t="s">
        <v>38</v>
      </c>
      <c r="E904" s="2" t="s">
        <v>3565</v>
      </c>
      <c r="F904" s="2" t="s">
        <v>3565</v>
      </c>
      <c r="G904" s="2" t="s">
        <v>3566</v>
      </c>
      <c r="H904" s="2" t="s">
        <v>127</v>
      </c>
      <c r="I904" s="2" t="s">
        <v>135</v>
      </c>
      <c r="J904" s="2" t="s">
        <v>62</v>
      </c>
      <c r="K904" s="2" t="s">
        <v>24</v>
      </c>
      <c r="L904" s="7">
        <v>45931.0</v>
      </c>
      <c r="M904" s="2" t="s">
        <v>48</v>
      </c>
      <c r="N904" s="2" t="s">
        <v>35</v>
      </c>
      <c r="O904" s="2" t="s">
        <v>27</v>
      </c>
      <c r="P904" s="2" t="s">
        <v>28</v>
      </c>
    </row>
    <row r="905" ht="14.25" customHeight="1">
      <c r="A905" s="6">
        <v>1.9297812E7</v>
      </c>
      <c r="B905" s="2" t="s">
        <v>3567</v>
      </c>
      <c r="C905" s="2" t="s">
        <v>17</v>
      </c>
      <c r="D905" s="2" t="s">
        <v>167</v>
      </c>
      <c r="E905" s="2" t="s">
        <v>3568</v>
      </c>
      <c r="F905" s="2" t="s">
        <v>3568</v>
      </c>
      <c r="G905" s="2" t="s">
        <v>3569</v>
      </c>
      <c r="H905" s="2" t="s">
        <v>127</v>
      </c>
      <c r="I905" s="2" t="s">
        <v>135</v>
      </c>
      <c r="J905" s="2" t="s">
        <v>62</v>
      </c>
      <c r="K905" s="2" t="s">
        <v>24</v>
      </c>
      <c r="L905" s="7">
        <v>45931.0</v>
      </c>
      <c r="M905" s="2" t="s">
        <v>48</v>
      </c>
      <c r="N905" s="2" t="s">
        <v>35</v>
      </c>
      <c r="O905" s="2" t="s">
        <v>27</v>
      </c>
      <c r="P905" s="2" t="s">
        <v>28</v>
      </c>
    </row>
    <row r="906" ht="14.25" customHeight="1">
      <c r="A906" s="6">
        <v>1.8136897E7</v>
      </c>
      <c r="B906" s="2" t="s">
        <v>3570</v>
      </c>
      <c r="C906" s="2" t="s">
        <v>17</v>
      </c>
      <c r="D906" s="2" t="s">
        <v>167</v>
      </c>
      <c r="E906" s="2" t="s">
        <v>3571</v>
      </c>
      <c r="F906" s="2" t="s">
        <v>3571</v>
      </c>
      <c r="G906" s="2" t="s">
        <v>3572</v>
      </c>
      <c r="H906" s="2" t="s">
        <v>127</v>
      </c>
      <c r="I906" s="2" t="s">
        <v>135</v>
      </c>
      <c r="J906" s="2" t="s">
        <v>62</v>
      </c>
      <c r="K906" s="2" t="s">
        <v>24</v>
      </c>
      <c r="L906" s="7">
        <v>45931.0</v>
      </c>
      <c r="M906" s="2" t="s">
        <v>48</v>
      </c>
      <c r="N906" s="2" t="s">
        <v>35</v>
      </c>
      <c r="O906" s="2" t="s">
        <v>27</v>
      </c>
      <c r="P906" s="2" t="s">
        <v>28</v>
      </c>
    </row>
    <row r="907" ht="14.25" customHeight="1">
      <c r="A907" s="6">
        <v>1.6347792E7</v>
      </c>
      <c r="B907" s="2" t="s">
        <v>3573</v>
      </c>
      <c r="C907" s="2" t="s">
        <v>17</v>
      </c>
      <c r="D907" s="2" t="s">
        <v>57</v>
      </c>
      <c r="E907" s="2" t="s">
        <v>3574</v>
      </c>
      <c r="F907" s="2" t="s">
        <v>3574</v>
      </c>
      <c r="G907" s="2" t="s">
        <v>3575</v>
      </c>
      <c r="H907" s="2" t="s">
        <v>127</v>
      </c>
      <c r="I907" s="2" t="s">
        <v>2558</v>
      </c>
      <c r="J907" s="2" t="s">
        <v>62</v>
      </c>
      <c r="K907" s="2" t="s">
        <v>24</v>
      </c>
      <c r="L907" s="7">
        <v>45931.0</v>
      </c>
      <c r="M907" s="2" t="s">
        <v>48</v>
      </c>
      <c r="N907" s="2" t="s">
        <v>35</v>
      </c>
      <c r="O907" s="2" t="s">
        <v>27</v>
      </c>
      <c r="P907" s="2" t="s">
        <v>28</v>
      </c>
    </row>
    <row r="908" ht="14.25" customHeight="1">
      <c r="A908" s="6">
        <v>2.7556814E7</v>
      </c>
      <c r="B908" s="2" t="s">
        <v>3576</v>
      </c>
      <c r="C908" s="2" t="s">
        <v>17</v>
      </c>
      <c r="D908" s="2" t="s">
        <v>38</v>
      </c>
      <c r="E908" s="2" t="s">
        <v>3577</v>
      </c>
      <c r="F908" s="2" t="s">
        <v>3577</v>
      </c>
      <c r="G908" s="2" t="s">
        <v>3578</v>
      </c>
      <c r="H908" s="2" t="s">
        <v>127</v>
      </c>
      <c r="I908" s="2" t="s">
        <v>2558</v>
      </c>
      <c r="J908" s="2" t="s">
        <v>62</v>
      </c>
      <c r="K908" s="2" t="s">
        <v>24</v>
      </c>
      <c r="L908" s="7">
        <v>45931.0</v>
      </c>
      <c r="M908" s="2" t="s">
        <v>48</v>
      </c>
      <c r="N908" s="2" t="s">
        <v>35</v>
      </c>
      <c r="O908" s="2" t="s">
        <v>27</v>
      </c>
      <c r="P908" s="2" t="s">
        <v>28</v>
      </c>
    </row>
    <row r="909" ht="14.25" customHeight="1">
      <c r="A909" s="6">
        <v>1.982728E7</v>
      </c>
      <c r="B909" s="2" t="s">
        <v>3579</v>
      </c>
      <c r="C909" s="2" t="s">
        <v>17</v>
      </c>
      <c r="D909" s="2" t="s">
        <v>167</v>
      </c>
      <c r="E909" s="2" t="s">
        <v>3580</v>
      </c>
      <c r="F909" s="2" t="s">
        <v>3580</v>
      </c>
      <c r="G909" s="2" t="s">
        <v>3581</v>
      </c>
      <c r="H909" s="2" t="s">
        <v>127</v>
      </c>
      <c r="I909" s="2" t="s">
        <v>2558</v>
      </c>
      <c r="J909" s="2" t="s">
        <v>62</v>
      </c>
      <c r="K909" s="2" t="s">
        <v>24</v>
      </c>
      <c r="L909" s="7">
        <v>45931.0</v>
      </c>
      <c r="M909" s="2" t="s">
        <v>48</v>
      </c>
      <c r="N909" s="2" t="s">
        <v>35</v>
      </c>
      <c r="O909" s="2" t="s">
        <v>27</v>
      </c>
      <c r="P909" s="2" t="s">
        <v>28</v>
      </c>
    </row>
    <row r="910" ht="14.25" customHeight="1">
      <c r="A910" s="6">
        <v>1.8442946E7</v>
      </c>
      <c r="B910" s="2" t="s">
        <v>3582</v>
      </c>
      <c r="C910" s="2" t="s">
        <v>17</v>
      </c>
      <c r="D910" s="2" t="s">
        <v>831</v>
      </c>
      <c r="E910" s="2" t="s">
        <v>3583</v>
      </c>
      <c r="F910" s="2" t="s">
        <v>3584</v>
      </c>
      <c r="G910" s="2" t="s">
        <v>3585</v>
      </c>
      <c r="H910" s="2" t="s">
        <v>127</v>
      </c>
      <c r="I910" s="2" t="s">
        <v>2558</v>
      </c>
      <c r="J910" s="2" t="s">
        <v>62</v>
      </c>
      <c r="K910" s="2" t="s">
        <v>24</v>
      </c>
      <c r="L910" s="7">
        <v>45931.0</v>
      </c>
      <c r="M910" s="2" t="s">
        <v>48</v>
      </c>
      <c r="N910" s="2" t="s">
        <v>35</v>
      </c>
      <c r="O910" s="2" t="s">
        <v>27</v>
      </c>
      <c r="P910" s="2" t="s">
        <v>28</v>
      </c>
    </row>
    <row r="911" ht="14.25" customHeight="1">
      <c r="A911" s="6">
        <v>1.7896821E7</v>
      </c>
      <c r="B911" s="2" t="s">
        <v>3586</v>
      </c>
      <c r="C911" s="2" t="s">
        <v>17</v>
      </c>
      <c r="D911" s="2" t="s">
        <v>3507</v>
      </c>
      <c r="E911" s="2" t="s">
        <v>3587</v>
      </c>
      <c r="F911" s="2" t="s">
        <v>3587</v>
      </c>
      <c r="G911" s="2" t="s">
        <v>3588</v>
      </c>
      <c r="H911" s="2" t="s">
        <v>127</v>
      </c>
      <c r="I911" s="2" t="s">
        <v>2558</v>
      </c>
      <c r="J911" s="2" t="s">
        <v>62</v>
      </c>
      <c r="K911" s="2" t="s">
        <v>24</v>
      </c>
      <c r="L911" s="7">
        <v>45931.0</v>
      </c>
      <c r="M911" s="2" t="s">
        <v>48</v>
      </c>
      <c r="N911" s="2" t="s">
        <v>35</v>
      </c>
      <c r="O911" s="2" t="s">
        <v>27</v>
      </c>
      <c r="P911" s="2" t="s">
        <v>28</v>
      </c>
    </row>
    <row r="912" ht="14.25" customHeight="1">
      <c r="A912" s="6">
        <v>1.9799556E7</v>
      </c>
      <c r="B912" s="2" t="s">
        <v>3589</v>
      </c>
      <c r="C912" s="2" t="s">
        <v>17</v>
      </c>
      <c r="D912" s="2" t="s">
        <v>57</v>
      </c>
      <c r="E912" s="2" t="s">
        <v>3590</v>
      </c>
      <c r="F912" s="2" t="s">
        <v>3590</v>
      </c>
      <c r="G912" s="2" t="s">
        <v>3591</v>
      </c>
      <c r="H912" s="2" t="s">
        <v>127</v>
      </c>
      <c r="I912" s="2" t="s">
        <v>2558</v>
      </c>
      <c r="J912" s="2" t="s">
        <v>62</v>
      </c>
      <c r="K912" s="2" t="s">
        <v>24</v>
      </c>
      <c r="L912" s="7">
        <v>45931.0</v>
      </c>
      <c r="M912" s="2" t="s">
        <v>48</v>
      </c>
      <c r="N912" s="2" t="s">
        <v>35</v>
      </c>
      <c r="O912" s="2" t="s">
        <v>27</v>
      </c>
      <c r="P912" s="2" t="s">
        <v>28</v>
      </c>
    </row>
    <row r="913" ht="14.25" customHeight="1">
      <c r="A913" s="6">
        <v>1.7944632E7</v>
      </c>
      <c r="B913" s="2" t="s">
        <v>3592</v>
      </c>
      <c r="C913" s="2" t="s">
        <v>17</v>
      </c>
      <c r="D913" s="2" t="s">
        <v>167</v>
      </c>
      <c r="E913" s="2" t="s">
        <v>3593</v>
      </c>
      <c r="F913" s="2" t="s">
        <v>3593</v>
      </c>
      <c r="G913" s="2" t="s">
        <v>3594</v>
      </c>
      <c r="H913" s="2" t="s">
        <v>127</v>
      </c>
      <c r="I913" s="2" t="s">
        <v>2558</v>
      </c>
      <c r="J913" s="2" t="s">
        <v>62</v>
      </c>
      <c r="K913" s="2" t="s">
        <v>24</v>
      </c>
      <c r="L913" s="7">
        <v>45931.0</v>
      </c>
      <c r="M913" s="2" t="s">
        <v>48</v>
      </c>
      <c r="N913" s="2" t="s">
        <v>35</v>
      </c>
      <c r="O913" s="2" t="s">
        <v>27</v>
      </c>
      <c r="P913" s="2" t="s">
        <v>28</v>
      </c>
    </row>
    <row r="914" ht="14.25" customHeight="1">
      <c r="A914" s="6">
        <v>1.7729226E7</v>
      </c>
      <c r="B914" s="2" t="s">
        <v>3595</v>
      </c>
      <c r="C914" s="2" t="s">
        <v>17</v>
      </c>
      <c r="D914" s="2" t="s">
        <v>831</v>
      </c>
      <c r="E914" s="2" t="s">
        <v>3596</v>
      </c>
      <c r="F914" s="2" t="s">
        <v>3596</v>
      </c>
      <c r="G914" s="2" t="s">
        <v>3597</v>
      </c>
      <c r="H914" s="2" t="s">
        <v>127</v>
      </c>
      <c r="I914" s="2" t="s">
        <v>2558</v>
      </c>
      <c r="J914" s="2" t="s">
        <v>62</v>
      </c>
      <c r="K914" s="2" t="s">
        <v>24</v>
      </c>
      <c r="L914" s="7">
        <v>45931.0</v>
      </c>
      <c r="M914" s="2" t="s">
        <v>48</v>
      </c>
      <c r="N914" s="2" t="s">
        <v>35</v>
      </c>
      <c r="O914" s="2" t="s">
        <v>27</v>
      </c>
      <c r="P914" s="2" t="s">
        <v>28</v>
      </c>
    </row>
    <row r="915" ht="14.25" customHeight="1">
      <c r="A915" s="6">
        <v>9528676.0</v>
      </c>
      <c r="B915" s="2" t="s">
        <v>3598</v>
      </c>
      <c r="C915" s="2" t="s">
        <v>17</v>
      </c>
      <c r="D915" s="2" t="s">
        <v>167</v>
      </c>
      <c r="E915" s="2" t="s">
        <v>3599</v>
      </c>
      <c r="F915" s="2" t="s">
        <v>3599</v>
      </c>
      <c r="G915" s="2" t="s">
        <v>3600</v>
      </c>
      <c r="H915" s="2" t="s">
        <v>127</v>
      </c>
      <c r="I915" s="2" t="s">
        <v>2558</v>
      </c>
      <c r="J915" s="2" t="s">
        <v>62</v>
      </c>
      <c r="K915" s="2" t="s">
        <v>24</v>
      </c>
      <c r="L915" s="7">
        <v>45931.0</v>
      </c>
      <c r="M915" s="2" t="s">
        <v>48</v>
      </c>
      <c r="N915" s="2" t="s">
        <v>35</v>
      </c>
      <c r="O915" s="2" t="s">
        <v>27</v>
      </c>
      <c r="P915" s="2" t="s">
        <v>28</v>
      </c>
    </row>
    <row r="916" ht="14.25" customHeight="1">
      <c r="A916" s="6">
        <v>1.6999554E7</v>
      </c>
      <c r="B916" s="2" t="s">
        <v>3601</v>
      </c>
      <c r="C916" s="2" t="s">
        <v>17</v>
      </c>
      <c r="D916" s="2" t="s">
        <v>57</v>
      </c>
      <c r="E916" s="2" t="s">
        <v>3602</v>
      </c>
      <c r="F916" s="2" t="s">
        <v>3602</v>
      </c>
      <c r="G916" s="2" t="s">
        <v>3603</v>
      </c>
      <c r="H916" s="2" t="s">
        <v>127</v>
      </c>
      <c r="I916" s="2" t="s">
        <v>2558</v>
      </c>
      <c r="J916" s="2" t="s">
        <v>62</v>
      </c>
      <c r="K916" s="2" t="s">
        <v>24</v>
      </c>
      <c r="L916" s="7">
        <v>45931.0</v>
      </c>
      <c r="M916" s="2" t="s">
        <v>48</v>
      </c>
      <c r="N916" s="2" t="s">
        <v>35</v>
      </c>
      <c r="O916" s="2" t="s">
        <v>27</v>
      </c>
      <c r="P916" s="2" t="s">
        <v>28</v>
      </c>
    </row>
    <row r="917" ht="14.25" customHeight="1">
      <c r="A917" s="6">
        <v>9317926.0</v>
      </c>
      <c r="B917" s="2" t="s">
        <v>3604</v>
      </c>
      <c r="C917" s="2" t="s">
        <v>17</v>
      </c>
      <c r="D917" s="2" t="s">
        <v>167</v>
      </c>
      <c r="E917" s="2" t="s">
        <v>3605</v>
      </c>
      <c r="F917" s="2" t="s">
        <v>3605</v>
      </c>
      <c r="G917" s="2" t="s">
        <v>3606</v>
      </c>
      <c r="H917" s="2" t="s">
        <v>127</v>
      </c>
      <c r="I917" s="2" t="s">
        <v>2558</v>
      </c>
      <c r="J917" s="2" t="s">
        <v>62</v>
      </c>
      <c r="K917" s="2" t="s">
        <v>24</v>
      </c>
      <c r="L917" s="7">
        <v>45931.0</v>
      </c>
      <c r="M917" s="2" t="s">
        <v>48</v>
      </c>
      <c r="N917" s="2" t="s">
        <v>35</v>
      </c>
      <c r="O917" s="2" t="s">
        <v>27</v>
      </c>
      <c r="P917" s="2" t="s">
        <v>28</v>
      </c>
    </row>
    <row r="918" ht="14.25" customHeight="1">
      <c r="A918" s="6">
        <v>1.9520774E7</v>
      </c>
      <c r="B918" s="2" t="s">
        <v>3607</v>
      </c>
      <c r="C918" s="2" t="s">
        <v>17</v>
      </c>
      <c r="D918" s="2" t="s">
        <v>167</v>
      </c>
      <c r="E918" s="2" t="s">
        <v>3608</v>
      </c>
      <c r="F918" s="2" t="s">
        <v>3608</v>
      </c>
      <c r="G918" s="2" t="s">
        <v>3609</v>
      </c>
      <c r="H918" s="2" t="s">
        <v>127</v>
      </c>
      <c r="I918" s="2" t="s">
        <v>2558</v>
      </c>
      <c r="J918" s="2" t="s">
        <v>62</v>
      </c>
      <c r="K918" s="2" t="s">
        <v>24</v>
      </c>
      <c r="L918" s="7">
        <v>45931.0</v>
      </c>
      <c r="M918" s="2" t="s">
        <v>48</v>
      </c>
      <c r="N918" s="2" t="s">
        <v>35</v>
      </c>
      <c r="O918" s="2" t="s">
        <v>27</v>
      </c>
      <c r="P918" s="2" t="s">
        <v>28</v>
      </c>
    </row>
    <row r="919" ht="14.25" customHeight="1">
      <c r="A919" s="6">
        <v>1.4392842E7</v>
      </c>
      <c r="B919" s="2" t="s">
        <v>3610</v>
      </c>
      <c r="C919" s="2" t="s">
        <v>17</v>
      </c>
      <c r="D919" s="2" t="s">
        <v>88</v>
      </c>
      <c r="E919" s="2" t="s">
        <v>3611</v>
      </c>
      <c r="F919" s="2" t="s">
        <v>3611</v>
      </c>
      <c r="G919" s="2" t="s">
        <v>3612</v>
      </c>
      <c r="H919" s="2" t="s">
        <v>127</v>
      </c>
      <c r="I919" s="2" t="s">
        <v>2558</v>
      </c>
      <c r="J919" s="2" t="s">
        <v>62</v>
      </c>
      <c r="K919" s="2" t="s">
        <v>24</v>
      </c>
      <c r="L919" s="7">
        <v>45931.0</v>
      </c>
      <c r="M919" s="2" t="s">
        <v>48</v>
      </c>
      <c r="N919" s="2" t="s">
        <v>35</v>
      </c>
      <c r="O919" s="2" t="s">
        <v>27</v>
      </c>
      <c r="P919" s="2" t="s">
        <v>28</v>
      </c>
    </row>
    <row r="920" ht="14.25" customHeight="1">
      <c r="A920" s="6">
        <v>1.3958037E7</v>
      </c>
      <c r="B920" s="2" t="s">
        <v>3613</v>
      </c>
      <c r="C920" s="2" t="s">
        <v>17</v>
      </c>
      <c r="D920" s="2" t="s">
        <v>57</v>
      </c>
      <c r="E920" s="2" t="s">
        <v>3614</v>
      </c>
      <c r="F920" s="2" t="s">
        <v>3614</v>
      </c>
      <c r="G920" s="2" t="s">
        <v>3615</v>
      </c>
      <c r="H920" s="2" t="s">
        <v>127</v>
      </c>
      <c r="I920" s="2" t="s">
        <v>2558</v>
      </c>
      <c r="J920" s="2" t="s">
        <v>62</v>
      </c>
      <c r="K920" s="2" t="s">
        <v>24</v>
      </c>
      <c r="L920" s="7">
        <v>45931.0</v>
      </c>
      <c r="M920" s="2" t="s">
        <v>48</v>
      </c>
      <c r="N920" s="2" t="s">
        <v>35</v>
      </c>
      <c r="O920" s="2" t="s">
        <v>27</v>
      </c>
      <c r="P920" s="2" t="s">
        <v>28</v>
      </c>
    </row>
    <row r="921" ht="14.25" customHeight="1">
      <c r="A921" s="6">
        <v>1.9731148E7</v>
      </c>
      <c r="B921" s="2" t="s">
        <v>3616</v>
      </c>
      <c r="C921" s="2" t="s">
        <v>17</v>
      </c>
      <c r="D921" s="2" t="s">
        <v>167</v>
      </c>
      <c r="E921" s="2" t="s">
        <v>3617</v>
      </c>
      <c r="F921" s="2" t="s">
        <v>3617</v>
      </c>
      <c r="G921" s="2" t="s">
        <v>3618</v>
      </c>
      <c r="H921" s="2" t="s">
        <v>127</v>
      </c>
      <c r="I921" s="2" t="s">
        <v>2558</v>
      </c>
      <c r="J921" s="2" t="s">
        <v>62</v>
      </c>
      <c r="K921" s="2" t="s">
        <v>24</v>
      </c>
      <c r="L921" s="7">
        <v>45931.0</v>
      </c>
      <c r="M921" s="2" t="s">
        <v>48</v>
      </c>
      <c r="N921" s="2" t="s">
        <v>35</v>
      </c>
      <c r="O921" s="2" t="s">
        <v>27</v>
      </c>
      <c r="P921" s="2" t="s">
        <v>28</v>
      </c>
    </row>
    <row r="922" ht="14.25" customHeight="1">
      <c r="A922" s="6">
        <v>1.6230115E7</v>
      </c>
      <c r="B922" s="2" t="s">
        <v>3619</v>
      </c>
      <c r="C922" s="2" t="s">
        <v>17</v>
      </c>
      <c r="D922" s="2" t="s">
        <v>831</v>
      </c>
      <c r="E922" s="2" t="s">
        <v>3620</v>
      </c>
      <c r="F922" s="2" t="s">
        <v>3620</v>
      </c>
      <c r="G922" s="2" t="s">
        <v>3621</v>
      </c>
      <c r="H922" s="2" t="s">
        <v>127</v>
      </c>
      <c r="I922" s="2" t="s">
        <v>2558</v>
      </c>
      <c r="J922" s="2" t="s">
        <v>62</v>
      </c>
      <c r="K922" s="2" t="s">
        <v>24</v>
      </c>
      <c r="L922" s="7">
        <v>45931.0</v>
      </c>
      <c r="M922" s="2" t="s">
        <v>48</v>
      </c>
      <c r="N922" s="2" t="s">
        <v>35</v>
      </c>
      <c r="O922" s="2" t="s">
        <v>27</v>
      </c>
      <c r="P922" s="2" t="s">
        <v>28</v>
      </c>
    </row>
    <row r="923" ht="14.25" customHeight="1">
      <c r="A923" s="6">
        <v>1.3726847E7</v>
      </c>
      <c r="B923" s="2" t="s">
        <v>3622</v>
      </c>
      <c r="C923" s="2" t="s">
        <v>17</v>
      </c>
      <c r="D923" s="2" t="s">
        <v>57</v>
      </c>
      <c r="E923" s="2" t="s">
        <v>3623</v>
      </c>
      <c r="F923" s="2" t="s">
        <v>3623</v>
      </c>
      <c r="G923" s="2" t="s">
        <v>3624</v>
      </c>
      <c r="H923" s="2" t="s">
        <v>127</v>
      </c>
      <c r="I923" s="2" t="s">
        <v>2558</v>
      </c>
      <c r="J923" s="2" t="s">
        <v>62</v>
      </c>
      <c r="K923" s="2" t="s">
        <v>24</v>
      </c>
      <c r="L923" s="7">
        <v>45931.0</v>
      </c>
      <c r="M923" s="2" t="s">
        <v>48</v>
      </c>
      <c r="N923" s="2" t="s">
        <v>35</v>
      </c>
      <c r="O923" s="2" t="s">
        <v>27</v>
      </c>
      <c r="P923" s="2" t="s">
        <v>28</v>
      </c>
    </row>
    <row r="924" ht="14.25" customHeight="1">
      <c r="A924" s="6">
        <v>1.7396116E7</v>
      </c>
      <c r="B924" s="2" t="s">
        <v>3625</v>
      </c>
      <c r="C924" s="2" t="s">
        <v>17</v>
      </c>
      <c r="D924" s="2" t="s">
        <v>831</v>
      </c>
      <c r="E924" s="2" t="s">
        <v>3626</v>
      </c>
      <c r="F924" s="2" t="s">
        <v>3626</v>
      </c>
      <c r="G924" s="2" t="s">
        <v>3627</v>
      </c>
      <c r="H924" s="2" t="s">
        <v>127</v>
      </c>
      <c r="I924" s="2" t="s">
        <v>2558</v>
      </c>
      <c r="J924" s="2" t="s">
        <v>62</v>
      </c>
      <c r="K924" s="2" t="s">
        <v>24</v>
      </c>
      <c r="L924" s="7">
        <v>45931.0</v>
      </c>
      <c r="M924" s="2" t="s">
        <v>48</v>
      </c>
      <c r="N924" s="2" t="s">
        <v>35</v>
      </c>
      <c r="O924" s="2" t="s">
        <v>27</v>
      </c>
      <c r="P924" s="2" t="s">
        <v>28</v>
      </c>
    </row>
    <row r="925" ht="14.25" customHeight="1">
      <c r="A925" s="6">
        <v>1.7454275E7</v>
      </c>
      <c r="B925" s="2" t="s">
        <v>3628</v>
      </c>
      <c r="C925" s="2" t="s">
        <v>17</v>
      </c>
      <c r="D925" s="2" t="s">
        <v>3507</v>
      </c>
      <c r="E925" s="2" t="s">
        <v>3629</v>
      </c>
      <c r="F925" s="2" t="s">
        <v>3629</v>
      </c>
      <c r="G925" s="2" t="s">
        <v>3630</v>
      </c>
      <c r="H925" s="2" t="s">
        <v>127</v>
      </c>
      <c r="I925" s="2" t="s">
        <v>2558</v>
      </c>
      <c r="J925" s="2" t="s">
        <v>62</v>
      </c>
      <c r="K925" s="2" t="s">
        <v>24</v>
      </c>
      <c r="L925" s="7">
        <v>45931.0</v>
      </c>
      <c r="M925" s="2" t="s">
        <v>48</v>
      </c>
      <c r="N925" s="2" t="s">
        <v>35</v>
      </c>
      <c r="O925" s="2" t="s">
        <v>27</v>
      </c>
      <c r="P925" s="2" t="s">
        <v>28</v>
      </c>
    </row>
    <row r="926" ht="14.25" customHeight="1">
      <c r="A926" s="6">
        <v>1.2527259E7</v>
      </c>
      <c r="B926" s="2" t="s">
        <v>3631</v>
      </c>
      <c r="C926" s="2" t="s">
        <v>17</v>
      </c>
      <c r="D926" s="2" t="s">
        <v>38</v>
      </c>
      <c r="E926" s="2" t="s">
        <v>3632</v>
      </c>
      <c r="F926" s="2" t="s">
        <v>3632</v>
      </c>
      <c r="G926" s="2" t="s">
        <v>3633</v>
      </c>
      <c r="H926" s="2" t="s">
        <v>127</v>
      </c>
      <c r="I926" s="2" t="s">
        <v>2558</v>
      </c>
      <c r="J926" s="2" t="s">
        <v>62</v>
      </c>
      <c r="K926" s="2" t="s">
        <v>24</v>
      </c>
      <c r="L926" s="7">
        <v>45931.0</v>
      </c>
      <c r="M926" s="2" t="s">
        <v>48</v>
      </c>
      <c r="N926" s="2" t="s">
        <v>35</v>
      </c>
      <c r="O926" s="2" t="s">
        <v>27</v>
      </c>
      <c r="P926" s="2" t="s">
        <v>28</v>
      </c>
    </row>
    <row r="927" ht="14.25" customHeight="1">
      <c r="A927" s="6">
        <v>1.5529053E7</v>
      </c>
      <c r="B927" s="2" t="s">
        <v>3634</v>
      </c>
      <c r="C927" s="2" t="s">
        <v>17</v>
      </c>
      <c r="D927" s="2" t="s">
        <v>167</v>
      </c>
      <c r="E927" s="2" t="s">
        <v>3635</v>
      </c>
      <c r="F927" s="2" t="s">
        <v>3635</v>
      </c>
      <c r="G927" s="2" t="s">
        <v>3636</v>
      </c>
      <c r="H927" s="2" t="s">
        <v>127</v>
      </c>
      <c r="I927" s="2" t="s">
        <v>2558</v>
      </c>
      <c r="J927" s="2" t="s">
        <v>62</v>
      </c>
      <c r="K927" s="2" t="s">
        <v>24</v>
      </c>
      <c r="L927" s="7">
        <v>45931.0</v>
      </c>
      <c r="M927" s="2" t="s">
        <v>48</v>
      </c>
      <c r="N927" s="2" t="s">
        <v>35</v>
      </c>
      <c r="O927" s="2" t="s">
        <v>27</v>
      </c>
      <c r="P927" s="2" t="s">
        <v>28</v>
      </c>
    </row>
    <row r="928" ht="14.25" customHeight="1">
      <c r="A928" s="6">
        <v>1.060303E7</v>
      </c>
      <c r="B928" s="2" t="s">
        <v>3637</v>
      </c>
      <c r="C928" s="2" t="s">
        <v>17</v>
      </c>
      <c r="D928" s="2" t="s">
        <v>57</v>
      </c>
      <c r="E928" s="2" t="s">
        <v>3638</v>
      </c>
      <c r="F928" s="2" t="s">
        <v>3638</v>
      </c>
      <c r="G928" s="2" t="s">
        <v>3639</v>
      </c>
      <c r="H928" s="2" t="s">
        <v>127</v>
      </c>
      <c r="I928" s="2" t="s">
        <v>2558</v>
      </c>
      <c r="J928" s="2" t="s">
        <v>62</v>
      </c>
      <c r="K928" s="2" t="s">
        <v>24</v>
      </c>
      <c r="L928" s="7">
        <v>45931.0</v>
      </c>
      <c r="M928" s="2" t="s">
        <v>48</v>
      </c>
      <c r="N928" s="2" t="s">
        <v>35</v>
      </c>
      <c r="O928" s="2" t="s">
        <v>27</v>
      </c>
      <c r="P928" s="2" t="s">
        <v>28</v>
      </c>
    </row>
    <row r="929" ht="14.25" customHeight="1">
      <c r="A929" s="6">
        <v>1.0639239E7</v>
      </c>
      <c r="B929" s="2" t="s">
        <v>3640</v>
      </c>
      <c r="C929" s="2" t="s">
        <v>17</v>
      </c>
      <c r="D929" s="2" t="s">
        <v>167</v>
      </c>
      <c r="E929" s="2" t="s">
        <v>3641</v>
      </c>
      <c r="F929" s="2" t="s">
        <v>3641</v>
      </c>
      <c r="G929" s="2" t="s">
        <v>3642</v>
      </c>
      <c r="H929" s="2" t="s">
        <v>127</v>
      </c>
      <c r="I929" s="2" t="s">
        <v>2558</v>
      </c>
      <c r="J929" s="2" t="s">
        <v>62</v>
      </c>
      <c r="K929" s="2" t="s">
        <v>24</v>
      </c>
      <c r="L929" s="7">
        <v>45931.0</v>
      </c>
      <c r="M929" s="2" t="s">
        <v>48</v>
      </c>
      <c r="N929" s="2" t="s">
        <v>35</v>
      </c>
      <c r="O929" s="2" t="s">
        <v>27</v>
      </c>
      <c r="P929" s="2" t="s">
        <v>28</v>
      </c>
    </row>
    <row r="930" ht="14.25" customHeight="1">
      <c r="A930" s="6">
        <v>1.7204236E7</v>
      </c>
      <c r="B930" s="2" t="s">
        <v>3643</v>
      </c>
      <c r="C930" s="2" t="s">
        <v>17</v>
      </c>
      <c r="D930" s="2" t="s">
        <v>38</v>
      </c>
      <c r="E930" s="2" t="s">
        <v>3644</v>
      </c>
      <c r="F930" s="2" t="s">
        <v>3644</v>
      </c>
      <c r="G930" s="2" t="s">
        <v>3645</v>
      </c>
      <c r="H930" s="2" t="s">
        <v>127</v>
      </c>
      <c r="I930" s="2" t="s">
        <v>2558</v>
      </c>
      <c r="J930" s="2" t="s">
        <v>62</v>
      </c>
      <c r="K930" s="2" t="s">
        <v>24</v>
      </c>
      <c r="L930" s="7">
        <v>45931.0</v>
      </c>
      <c r="M930" s="2" t="s">
        <v>48</v>
      </c>
      <c r="N930" s="2" t="s">
        <v>35</v>
      </c>
      <c r="O930" s="2" t="s">
        <v>27</v>
      </c>
      <c r="P930" s="2" t="s">
        <v>28</v>
      </c>
    </row>
    <row r="931" ht="14.25" customHeight="1">
      <c r="A931" s="6">
        <v>2.0145187E7</v>
      </c>
      <c r="B931" s="2" t="s">
        <v>3646</v>
      </c>
      <c r="C931" s="2" t="s">
        <v>17</v>
      </c>
      <c r="D931" s="2" t="s">
        <v>38</v>
      </c>
      <c r="E931" s="2" t="s">
        <v>3647</v>
      </c>
      <c r="F931" s="2" t="s">
        <v>3648</v>
      </c>
      <c r="G931" s="2" t="s">
        <v>3649</v>
      </c>
      <c r="H931" s="2" t="s">
        <v>127</v>
      </c>
      <c r="I931" s="2" t="s">
        <v>2558</v>
      </c>
      <c r="J931" s="2" t="s">
        <v>62</v>
      </c>
      <c r="K931" s="2" t="s">
        <v>24</v>
      </c>
      <c r="L931" s="7">
        <v>45931.0</v>
      </c>
      <c r="M931" s="2" t="s">
        <v>48</v>
      </c>
      <c r="N931" s="2" t="s">
        <v>35</v>
      </c>
      <c r="O931" s="2" t="s">
        <v>27</v>
      </c>
      <c r="P931" s="2" t="s">
        <v>28</v>
      </c>
    </row>
    <row r="932" ht="14.25" customHeight="1">
      <c r="A932" s="6">
        <v>1.4361771E7</v>
      </c>
      <c r="B932" s="2" t="s">
        <v>3650</v>
      </c>
      <c r="C932" s="2" t="s">
        <v>17</v>
      </c>
      <c r="D932" s="2" t="s">
        <v>38</v>
      </c>
      <c r="E932" s="2" t="s">
        <v>3651</v>
      </c>
      <c r="F932" s="2" t="s">
        <v>3651</v>
      </c>
      <c r="G932" s="2" t="s">
        <v>3652</v>
      </c>
      <c r="H932" s="2" t="s">
        <v>127</v>
      </c>
      <c r="I932" s="2" t="s">
        <v>2558</v>
      </c>
      <c r="J932" s="2" t="s">
        <v>62</v>
      </c>
      <c r="K932" s="2" t="s">
        <v>24</v>
      </c>
      <c r="L932" s="7">
        <v>45931.0</v>
      </c>
      <c r="M932" s="2" t="s">
        <v>48</v>
      </c>
      <c r="N932" s="2" t="s">
        <v>35</v>
      </c>
      <c r="O932" s="2" t="s">
        <v>27</v>
      </c>
      <c r="P932" s="2" t="s">
        <v>28</v>
      </c>
    </row>
    <row r="933" ht="14.25" customHeight="1">
      <c r="A933" s="6">
        <v>1.7223134E7</v>
      </c>
      <c r="B933" s="2" t="s">
        <v>3653</v>
      </c>
      <c r="C933" s="2" t="s">
        <v>17</v>
      </c>
      <c r="D933" s="2" t="s">
        <v>38</v>
      </c>
      <c r="E933" s="2" t="s">
        <v>3654</v>
      </c>
      <c r="F933" s="2" t="s">
        <v>3654</v>
      </c>
      <c r="G933" s="2" t="s">
        <v>3655</v>
      </c>
      <c r="H933" s="2" t="s">
        <v>127</v>
      </c>
      <c r="I933" s="2" t="s">
        <v>2558</v>
      </c>
      <c r="J933" s="2" t="s">
        <v>62</v>
      </c>
      <c r="K933" s="2" t="s">
        <v>24</v>
      </c>
      <c r="L933" s="7">
        <v>45931.0</v>
      </c>
      <c r="M933" s="2" t="s">
        <v>48</v>
      </c>
      <c r="N933" s="2" t="s">
        <v>35</v>
      </c>
      <c r="O933" s="2" t="s">
        <v>27</v>
      </c>
      <c r="P933" s="2" t="s">
        <v>28</v>
      </c>
    </row>
    <row r="934" ht="14.25" customHeight="1">
      <c r="A934" s="6">
        <v>1.8802638E7</v>
      </c>
      <c r="B934" s="2" t="s">
        <v>3656</v>
      </c>
      <c r="C934" s="2" t="s">
        <v>17</v>
      </c>
      <c r="D934" s="2" t="s">
        <v>57</v>
      </c>
      <c r="E934" s="2" t="s">
        <v>3657</v>
      </c>
      <c r="F934" s="2" t="s">
        <v>3657</v>
      </c>
      <c r="G934" s="2" t="s">
        <v>3658</v>
      </c>
      <c r="H934" s="2" t="s">
        <v>127</v>
      </c>
      <c r="I934" s="2" t="s">
        <v>2558</v>
      </c>
      <c r="J934" s="2" t="s">
        <v>62</v>
      </c>
      <c r="K934" s="2" t="s">
        <v>24</v>
      </c>
      <c r="L934" s="7">
        <v>45931.0</v>
      </c>
      <c r="M934" s="2" t="s">
        <v>48</v>
      </c>
      <c r="N934" s="2" t="s">
        <v>35</v>
      </c>
      <c r="O934" s="2" t="s">
        <v>27</v>
      </c>
      <c r="P934" s="2" t="s">
        <v>28</v>
      </c>
    </row>
    <row r="935" ht="14.25" customHeight="1">
      <c r="A935" s="6">
        <v>1.575601E7</v>
      </c>
      <c r="B935" s="2" t="s">
        <v>3659</v>
      </c>
      <c r="C935" s="2" t="s">
        <v>17</v>
      </c>
      <c r="D935" s="2" t="s">
        <v>38</v>
      </c>
      <c r="E935" s="2" t="s">
        <v>3660</v>
      </c>
      <c r="F935" s="2" t="s">
        <v>3660</v>
      </c>
      <c r="G935" s="2" t="s">
        <v>3661</v>
      </c>
      <c r="H935" s="2" t="s">
        <v>127</v>
      </c>
      <c r="I935" s="2" t="s">
        <v>2558</v>
      </c>
      <c r="J935" s="2" t="s">
        <v>62</v>
      </c>
      <c r="K935" s="2" t="s">
        <v>24</v>
      </c>
      <c r="L935" s="7">
        <v>45931.0</v>
      </c>
      <c r="M935" s="2" t="s">
        <v>48</v>
      </c>
      <c r="N935" s="2" t="s">
        <v>35</v>
      </c>
      <c r="O935" s="2" t="s">
        <v>27</v>
      </c>
      <c r="P935" s="2" t="s">
        <v>28</v>
      </c>
    </row>
    <row r="936" ht="14.25" customHeight="1">
      <c r="A936" s="6">
        <v>2.1991821E7</v>
      </c>
      <c r="B936" s="2" t="s">
        <v>3662</v>
      </c>
      <c r="C936" s="2" t="s">
        <v>17</v>
      </c>
      <c r="D936" s="2" t="s">
        <v>38</v>
      </c>
      <c r="E936" s="2" t="s">
        <v>3663</v>
      </c>
      <c r="F936" s="2" t="s">
        <v>3663</v>
      </c>
      <c r="G936" s="2" t="s">
        <v>3664</v>
      </c>
      <c r="H936" s="2" t="s">
        <v>127</v>
      </c>
      <c r="I936" s="2" t="s">
        <v>2558</v>
      </c>
      <c r="J936" s="2" t="s">
        <v>62</v>
      </c>
      <c r="K936" s="2" t="s">
        <v>24</v>
      </c>
      <c r="L936" s="7">
        <v>45931.0</v>
      </c>
      <c r="M936" s="2" t="s">
        <v>48</v>
      </c>
      <c r="N936" s="2" t="s">
        <v>35</v>
      </c>
      <c r="O936" s="2" t="s">
        <v>27</v>
      </c>
      <c r="P936" s="2" t="s">
        <v>28</v>
      </c>
    </row>
    <row r="937" ht="14.25" customHeight="1">
      <c r="A937" s="6">
        <v>1.7571642E7</v>
      </c>
      <c r="B937" s="2" t="s">
        <v>3665</v>
      </c>
      <c r="C937" s="2" t="s">
        <v>17</v>
      </c>
      <c r="D937" s="2" t="s">
        <v>167</v>
      </c>
      <c r="E937" s="2" t="s">
        <v>3666</v>
      </c>
      <c r="F937" s="2" t="s">
        <v>3666</v>
      </c>
      <c r="G937" s="2" t="s">
        <v>3667</v>
      </c>
      <c r="H937" s="2" t="s">
        <v>127</v>
      </c>
      <c r="I937" s="2" t="s">
        <v>2558</v>
      </c>
      <c r="J937" s="2" t="s">
        <v>62</v>
      </c>
      <c r="K937" s="2" t="s">
        <v>24</v>
      </c>
      <c r="L937" s="7">
        <v>45931.0</v>
      </c>
      <c r="M937" s="2" t="s">
        <v>48</v>
      </c>
      <c r="N937" s="2" t="s">
        <v>35</v>
      </c>
      <c r="O937" s="2" t="s">
        <v>27</v>
      </c>
      <c r="P937" s="2" t="s">
        <v>28</v>
      </c>
    </row>
    <row r="938" ht="14.25" customHeight="1">
      <c r="A938" s="6">
        <v>1.1683458E7</v>
      </c>
      <c r="B938" s="2" t="s">
        <v>3668</v>
      </c>
      <c r="C938" s="2" t="s">
        <v>17</v>
      </c>
      <c r="D938" s="2" t="s">
        <v>57</v>
      </c>
      <c r="E938" s="2" t="s">
        <v>3669</v>
      </c>
      <c r="F938" s="2" t="s">
        <v>3669</v>
      </c>
      <c r="G938" s="2" t="s">
        <v>3670</v>
      </c>
      <c r="H938" s="2" t="s">
        <v>127</v>
      </c>
      <c r="I938" s="2" t="s">
        <v>2558</v>
      </c>
      <c r="J938" s="2" t="s">
        <v>62</v>
      </c>
      <c r="K938" s="2" t="s">
        <v>24</v>
      </c>
      <c r="L938" s="7">
        <v>45931.0</v>
      </c>
      <c r="M938" s="2" t="s">
        <v>48</v>
      </c>
      <c r="N938" s="2" t="s">
        <v>35</v>
      </c>
      <c r="O938" s="2" t="s">
        <v>27</v>
      </c>
      <c r="P938" s="2" t="s">
        <v>28</v>
      </c>
    </row>
    <row r="939" ht="14.25" customHeight="1">
      <c r="A939" s="6">
        <v>2.0724938E7</v>
      </c>
      <c r="B939" s="2" t="s">
        <v>3671</v>
      </c>
      <c r="C939" s="2" t="s">
        <v>17</v>
      </c>
      <c r="D939" s="2" t="s">
        <v>38</v>
      </c>
      <c r="E939" s="2" t="s">
        <v>3672</v>
      </c>
      <c r="F939" s="2" t="s">
        <v>3672</v>
      </c>
      <c r="G939" s="2" t="s">
        <v>3673</v>
      </c>
      <c r="H939" s="2" t="s">
        <v>127</v>
      </c>
      <c r="I939" s="2" t="s">
        <v>2558</v>
      </c>
      <c r="J939" s="2" t="s">
        <v>62</v>
      </c>
      <c r="K939" s="2" t="s">
        <v>24</v>
      </c>
      <c r="L939" s="7">
        <v>45931.0</v>
      </c>
      <c r="M939" s="2" t="s">
        <v>48</v>
      </c>
      <c r="N939" s="2" t="s">
        <v>35</v>
      </c>
      <c r="O939" s="2" t="s">
        <v>27</v>
      </c>
      <c r="P939" s="2" t="s">
        <v>28</v>
      </c>
    </row>
    <row r="940" ht="14.25" customHeight="1">
      <c r="A940" s="6">
        <v>1.9297951E7</v>
      </c>
      <c r="B940" s="2" t="s">
        <v>3674</v>
      </c>
      <c r="C940" s="2" t="s">
        <v>17</v>
      </c>
      <c r="D940" s="2" t="s">
        <v>88</v>
      </c>
      <c r="E940" s="2" t="s">
        <v>3675</v>
      </c>
      <c r="F940" s="2" t="s">
        <v>3675</v>
      </c>
      <c r="G940" s="2" t="s">
        <v>3676</v>
      </c>
      <c r="H940" s="2" t="s">
        <v>127</v>
      </c>
      <c r="I940" s="2" t="s">
        <v>2558</v>
      </c>
      <c r="J940" s="2" t="s">
        <v>62</v>
      </c>
      <c r="K940" s="2" t="s">
        <v>24</v>
      </c>
      <c r="L940" s="7">
        <v>45931.0</v>
      </c>
      <c r="M940" s="2" t="s">
        <v>48</v>
      </c>
      <c r="N940" s="2" t="s">
        <v>35</v>
      </c>
      <c r="O940" s="2" t="s">
        <v>27</v>
      </c>
      <c r="P940" s="2" t="s">
        <v>28</v>
      </c>
    </row>
    <row r="941" ht="14.25" customHeight="1">
      <c r="A941" s="6">
        <v>2.12092E7</v>
      </c>
      <c r="B941" s="2" t="s">
        <v>3677</v>
      </c>
      <c r="C941" s="2" t="s">
        <v>17</v>
      </c>
      <c r="D941" s="2" t="s">
        <v>88</v>
      </c>
      <c r="E941" s="2" t="s">
        <v>3678</v>
      </c>
      <c r="F941" s="2" t="s">
        <v>3678</v>
      </c>
      <c r="G941" s="2" t="s">
        <v>3679</v>
      </c>
      <c r="H941" s="2" t="s">
        <v>127</v>
      </c>
      <c r="I941" s="2" t="s">
        <v>2558</v>
      </c>
      <c r="J941" s="2" t="s">
        <v>62</v>
      </c>
      <c r="K941" s="2" t="s">
        <v>24</v>
      </c>
      <c r="L941" s="7">
        <v>45931.0</v>
      </c>
      <c r="M941" s="2" t="s">
        <v>48</v>
      </c>
      <c r="N941" s="2" t="s">
        <v>35</v>
      </c>
      <c r="O941" s="2" t="s">
        <v>27</v>
      </c>
      <c r="P941" s="2" t="s">
        <v>28</v>
      </c>
    </row>
    <row r="942" ht="14.25" customHeight="1">
      <c r="A942" s="6">
        <v>1.5420594E7</v>
      </c>
      <c r="B942" s="2" t="s">
        <v>3680</v>
      </c>
      <c r="C942" s="2" t="s">
        <v>17</v>
      </c>
      <c r="D942" s="2" t="s">
        <v>38</v>
      </c>
      <c r="E942" s="2" t="s">
        <v>3681</v>
      </c>
      <c r="F942" s="2" t="s">
        <v>3681</v>
      </c>
      <c r="G942" s="2" t="s">
        <v>3682</v>
      </c>
      <c r="H942" s="2" t="s">
        <v>127</v>
      </c>
      <c r="I942" s="2" t="s">
        <v>2558</v>
      </c>
      <c r="J942" s="2" t="s">
        <v>62</v>
      </c>
      <c r="K942" s="2" t="s">
        <v>24</v>
      </c>
      <c r="L942" s="7">
        <v>45931.0</v>
      </c>
      <c r="M942" s="2" t="s">
        <v>48</v>
      </c>
      <c r="N942" s="2" t="s">
        <v>35</v>
      </c>
      <c r="O942" s="2" t="s">
        <v>27</v>
      </c>
      <c r="P942" s="2" t="s">
        <v>28</v>
      </c>
    </row>
    <row r="943" ht="14.25" customHeight="1">
      <c r="A943" s="6">
        <v>2.2274825E7</v>
      </c>
      <c r="B943" s="2" t="s">
        <v>3683</v>
      </c>
      <c r="C943" s="2" t="s">
        <v>17</v>
      </c>
      <c r="D943" s="2" t="s">
        <v>88</v>
      </c>
      <c r="E943" s="2" t="s">
        <v>3684</v>
      </c>
      <c r="F943" s="2" t="s">
        <v>3684</v>
      </c>
      <c r="G943" s="2" t="s">
        <v>3685</v>
      </c>
      <c r="H943" s="2" t="s">
        <v>127</v>
      </c>
      <c r="I943" s="2" t="s">
        <v>2558</v>
      </c>
      <c r="J943" s="2" t="s">
        <v>62</v>
      </c>
      <c r="K943" s="2" t="s">
        <v>24</v>
      </c>
      <c r="L943" s="7">
        <v>45931.0</v>
      </c>
      <c r="M943" s="2" t="s">
        <v>48</v>
      </c>
      <c r="N943" s="2" t="s">
        <v>35</v>
      </c>
      <c r="O943" s="2" t="s">
        <v>27</v>
      </c>
      <c r="P943" s="2" t="s">
        <v>28</v>
      </c>
    </row>
    <row r="944" ht="14.25" customHeight="1">
      <c r="A944" s="6">
        <v>1.6348695E7</v>
      </c>
      <c r="B944" s="2" t="s">
        <v>3686</v>
      </c>
      <c r="C944" s="2" t="s">
        <v>17</v>
      </c>
      <c r="D944" s="2" t="s">
        <v>88</v>
      </c>
      <c r="E944" s="2" t="s">
        <v>3687</v>
      </c>
      <c r="F944" s="2" t="s">
        <v>3687</v>
      </c>
      <c r="G944" s="2" t="s">
        <v>3688</v>
      </c>
      <c r="H944" s="2" t="s">
        <v>127</v>
      </c>
      <c r="I944" s="2" t="s">
        <v>2558</v>
      </c>
      <c r="J944" s="2" t="s">
        <v>62</v>
      </c>
      <c r="K944" s="2" t="s">
        <v>24</v>
      </c>
      <c r="L944" s="7">
        <v>45931.0</v>
      </c>
      <c r="M944" s="2" t="s">
        <v>48</v>
      </c>
      <c r="N944" s="2" t="s">
        <v>35</v>
      </c>
      <c r="O944" s="2" t="s">
        <v>27</v>
      </c>
      <c r="P944" s="2" t="s">
        <v>28</v>
      </c>
    </row>
    <row r="945" ht="14.25" customHeight="1">
      <c r="A945" s="6">
        <v>1.9387435E7</v>
      </c>
      <c r="B945" s="2" t="s">
        <v>3689</v>
      </c>
      <c r="C945" s="2" t="s">
        <v>17</v>
      </c>
      <c r="D945" s="2" t="s">
        <v>167</v>
      </c>
      <c r="E945" s="2" t="s">
        <v>3690</v>
      </c>
      <c r="F945" s="2" t="s">
        <v>3690</v>
      </c>
      <c r="G945" s="2" t="s">
        <v>3691</v>
      </c>
      <c r="H945" s="2" t="s">
        <v>127</v>
      </c>
      <c r="I945" s="2" t="s">
        <v>2558</v>
      </c>
      <c r="J945" s="2" t="s">
        <v>62</v>
      </c>
      <c r="K945" s="2" t="s">
        <v>24</v>
      </c>
      <c r="L945" s="7">
        <v>45931.0</v>
      </c>
      <c r="M945" s="2" t="s">
        <v>48</v>
      </c>
      <c r="N945" s="2" t="s">
        <v>35</v>
      </c>
      <c r="O945" s="2" t="s">
        <v>27</v>
      </c>
      <c r="P945" s="2" t="s">
        <v>28</v>
      </c>
    </row>
    <row r="946" ht="14.25" customHeight="1">
      <c r="A946" s="6">
        <v>1.8106667E7</v>
      </c>
      <c r="B946" s="2" t="s">
        <v>3692</v>
      </c>
      <c r="C946" s="2" t="s">
        <v>17</v>
      </c>
      <c r="D946" s="2" t="s">
        <v>38</v>
      </c>
      <c r="E946" s="2" t="s">
        <v>3693</v>
      </c>
      <c r="F946" s="2" t="s">
        <v>3693</v>
      </c>
      <c r="G946" s="2" t="s">
        <v>3694</v>
      </c>
      <c r="H946" s="2" t="s">
        <v>127</v>
      </c>
      <c r="I946" s="2" t="s">
        <v>135</v>
      </c>
      <c r="J946" s="2" t="s">
        <v>62</v>
      </c>
      <c r="K946" s="2" t="s">
        <v>24</v>
      </c>
      <c r="L946" s="7">
        <v>45931.0</v>
      </c>
      <c r="M946" s="2" t="s">
        <v>48</v>
      </c>
      <c r="N946" s="2" t="s">
        <v>35</v>
      </c>
      <c r="O946" s="2" t="s">
        <v>27</v>
      </c>
      <c r="P946" s="2" t="s">
        <v>28</v>
      </c>
    </row>
    <row r="947" ht="14.25" customHeight="1">
      <c r="A947" s="6">
        <v>1.1174728E7</v>
      </c>
      <c r="B947" s="2" t="s">
        <v>3695</v>
      </c>
      <c r="C947" s="2" t="s">
        <v>17</v>
      </c>
      <c r="D947" s="2" t="s">
        <v>57</v>
      </c>
      <c r="E947" s="2" t="s">
        <v>3696</v>
      </c>
      <c r="F947" s="2" t="s">
        <v>3696</v>
      </c>
      <c r="G947" s="2" t="s">
        <v>3697</v>
      </c>
      <c r="H947" s="2" t="s">
        <v>127</v>
      </c>
      <c r="I947" s="2" t="s">
        <v>128</v>
      </c>
      <c r="J947" s="2" t="s">
        <v>62</v>
      </c>
      <c r="K947" s="2" t="s">
        <v>24</v>
      </c>
      <c r="L947" s="7">
        <v>45931.0</v>
      </c>
      <c r="M947" s="2" t="s">
        <v>48</v>
      </c>
      <c r="N947" s="2" t="s">
        <v>35</v>
      </c>
      <c r="O947" s="2" t="s">
        <v>27</v>
      </c>
      <c r="P947" s="2" t="s">
        <v>28</v>
      </c>
    </row>
    <row r="948" ht="14.25" customHeight="1">
      <c r="A948" s="6">
        <v>2.6243395E7</v>
      </c>
      <c r="B948" s="2" t="s">
        <v>3698</v>
      </c>
      <c r="C948" s="2" t="s">
        <v>17</v>
      </c>
      <c r="D948" s="2" t="s">
        <v>38</v>
      </c>
      <c r="E948" s="2" t="s">
        <v>3699</v>
      </c>
      <c r="F948" s="2" t="s">
        <v>3699</v>
      </c>
      <c r="G948" s="2" t="s">
        <v>3700</v>
      </c>
      <c r="H948" s="2" t="s">
        <v>127</v>
      </c>
      <c r="I948" s="2" t="s">
        <v>135</v>
      </c>
      <c r="J948" s="2" t="s">
        <v>62</v>
      </c>
      <c r="K948" s="2" t="s">
        <v>24</v>
      </c>
      <c r="L948" s="7">
        <v>45931.0</v>
      </c>
      <c r="M948" s="2" t="s">
        <v>48</v>
      </c>
      <c r="N948" s="2" t="s">
        <v>35</v>
      </c>
      <c r="O948" s="2" t="s">
        <v>27</v>
      </c>
      <c r="P948" s="2" t="s">
        <v>28</v>
      </c>
    </row>
    <row r="949" ht="14.25" customHeight="1">
      <c r="A949" s="6">
        <v>1.8821078E7</v>
      </c>
      <c r="B949" s="2" t="s">
        <v>3701</v>
      </c>
      <c r="C949" s="2" t="s">
        <v>17</v>
      </c>
      <c r="D949" s="2" t="s">
        <v>38</v>
      </c>
      <c r="E949" s="2" t="s">
        <v>3702</v>
      </c>
      <c r="F949" s="2" t="s">
        <v>3702</v>
      </c>
      <c r="G949" s="2" t="s">
        <v>3703</v>
      </c>
      <c r="H949" s="2" t="s">
        <v>127</v>
      </c>
      <c r="I949" s="2" t="s">
        <v>128</v>
      </c>
      <c r="J949" s="2" t="s">
        <v>62</v>
      </c>
      <c r="K949" s="2" t="s">
        <v>24</v>
      </c>
      <c r="L949" s="7">
        <v>45931.0</v>
      </c>
      <c r="M949" s="2" t="s">
        <v>48</v>
      </c>
      <c r="N949" s="2" t="s">
        <v>35</v>
      </c>
      <c r="O949" s="2" t="s">
        <v>27</v>
      </c>
      <c r="P949" s="2" t="s">
        <v>28</v>
      </c>
    </row>
    <row r="950" ht="14.25" customHeight="1">
      <c r="A950" s="6">
        <v>1.2407458E7</v>
      </c>
      <c r="B950" s="2" t="s">
        <v>3704</v>
      </c>
      <c r="C950" s="2" t="s">
        <v>17</v>
      </c>
      <c r="D950" s="2" t="s">
        <v>831</v>
      </c>
      <c r="E950" s="2" t="s">
        <v>3705</v>
      </c>
      <c r="F950" s="2" t="s">
        <v>3705</v>
      </c>
      <c r="G950" s="2" t="s">
        <v>3706</v>
      </c>
      <c r="H950" s="2" t="s">
        <v>127</v>
      </c>
      <c r="I950" s="2" t="s">
        <v>128</v>
      </c>
      <c r="J950" s="2" t="s">
        <v>62</v>
      </c>
      <c r="K950" s="2" t="s">
        <v>24</v>
      </c>
      <c r="L950" s="7">
        <v>45931.0</v>
      </c>
      <c r="M950" s="2" t="s">
        <v>48</v>
      </c>
      <c r="N950" s="2" t="s">
        <v>35</v>
      </c>
      <c r="O950" s="2" t="s">
        <v>27</v>
      </c>
      <c r="P950" s="2" t="s">
        <v>28</v>
      </c>
    </row>
    <row r="951" ht="14.25" customHeight="1">
      <c r="A951" s="6">
        <v>2.1313719E7</v>
      </c>
      <c r="B951" s="2" t="s">
        <v>3707</v>
      </c>
      <c r="C951" s="2" t="s">
        <v>17</v>
      </c>
      <c r="D951" s="2" t="s">
        <v>88</v>
      </c>
      <c r="E951" s="2" t="s">
        <v>3708</v>
      </c>
      <c r="F951" s="2" t="s">
        <v>3708</v>
      </c>
      <c r="G951" s="2" t="s">
        <v>3709</v>
      </c>
      <c r="H951" s="2" t="s">
        <v>127</v>
      </c>
      <c r="I951" s="2" t="s">
        <v>135</v>
      </c>
      <c r="J951" s="2" t="s">
        <v>62</v>
      </c>
      <c r="K951" s="2" t="s">
        <v>24</v>
      </c>
      <c r="L951" s="7">
        <v>45931.0</v>
      </c>
      <c r="M951" s="2" t="s">
        <v>48</v>
      </c>
      <c r="N951" s="2" t="s">
        <v>35</v>
      </c>
      <c r="O951" s="2" t="s">
        <v>27</v>
      </c>
      <c r="P951" s="2" t="s">
        <v>28</v>
      </c>
    </row>
    <row r="952" ht="14.25" customHeight="1">
      <c r="A952" s="6">
        <v>2.4922508E7</v>
      </c>
      <c r="B952" s="2" t="s">
        <v>3710</v>
      </c>
      <c r="C952" s="2" t="s">
        <v>17</v>
      </c>
      <c r="D952" s="2" t="s">
        <v>38</v>
      </c>
      <c r="E952" s="2" t="s">
        <v>3711</v>
      </c>
      <c r="F952" s="2" t="s">
        <v>3711</v>
      </c>
      <c r="G952" s="2" t="s">
        <v>3712</v>
      </c>
      <c r="H952" s="2" t="s">
        <v>127</v>
      </c>
      <c r="I952" s="2" t="s">
        <v>135</v>
      </c>
      <c r="J952" s="2" t="s">
        <v>62</v>
      </c>
      <c r="K952" s="2" t="s">
        <v>24</v>
      </c>
      <c r="L952" s="7">
        <v>45931.0</v>
      </c>
      <c r="M952" s="2" t="s">
        <v>48</v>
      </c>
      <c r="N952" s="2" t="s">
        <v>35</v>
      </c>
      <c r="O952" s="2" t="s">
        <v>27</v>
      </c>
      <c r="P952" s="2" t="s">
        <v>28</v>
      </c>
    </row>
    <row r="953" ht="14.25" customHeight="1">
      <c r="A953" s="6">
        <v>1.9531481E7</v>
      </c>
      <c r="B953" s="2" t="s">
        <v>3713</v>
      </c>
      <c r="C953" s="2" t="s">
        <v>17</v>
      </c>
      <c r="D953" s="2" t="s">
        <v>88</v>
      </c>
      <c r="E953" s="2" t="s">
        <v>3714</v>
      </c>
      <c r="F953" s="2" t="s">
        <v>3714</v>
      </c>
      <c r="G953" s="2" t="s">
        <v>3715</v>
      </c>
      <c r="H953" s="2" t="s">
        <v>127</v>
      </c>
      <c r="I953" s="2" t="s">
        <v>128</v>
      </c>
      <c r="J953" s="2" t="s">
        <v>62</v>
      </c>
      <c r="K953" s="2" t="s">
        <v>24</v>
      </c>
      <c r="L953" s="7">
        <v>45931.0</v>
      </c>
      <c r="M953" s="2" t="s">
        <v>48</v>
      </c>
      <c r="N953" s="2" t="s">
        <v>35</v>
      </c>
      <c r="O953" s="2" t="s">
        <v>27</v>
      </c>
      <c r="P953" s="2" t="s">
        <v>28</v>
      </c>
    </row>
    <row r="954" ht="14.25" customHeight="1">
      <c r="A954" s="6">
        <v>7902348.0</v>
      </c>
      <c r="B954" s="2" t="s">
        <v>3716</v>
      </c>
      <c r="C954" s="2" t="s">
        <v>17</v>
      </c>
      <c r="D954" s="2" t="s">
        <v>57</v>
      </c>
      <c r="E954" s="2" t="s">
        <v>3717</v>
      </c>
      <c r="F954" s="2" t="s">
        <v>3717</v>
      </c>
      <c r="G954" s="2" t="s">
        <v>3718</v>
      </c>
      <c r="H954" s="2" t="s">
        <v>127</v>
      </c>
      <c r="I954" s="2" t="s">
        <v>128</v>
      </c>
      <c r="J954" s="2" t="s">
        <v>62</v>
      </c>
      <c r="K954" s="2" t="s">
        <v>24</v>
      </c>
      <c r="L954" s="7">
        <v>45931.0</v>
      </c>
      <c r="M954" s="2" t="s">
        <v>48</v>
      </c>
      <c r="N954" s="2" t="s">
        <v>35</v>
      </c>
      <c r="O954" s="2" t="s">
        <v>27</v>
      </c>
      <c r="P954" s="2" t="s">
        <v>28</v>
      </c>
    </row>
    <row r="955" ht="14.25" customHeight="1">
      <c r="A955" s="6">
        <v>1.2704501E7</v>
      </c>
      <c r="B955" s="2" t="s">
        <v>3719</v>
      </c>
      <c r="C955" s="2" t="s">
        <v>17</v>
      </c>
      <c r="D955" s="2" t="s">
        <v>88</v>
      </c>
      <c r="E955" s="2" t="s">
        <v>3720</v>
      </c>
      <c r="F955" s="2" t="s">
        <v>3720</v>
      </c>
      <c r="G955" s="2" t="s">
        <v>3721</v>
      </c>
      <c r="H955" s="2" t="s">
        <v>127</v>
      </c>
      <c r="I955" s="2" t="s">
        <v>2558</v>
      </c>
      <c r="J955" s="2" t="s">
        <v>62</v>
      </c>
      <c r="K955" s="2" t="s">
        <v>24</v>
      </c>
      <c r="L955" s="7">
        <v>45931.0</v>
      </c>
      <c r="M955" s="2" t="s">
        <v>48</v>
      </c>
      <c r="N955" s="2" t="s">
        <v>35</v>
      </c>
      <c r="O955" s="2" t="s">
        <v>27</v>
      </c>
      <c r="P955" s="2" t="s">
        <v>28</v>
      </c>
    </row>
    <row r="956" ht="14.25" customHeight="1">
      <c r="A956" s="6">
        <v>1.8822266E7</v>
      </c>
      <c r="B956" s="2" t="s">
        <v>3722</v>
      </c>
      <c r="C956" s="2" t="s">
        <v>17</v>
      </c>
      <c r="D956" s="2" t="s">
        <v>167</v>
      </c>
      <c r="E956" s="2" t="s">
        <v>3723</v>
      </c>
      <c r="F956" s="2" t="s">
        <v>3723</v>
      </c>
      <c r="G956" s="2" t="s">
        <v>3724</v>
      </c>
      <c r="H956" s="2" t="s">
        <v>127</v>
      </c>
      <c r="I956" s="2" t="s">
        <v>128</v>
      </c>
      <c r="J956" s="2" t="s">
        <v>62</v>
      </c>
      <c r="K956" s="2" t="s">
        <v>24</v>
      </c>
      <c r="L956" s="7">
        <v>45931.0</v>
      </c>
      <c r="M956" s="2" t="s">
        <v>48</v>
      </c>
      <c r="N956" s="2" t="s">
        <v>35</v>
      </c>
      <c r="O956" s="2" t="s">
        <v>27</v>
      </c>
      <c r="P956" s="2" t="s">
        <v>28</v>
      </c>
    </row>
    <row r="957" ht="14.25" customHeight="1">
      <c r="A957" s="6">
        <v>1.9908741E7</v>
      </c>
      <c r="B957" s="2" t="s">
        <v>3725</v>
      </c>
      <c r="C957" s="2" t="s">
        <v>17</v>
      </c>
      <c r="D957" s="2" t="s">
        <v>38</v>
      </c>
      <c r="E957" s="2" t="s">
        <v>3726</v>
      </c>
      <c r="F957" s="2" t="s">
        <v>3726</v>
      </c>
      <c r="G957" s="2" t="s">
        <v>3727</v>
      </c>
      <c r="H957" s="2" t="s">
        <v>127</v>
      </c>
      <c r="I957" s="2" t="s">
        <v>128</v>
      </c>
      <c r="J957" s="2" t="s">
        <v>62</v>
      </c>
      <c r="K957" s="2" t="s">
        <v>24</v>
      </c>
      <c r="L957" s="7">
        <v>45931.0</v>
      </c>
      <c r="M957" s="2" t="s">
        <v>48</v>
      </c>
      <c r="N957" s="2" t="s">
        <v>35</v>
      </c>
      <c r="O957" s="2" t="s">
        <v>27</v>
      </c>
      <c r="P957" s="2" t="s">
        <v>28</v>
      </c>
    </row>
    <row r="958" ht="14.25" customHeight="1">
      <c r="A958" s="6">
        <v>1.3802775E7</v>
      </c>
      <c r="B958" s="2" t="s">
        <v>3728</v>
      </c>
      <c r="C958" s="2" t="s">
        <v>17</v>
      </c>
      <c r="D958" s="2" t="s">
        <v>831</v>
      </c>
      <c r="E958" s="2" t="s">
        <v>3729</v>
      </c>
      <c r="F958" s="2" t="s">
        <v>3729</v>
      </c>
      <c r="G958" s="2" t="s">
        <v>3730</v>
      </c>
      <c r="H958" s="2" t="s">
        <v>127</v>
      </c>
      <c r="I958" s="2" t="s">
        <v>128</v>
      </c>
      <c r="J958" s="2" t="s">
        <v>62</v>
      </c>
      <c r="K958" s="2" t="s">
        <v>24</v>
      </c>
      <c r="L958" s="7">
        <v>45931.0</v>
      </c>
      <c r="M958" s="2" t="s">
        <v>48</v>
      </c>
      <c r="N958" s="2" t="s">
        <v>35</v>
      </c>
      <c r="O958" s="2" t="s">
        <v>27</v>
      </c>
      <c r="P958" s="2" t="s">
        <v>28</v>
      </c>
    </row>
    <row r="959" ht="14.25" customHeight="1">
      <c r="A959" s="6">
        <v>2.01494E7</v>
      </c>
      <c r="B959" s="2" t="s">
        <v>3731</v>
      </c>
      <c r="C959" s="2" t="s">
        <v>17</v>
      </c>
      <c r="D959" s="2" t="s">
        <v>57</v>
      </c>
      <c r="E959" s="2" t="s">
        <v>3732</v>
      </c>
      <c r="F959" s="2" t="s">
        <v>3732</v>
      </c>
      <c r="G959" s="2" t="s">
        <v>3733</v>
      </c>
      <c r="H959" s="2" t="s">
        <v>127</v>
      </c>
      <c r="I959" s="2" t="s">
        <v>135</v>
      </c>
      <c r="J959" s="2" t="s">
        <v>62</v>
      </c>
      <c r="K959" s="2" t="s">
        <v>24</v>
      </c>
      <c r="L959" s="7">
        <v>45931.0</v>
      </c>
      <c r="M959" s="2" t="s">
        <v>48</v>
      </c>
      <c r="N959" s="2" t="s">
        <v>35</v>
      </c>
      <c r="O959" s="2" t="s">
        <v>27</v>
      </c>
      <c r="P959" s="2" t="s">
        <v>28</v>
      </c>
    </row>
    <row r="960" ht="14.25" customHeight="1">
      <c r="A960" s="6">
        <v>1.7321169E7</v>
      </c>
      <c r="B960" s="2" t="s">
        <v>3734</v>
      </c>
      <c r="C960" s="2" t="s">
        <v>17</v>
      </c>
      <c r="D960" s="2" t="s">
        <v>38</v>
      </c>
      <c r="E960" s="2" t="s">
        <v>3735</v>
      </c>
      <c r="F960" s="2" t="s">
        <v>3735</v>
      </c>
      <c r="G960" s="2" t="s">
        <v>3736</v>
      </c>
      <c r="H960" s="2" t="s">
        <v>127</v>
      </c>
      <c r="I960" s="2" t="s">
        <v>135</v>
      </c>
      <c r="J960" s="2" t="s">
        <v>62</v>
      </c>
      <c r="K960" s="2" t="s">
        <v>24</v>
      </c>
      <c r="L960" s="7">
        <v>45931.0</v>
      </c>
      <c r="M960" s="2" t="s">
        <v>48</v>
      </c>
      <c r="N960" s="2" t="s">
        <v>35</v>
      </c>
      <c r="O960" s="2" t="s">
        <v>27</v>
      </c>
      <c r="P960" s="2" t="s">
        <v>28</v>
      </c>
    </row>
    <row r="961" ht="14.25" customHeight="1">
      <c r="A961" s="6">
        <v>1.8418963E7</v>
      </c>
      <c r="B961" s="2" t="s">
        <v>3737</v>
      </c>
      <c r="C961" s="2" t="s">
        <v>17</v>
      </c>
      <c r="D961" s="2" t="s">
        <v>57</v>
      </c>
      <c r="E961" s="2" t="s">
        <v>3738</v>
      </c>
      <c r="F961" s="2" t="s">
        <v>3738</v>
      </c>
      <c r="G961" s="2" t="s">
        <v>3739</v>
      </c>
      <c r="H961" s="2" t="s">
        <v>127</v>
      </c>
      <c r="I961" s="2" t="s">
        <v>135</v>
      </c>
      <c r="J961" s="2" t="s">
        <v>62</v>
      </c>
      <c r="K961" s="2" t="s">
        <v>24</v>
      </c>
      <c r="L961" s="7">
        <v>45931.0</v>
      </c>
      <c r="M961" s="2" t="s">
        <v>48</v>
      </c>
      <c r="N961" s="2" t="s">
        <v>35</v>
      </c>
      <c r="O961" s="2" t="s">
        <v>27</v>
      </c>
      <c r="P961" s="2" t="s">
        <v>28</v>
      </c>
    </row>
    <row r="962" ht="14.25" customHeight="1">
      <c r="A962" s="6">
        <v>2.0613495E7</v>
      </c>
      <c r="B962" s="2" t="s">
        <v>3740</v>
      </c>
      <c r="C962" s="2" t="s">
        <v>17</v>
      </c>
      <c r="D962" s="2" t="s">
        <v>38</v>
      </c>
      <c r="E962" s="2" t="s">
        <v>3741</v>
      </c>
      <c r="F962" s="2" t="s">
        <v>3741</v>
      </c>
      <c r="G962" s="2" t="s">
        <v>3742</v>
      </c>
      <c r="H962" s="2" t="s">
        <v>127</v>
      </c>
      <c r="I962" s="2" t="s">
        <v>2558</v>
      </c>
      <c r="J962" s="2" t="s">
        <v>62</v>
      </c>
      <c r="K962" s="2" t="s">
        <v>24</v>
      </c>
      <c r="L962" s="7">
        <v>45931.0</v>
      </c>
      <c r="M962" s="2" t="s">
        <v>48</v>
      </c>
      <c r="N962" s="2" t="s">
        <v>35</v>
      </c>
      <c r="O962" s="2" t="s">
        <v>27</v>
      </c>
      <c r="P962" s="2" t="s">
        <v>28</v>
      </c>
    </row>
    <row r="963" ht="14.25" customHeight="1">
      <c r="A963" s="6">
        <v>1.9814878E7</v>
      </c>
      <c r="B963" s="2" t="s">
        <v>3743</v>
      </c>
      <c r="C963" s="2" t="s">
        <v>17</v>
      </c>
      <c r="D963" s="2" t="s">
        <v>167</v>
      </c>
      <c r="E963" s="2" t="s">
        <v>3744</v>
      </c>
      <c r="F963" s="2" t="s">
        <v>3744</v>
      </c>
      <c r="G963" s="2" t="s">
        <v>3745</v>
      </c>
      <c r="H963" s="2" t="s">
        <v>127</v>
      </c>
      <c r="I963" s="2" t="s">
        <v>2558</v>
      </c>
      <c r="J963" s="2" t="s">
        <v>62</v>
      </c>
      <c r="K963" s="2" t="s">
        <v>24</v>
      </c>
      <c r="L963" s="7">
        <v>45931.0</v>
      </c>
      <c r="M963" s="2" t="s">
        <v>48</v>
      </c>
      <c r="N963" s="2" t="s">
        <v>35</v>
      </c>
      <c r="O963" s="2" t="s">
        <v>27</v>
      </c>
      <c r="P963" s="2" t="s">
        <v>28</v>
      </c>
    </row>
    <row r="964" ht="14.25" customHeight="1">
      <c r="A964" s="6">
        <v>1.6038783E7</v>
      </c>
      <c r="B964" s="2" t="s">
        <v>3746</v>
      </c>
      <c r="C964" s="2" t="s">
        <v>17</v>
      </c>
      <c r="D964" s="2" t="s">
        <v>831</v>
      </c>
      <c r="E964" s="2" t="s">
        <v>3747</v>
      </c>
      <c r="F964" s="2" t="s">
        <v>3747</v>
      </c>
      <c r="G964" s="2" t="s">
        <v>3748</v>
      </c>
      <c r="H964" s="2" t="s">
        <v>127</v>
      </c>
      <c r="I964" s="2" t="s">
        <v>135</v>
      </c>
      <c r="J964" s="2" t="s">
        <v>62</v>
      </c>
      <c r="K964" s="2" t="s">
        <v>24</v>
      </c>
      <c r="L964" s="7">
        <v>45931.0</v>
      </c>
      <c r="M964" s="2" t="s">
        <v>48</v>
      </c>
      <c r="N964" s="2" t="s">
        <v>35</v>
      </c>
      <c r="O964" s="2" t="s">
        <v>27</v>
      </c>
      <c r="P964" s="2" t="s">
        <v>28</v>
      </c>
    </row>
    <row r="965" ht="14.25" customHeight="1">
      <c r="A965" s="6">
        <v>8021658.0</v>
      </c>
      <c r="B965" s="2" t="s">
        <v>3749</v>
      </c>
      <c r="C965" s="2" t="s">
        <v>17</v>
      </c>
      <c r="D965" s="2" t="s">
        <v>38</v>
      </c>
      <c r="E965" s="2" t="s">
        <v>3750</v>
      </c>
      <c r="F965" s="2" t="s">
        <v>3750</v>
      </c>
      <c r="G965" s="2" t="s">
        <v>3751</v>
      </c>
      <c r="H965" s="2" t="s">
        <v>127</v>
      </c>
      <c r="I965" s="2" t="s">
        <v>135</v>
      </c>
      <c r="J965" s="2" t="s">
        <v>62</v>
      </c>
      <c r="K965" s="2" t="s">
        <v>24</v>
      </c>
      <c r="L965" s="7">
        <v>45931.0</v>
      </c>
      <c r="M965" s="2" t="s">
        <v>48</v>
      </c>
      <c r="N965" s="2" t="s">
        <v>35</v>
      </c>
      <c r="O965" s="2" t="s">
        <v>27</v>
      </c>
      <c r="P965" s="2" t="s">
        <v>28</v>
      </c>
    </row>
    <row r="966" ht="14.25" customHeight="1">
      <c r="A966" s="6">
        <v>2.0439818E7</v>
      </c>
      <c r="B966" s="2" t="s">
        <v>3752</v>
      </c>
      <c r="C966" s="2" t="s">
        <v>17</v>
      </c>
      <c r="D966" s="2" t="s">
        <v>88</v>
      </c>
      <c r="E966" s="2" t="s">
        <v>3753</v>
      </c>
      <c r="F966" s="2" t="s">
        <v>3753</v>
      </c>
      <c r="G966" s="2" t="s">
        <v>3754</v>
      </c>
      <c r="H966" s="2" t="s">
        <v>127</v>
      </c>
      <c r="I966" s="2" t="s">
        <v>2558</v>
      </c>
      <c r="J966" s="2" t="s">
        <v>62</v>
      </c>
      <c r="K966" s="2" t="s">
        <v>24</v>
      </c>
      <c r="L966" s="7">
        <v>45931.0</v>
      </c>
      <c r="M966" s="2" t="s">
        <v>48</v>
      </c>
      <c r="N966" s="2" t="s">
        <v>35</v>
      </c>
      <c r="O966" s="2" t="s">
        <v>27</v>
      </c>
      <c r="P966" s="2" t="s">
        <v>28</v>
      </c>
    </row>
    <row r="967" ht="14.25" customHeight="1">
      <c r="A967" s="6">
        <v>1.7594144E7</v>
      </c>
      <c r="B967" s="2" t="s">
        <v>3755</v>
      </c>
      <c r="C967" s="2" t="s">
        <v>17</v>
      </c>
      <c r="D967" s="2" t="s">
        <v>88</v>
      </c>
      <c r="E967" s="2" t="s">
        <v>3756</v>
      </c>
      <c r="F967" s="2" t="s">
        <v>3756</v>
      </c>
      <c r="G967" s="2" t="s">
        <v>3757</v>
      </c>
      <c r="H967" s="2" t="s">
        <v>127</v>
      </c>
      <c r="I967" s="2" t="s">
        <v>2558</v>
      </c>
      <c r="J967" s="2" t="s">
        <v>62</v>
      </c>
      <c r="K967" s="2" t="s">
        <v>24</v>
      </c>
      <c r="L967" s="7">
        <v>45931.0</v>
      </c>
      <c r="M967" s="2" t="s">
        <v>48</v>
      </c>
      <c r="N967" s="2" t="s">
        <v>35</v>
      </c>
      <c r="O967" s="2" t="s">
        <v>27</v>
      </c>
      <c r="P967" s="2" t="s">
        <v>28</v>
      </c>
    </row>
    <row r="968" ht="14.25" customHeight="1">
      <c r="A968" s="6">
        <v>1.1903572E7</v>
      </c>
      <c r="B968" s="2" t="s">
        <v>3758</v>
      </c>
      <c r="C968" s="2" t="s">
        <v>17</v>
      </c>
      <c r="D968" s="2" t="s">
        <v>38</v>
      </c>
      <c r="E968" s="2" t="s">
        <v>3759</v>
      </c>
      <c r="F968" s="2" t="s">
        <v>3759</v>
      </c>
      <c r="G968" s="2" t="s">
        <v>3760</v>
      </c>
      <c r="H968" s="2" t="s">
        <v>127</v>
      </c>
      <c r="I968" s="2" t="s">
        <v>2558</v>
      </c>
      <c r="J968" s="2" t="s">
        <v>62</v>
      </c>
      <c r="K968" s="2" t="s">
        <v>24</v>
      </c>
      <c r="L968" s="7">
        <v>45931.0</v>
      </c>
      <c r="M968" s="2" t="s">
        <v>48</v>
      </c>
      <c r="N968" s="2" t="s">
        <v>35</v>
      </c>
      <c r="O968" s="2" t="s">
        <v>27</v>
      </c>
      <c r="P968" s="2" t="s">
        <v>28</v>
      </c>
    </row>
    <row r="969" ht="14.25" customHeight="1">
      <c r="A969" s="6">
        <v>1.2589096E7</v>
      </c>
      <c r="B969" s="2" t="s">
        <v>3761</v>
      </c>
      <c r="C969" s="2" t="s">
        <v>17</v>
      </c>
      <c r="D969" s="2" t="s">
        <v>167</v>
      </c>
      <c r="E969" s="2" t="s">
        <v>3762</v>
      </c>
      <c r="F969" s="2" t="s">
        <v>3762</v>
      </c>
      <c r="G969" s="2" t="s">
        <v>3763</v>
      </c>
      <c r="H969" s="2" t="s">
        <v>127</v>
      </c>
      <c r="I969" s="2" t="s">
        <v>128</v>
      </c>
      <c r="J969" s="2" t="s">
        <v>62</v>
      </c>
      <c r="K969" s="2" t="s">
        <v>24</v>
      </c>
      <c r="L969" s="7">
        <v>45931.0</v>
      </c>
      <c r="M969" s="2" t="s">
        <v>48</v>
      </c>
      <c r="N969" s="2" t="s">
        <v>35</v>
      </c>
      <c r="O969" s="2" t="s">
        <v>27</v>
      </c>
      <c r="P969" s="2" t="s">
        <v>28</v>
      </c>
    </row>
    <row r="970" ht="14.25" customHeight="1">
      <c r="A970" s="6">
        <v>1.6818287E7</v>
      </c>
      <c r="B970" s="2" t="s">
        <v>3764</v>
      </c>
      <c r="C970" s="2" t="s">
        <v>17</v>
      </c>
      <c r="D970" s="2" t="s">
        <v>38</v>
      </c>
      <c r="E970" s="2" t="s">
        <v>3765</v>
      </c>
      <c r="F970" s="2" t="s">
        <v>3765</v>
      </c>
      <c r="G970" s="2" t="s">
        <v>3766</v>
      </c>
      <c r="H970" s="2" t="s">
        <v>127</v>
      </c>
      <c r="I970" s="2" t="s">
        <v>2558</v>
      </c>
      <c r="J970" s="2" t="s">
        <v>62</v>
      </c>
      <c r="K970" s="2" t="s">
        <v>24</v>
      </c>
      <c r="L970" s="7">
        <v>45931.0</v>
      </c>
      <c r="M970" s="2" t="s">
        <v>48</v>
      </c>
      <c r="N970" s="2" t="s">
        <v>35</v>
      </c>
      <c r="O970" s="2" t="s">
        <v>27</v>
      </c>
      <c r="P970" s="2" t="s">
        <v>28</v>
      </c>
    </row>
    <row r="971" ht="14.25" customHeight="1">
      <c r="A971" s="6">
        <v>2.0738454E7</v>
      </c>
      <c r="B971" s="2" t="s">
        <v>3767</v>
      </c>
      <c r="C971" s="2" t="s">
        <v>17</v>
      </c>
      <c r="D971" s="2" t="s">
        <v>38</v>
      </c>
      <c r="E971" s="2" t="s">
        <v>3768</v>
      </c>
      <c r="F971" s="2" t="s">
        <v>3768</v>
      </c>
      <c r="G971" s="2" t="s">
        <v>3769</v>
      </c>
      <c r="H971" s="2" t="s">
        <v>127</v>
      </c>
      <c r="I971" s="2" t="s">
        <v>2558</v>
      </c>
      <c r="J971" s="2" t="s">
        <v>62</v>
      </c>
      <c r="K971" s="2" t="s">
        <v>24</v>
      </c>
      <c r="L971" s="7">
        <v>45931.0</v>
      </c>
      <c r="M971" s="2" t="s">
        <v>48</v>
      </c>
      <c r="N971" s="2" t="s">
        <v>35</v>
      </c>
      <c r="O971" s="2" t="s">
        <v>27</v>
      </c>
      <c r="P971" s="2" t="s">
        <v>28</v>
      </c>
    </row>
    <row r="972" ht="14.25" customHeight="1">
      <c r="A972" s="6">
        <v>1.4549259E7</v>
      </c>
      <c r="B972" s="2" t="s">
        <v>3770</v>
      </c>
      <c r="C972" s="2" t="s">
        <v>17</v>
      </c>
      <c r="D972" s="2" t="s">
        <v>831</v>
      </c>
      <c r="E972" s="2" t="s">
        <v>3771</v>
      </c>
      <c r="F972" s="2" t="s">
        <v>3771</v>
      </c>
      <c r="G972" s="2" t="s">
        <v>3772</v>
      </c>
      <c r="H972" s="2" t="s">
        <v>127</v>
      </c>
      <c r="I972" s="2" t="s">
        <v>135</v>
      </c>
      <c r="J972" s="2" t="s">
        <v>62</v>
      </c>
      <c r="K972" s="2" t="s">
        <v>24</v>
      </c>
      <c r="L972" s="7">
        <v>45931.0</v>
      </c>
      <c r="M972" s="2" t="s">
        <v>48</v>
      </c>
      <c r="N972" s="2" t="s">
        <v>35</v>
      </c>
      <c r="O972" s="2" t="s">
        <v>27</v>
      </c>
      <c r="P972" s="2" t="s">
        <v>28</v>
      </c>
    </row>
    <row r="973" ht="14.25" customHeight="1">
      <c r="A973" s="6">
        <v>1.8500919E7</v>
      </c>
      <c r="B973" s="2" t="s">
        <v>3773</v>
      </c>
      <c r="C973" s="2" t="s">
        <v>17</v>
      </c>
      <c r="D973" s="2" t="s">
        <v>38</v>
      </c>
      <c r="E973" s="2" t="s">
        <v>3774</v>
      </c>
      <c r="F973" s="2" t="s">
        <v>3774</v>
      </c>
      <c r="G973" s="2" t="s">
        <v>3775</v>
      </c>
      <c r="H973" s="2" t="s">
        <v>127</v>
      </c>
      <c r="I973" s="2" t="s">
        <v>2558</v>
      </c>
      <c r="J973" s="2" t="s">
        <v>62</v>
      </c>
      <c r="K973" s="2" t="s">
        <v>24</v>
      </c>
      <c r="L973" s="7">
        <v>45931.0</v>
      </c>
      <c r="M973" s="2" t="s">
        <v>48</v>
      </c>
      <c r="N973" s="2" t="s">
        <v>35</v>
      </c>
      <c r="O973" s="2" t="s">
        <v>27</v>
      </c>
      <c r="P973" s="2" t="s">
        <v>28</v>
      </c>
    </row>
    <row r="974" ht="14.25" customHeight="1">
      <c r="A974" s="6">
        <v>2.1600069E7</v>
      </c>
      <c r="B974" s="2" t="s">
        <v>3776</v>
      </c>
      <c r="C974" s="2" t="s">
        <v>17</v>
      </c>
      <c r="D974" s="2" t="s">
        <v>38</v>
      </c>
      <c r="E974" s="2" t="s">
        <v>3777</v>
      </c>
      <c r="F974" s="2" t="s">
        <v>3777</v>
      </c>
      <c r="G974" s="2" t="s">
        <v>3778</v>
      </c>
      <c r="H974" s="2" t="s">
        <v>127</v>
      </c>
      <c r="I974" s="2" t="s">
        <v>2558</v>
      </c>
      <c r="J974" s="2" t="s">
        <v>62</v>
      </c>
      <c r="K974" s="2" t="s">
        <v>24</v>
      </c>
      <c r="L974" s="7">
        <v>45931.0</v>
      </c>
      <c r="M974" s="2" t="s">
        <v>48</v>
      </c>
      <c r="N974" s="2" t="s">
        <v>35</v>
      </c>
      <c r="O974" s="2" t="s">
        <v>27</v>
      </c>
      <c r="P974" s="2" t="s">
        <v>28</v>
      </c>
    </row>
    <row r="975" ht="14.25" customHeight="1">
      <c r="A975" s="6">
        <v>1.9816724E7</v>
      </c>
      <c r="B975" s="2" t="s">
        <v>3779</v>
      </c>
      <c r="C975" s="2" t="s">
        <v>17</v>
      </c>
      <c r="D975" s="2" t="s">
        <v>38</v>
      </c>
      <c r="E975" s="2" t="s">
        <v>3780</v>
      </c>
      <c r="F975" s="2" t="s">
        <v>3780</v>
      </c>
      <c r="G975" s="2" t="s">
        <v>3781</v>
      </c>
      <c r="H975" s="2" t="s">
        <v>127</v>
      </c>
      <c r="I975" s="2" t="s">
        <v>2558</v>
      </c>
      <c r="J975" s="2" t="s">
        <v>62</v>
      </c>
      <c r="K975" s="2" t="s">
        <v>24</v>
      </c>
      <c r="L975" s="7">
        <v>45931.0</v>
      </c>
      <c r="M975" s="2" t="s">
        <v>48</v>
      </c>
      <c r="N975" s="2" t="s">
        <v>35</v>
      </c>
      <c r="O975" s="2" t="s">
        <v>27</v>
      </c>
      <c r="P975" s="2" t="s">
        <v>28</v>
      </c>
    </row>
    <row r="976" ht="14.25" customHeight="1">
      <c r="A976" s="6">
        <v>1.2982892E7</v>
      </c>
      <c r="B976" s="2" t="s">
        <v>3782</v>
      </c>
      <c r="C976" s="2" t="s">
        <v>17</v>
      </c>
      <c r="D976" s="2" t="s">
        <v>57</v>
      </c>
      <c r="E976" s="2" t="s">
        <v>3783</v>
      </c>
      <c r="F976" s="2" t="s">
        <v>3783</v>
      </c>
      <c r="G976" s="2" t="s">
        <v>3784</v>
      </c>
      <c r="H976" s="2" t="s">
        <v>127</v>
      </c>
      <c r="I976" s="2" t="s">
        <v>135</v>
      </c>
      <c r="J976" s="2" t="s">
        <v>62</v>
      </c>
      <c r="K976" s="2" t="s">
        <v>24</v>
      </c>
      <c r="L976" s="7">
        <v>45931.0</v>
      </c>
      <c r="M976" s="2" t="s">
        <v>48</v>
      </c>
      <c r="N976" s="2" t="s">
        <v>35</v>
      </c>
      <c r="O976" s="2" t="s">
        <v>27</v>
      </c>
      <c r="P976" s="2" t="s">
        <v>28</v>
      </c>
    </row>
    <row r="977" ht="14.25" customHeight="1">
      <c r="A977" s="6">
        <v>1.0619617E7</v>
      </c>
      <c r="B977" s="2" t="s">
        <v>3785</v>
      </c>
      <c r="C977" s="2" t="s">
        <v>17</v>
      </c>
      <c r="D977" s="2" t="s">
        <v>38</v>
      </c>
      <c r="E977" s="2" t="s">
        <v>3786</v>
      </c>
      <c r="F977" s="2" t="s">
        <v>3786</v>
      </c>
      <c r="G977" s="2" t="s">
        <v>3787</v>
      </c>
      <c r="H977" s="2" t="s">
        <v>127</v>
      </c>
      <c r="I977" s="2" t="s">
        <v>135</v>
      </c>
      <c r="J977" s="2" t="s">
        <v>62</v>
      </c>
      <c r="K977" s="2" t="s">
        <v>24</v>
      </c>
      <c r="L977" s="7">
        <v>45931.0</v>
      </c>
      <c r="M977" s="2" t="s">
        <v>48</v>
      </c>
      <c r="N977" s="2" t="s">
        <v>35</v>
      </c>
      <c r="O977" s="2" t="s">
        <v>27</v>
      </c>
      <c r="P977" s="2" t="s">
        <v>28</v>
      </c>
    </row>
    <row r="978" ht="14.25" customHeight="1">
      <c r="A978" s="6">
        <v>1.7730869E7</v>
      </c>
      <c r="B978" s="2" t="s">
        <v>3788</v>
      </c>
      <c r="C978" s="2" t="s">
        <v>17</v>
      </c>
      <c r="D978" s="2" t="s">
        <v>57</v>
      </c>
      <c r="E978" s="2" t="s">
        <v>3789</v>
      </c>
      <c r="F978" s="2" t="s">
        <v>3789</v>
      </c>
      <c r="G978" s="2" t="s">
        <v>3790</v>
      </c>
      <c r="H978" s="2" t="s">
        <v>127</v>
      </c>
      <c r="I978" s="2" t="s">
        <v>2985</v>
      </c>
      <c r="J978" s="2" t="s">
        <v>62</v>
      </c>
      <c r="K978" s="2" t="s">
        <v>24</v>
      </c>
      <c r="L978" s="7">
        <v>45932.0</v>
      </c>
      <c r="M978" s="2" t="s">
        <v>48</v>
      </c>
      <c r="N978" s="2" t="s">
        <v>35</v>
      </c>
      <c r="O978" s="2" t="s">
        <v>27</v>
      </c>
      <c r="P978" s="2" t="s">
        <v>28</v>
      </c>
    </row>
    <row r="979" ht="14.25" customHeight="1">
      <c r="A979" s="6">
        <v>1.9335444E7</v>
      </c>
      <c r="B979" s="2" t="s">
        <v>3791</v>
      </c>
      <c r="C979" s="2" t="s">
        <v>17</v>
      </c>
      <c r="D979" s="2" t="s">
        <v>167</v>
      </c>
      <c r="E979" s="2" t="s">
        <v>3792</v>
      </c>
      <c r="F979" s="2" t="s">
        <v>3792</v>
      </c>
      <c r="G979" s="2" t="s">
        <v>3793</v>
      </c>
      <c r="H979" s="2" t="s">
        <v>127</v>
      </c>
      <c r="I979" s="2" t="s">
        <v>2985</v>
      </c>
      <c r="J979" s="2" t="s">
        <v>62</v>
      </c>
      <c r="K979" s="2" t="s">
        <v>24</v>
      </c>
      <c r="L979" s="7">
        <v>45932.0</v>
      </c>
      <c r="M979" s="2" t="s">
        <v>48</v>
      </c>
      <c r="N979" s="2" t="s">
        <v>35</v>
      </c>
      <c r="O979" s="2" t="s">
        <v>27</v>
      </c>
      <c r="P979" s="2" t="s">
        <v>28</v>
      </c>
    </row>
    <row r="980" ht="14.25" customHeight="1">
      <c r="A980" s="6">
        <v>9719461.0</v>
      </c>
      <c r="B980" s="2" t="s">
        <v>3794</v>
      </c>
      <c r="C980" s="2" t="s">
        <v>17</v>
      </c>
      <c r="D980" s="2" t="s">
        <v>167</v>
      </c>
      <c r="E980" s="2" t="s">
        <v>3795</v>
      </c>
      <c r="F980" s="2" t="s">
        <v>3795</v>
      </c>
      <c r="G980" s="2" t="s">
        <v>3796</v>
      </c>
      <c r="H980" s="2" t="s">
        <v>127</v>
      </c>
      <c r="I980" s="2" t="s">
        <v>2985</v>
      </c>
      <c r="J980" s="2" t="s">
        <v>62</v>
      </c>
      <c r="K980" s="2" t="s">
        <v>24</v>
      </c>
      <c r="L980" s="7">
        <v>45932.0</v>
      </c>
      <c r="M980" s="2" t="s">
        <v>48</v>
      </c>
      <c r="N980" s="2" t="s">
        <v>35</v>
      </c>
      <c r="O980" s="2" t="s">
        <v>27</v>
      </c>
      <c r="P980" s="2" t="s">
        <v>28</v>
      </c>
    </row>
    <row r="981" ht="14.25" customHeight="1">
      <c r="A981" s="6">
        <v>1.7892256E7</v>
      </c>
      <c r="B981" s="2" t="s">
        <v>3797</v>
      </c>
      <c r="C981" s="2" t="s">
        <v>17</v>
      </c>
      <c r="D981" s="2" t="s">
        <v>831</v>
      </c>
      <c r="E981" s="2" t="s">
        <v>3798</v>
      </c>
      <c r="F981" s="2" t="s">
        <v>3799</v>
      </c>
      <c r="G981" s="2" t="s">
        <v>3800</v>
      </c>
      <c r="H981" s="2" t="s">
        <v>127</v>
      </c>
      <c r="I981" s="2" t="s">
        <v>2558</v>
      </c>
      <c r="J981" s="2" t="s">
        <v>62</v>
      </c>
      <c r="K981" s="2" t="s">
        <v>24</v>
      </c>
      <c r="L981" s="7">
        <v>45932.0</v>
      </c>
      <c r="M981" s="2" t="s">
        <v>48</v>
      </c>
      <c r="N981" s="2" t="s">
        <v>35</v>
      </c>
      <c r="O981" s="2" t="s">
        <v>27</v>
      </c>
      <c r="P981" s="2" t="s">
        <v>28</v>
      </c>
    </row>
    <row r="982" ht="14.25" customHeight="1">
      <c r="A982" s="6">
        <v>2.667102E7</v>
      </c>
      <c r="B982" s="2" t="s">
        <v>3801</v>
      </c>
      <c r="C982" s="2" t="s">
        <v>17</v>
      </c>
      <c r="D982" s="2" t="s">
        <v>57</v>
      </c>
      <c r="E982" s="2" t="s">
        <v>3802</v>
      </c>
      <c r="F982" s="2" t="s">
        <v>3802</v>
      </c>
      <c r="G982" s="2" t="s">
        <v>3803</v>
      </c>
      <c r="H982" s="2" t="s">
        <v>127</v>
      </c>
      <c r="I982" s="2" t="s">
        <v>2718</v>
      </c>
      <c r="J982" s="2" t="s">
        <v>62</v>
      </c>
      <c r="K982" s="2" t="s">
        <v>24</v>
      </c>
      <c r="L982" s="7">
        <v>45936.0</v>
      </c>
      <c r="M982" s="2" t="s">
        <v>48</v>
      </c>
      <c r="N982" s="2" t="s">
        <v>35</v>
      </c>
      <c r="O982" s="2" t="s">
        <v>27</v>
      </c>
      <c r="P982" s="2" t="s">
        <v>28</v>
      </c>
    </row>
    <row r="983" ht="14.25" customHeight="1">
      <c r="A983" s="6">
        <v>9165135.0</v>
      </c>
      <c r="B983" s="2" t="s">
        <v>3804</v>
      </c>
      <c r="C983" s="2" t="s">
        <v>17</v>
      </c>
      <c r="D983" s="2" t="s">
        <v>167</v>
      </c>
      <c r="E983" s="2" t="s">
        <v>3805</v>
      </c>
      <c r="F983" s="2" t="s">
        <v>3805</v>
      </c>
      <c r="G983" s="2" t="s">
        <v>3806</v>
      </c>
      <c r="H983" s="2" t="s">
        <v>127</v>
      </c>
      <c r="I983" s="2" t="s">
        <v>2718</v>
      </c>
      <c r="J983" s="2" t="s">
        <v>62</v>
      </c>
      <c r="K983" s="2" t="s">
        <v>24</v>
      </c>
      <c r="L983" s="7">
        <v>45936.0</v>
      </c>
      <c r="M983" s="2" t="s">
        <v>48</v>
      </c>
      <c r="N983" s="2" t="s">
        <v>35</v>
      </c>
      <c r="O983" s="2" t="s">
        <v>27</v>
      </c>
      <c r="P983" s="2" t="s">
        <v>28</v>
      </c>
    </row>
    <row r="984" ht="14.25" customHeight="1">
      <c r="A984" s="6">
        <v>1.9826928E7</v>
      </c>
      <c r="B984" s="2" t="s">
        <v>3807</v>
      </c>
      <c r="C984" s="2" t="s">
        <v>17</v>
      </c>
      <c r="D984" s="2" t="s">
        <v>88</v>
      </c>
      <c r="E984" s="2" t="s">
        <v>3808</v>
      </c>
      <c r="F984" s="2" t="s">
        <v>3808</v>
      </c>
      <c r="G984" s="2" t="s">
        <v>3809</v>
      </c>
      <c r="H984" s="2" t="s">
        <v>127</v>
      </c>
      <c r="I984" s="2" t="s">
        <v>2718</v>
      </c>
      <c r="J984" s="2" t="s">
        <v>62</v>
      </c>
      <c r="K984" s="2" t="s">
        <v>24</v>
      </c>
      <c r="L984" s="7">
        <v>45936.0</v>
      </c>
      <c r="M984" s="2" t="s">
        <v>48</v>
      </c>
      <c r="N984" s="2" t="s">
        <v>35</v>
      </c>
      <c r="O984" s="2" t="s">
        <v>27</v>
      </c>
      <c r="P984" s="2" t="s">
        <v>28</v>
      </c>
    </row>
    <row r="985" ht="14.25" customHeight="1">
      <c r="A985" s="6">
        <v>2.0363684E7</v>
      </c>
      <c r="B985" s="2" t="s">
        <v>3810</v>
      </c>
      <c r="C985" s="2" t="s">
        <v>17</v>
      </c>
      <c r="D985" s="2" t="s">
        <v>167</v>
      </c>
      <c r="E985" s="2" t="s">
        <v>3811</v>
      </c>
      <c r="F985" s="2" t="s">
        <v>3811</v>
      </c>
      <c r="G985" s="2" t="s">
        <v>3812</v>
      </c>
      <c r="H985" s="2" t="s">
        <v>127</v>
      </c>
      <c r="I985" s="2" t="s">
        <v>2718</v>
      </c>
      <c r="J985" s="2" t="s">
        <v>62</v>
      </c>
      <c r="K985" s="2" t="s">
        <v>24</v>
      </c>
      <c r="L985" s="7">
        <v>45936.0</v>
      </c>
      <c r="M985" s="2" t="s">
        <v>48</v>
      </c>
      <c r="N985" s="2" t="s">
        <v>35</v>
      </c>
      <c r="O985" s="2" t="s">
        <v>27</v>
      </c>
      <c r="P985" s="2" t="s">
        <v>28</v>
      </c>
    </row>
    <row r="986" ht="14.25" customHeight="1">
      <c r="A986" s="6">
        <v>1.7696517E7</v>
      </c>
      <c r="B986" s="2" t="s">
        <v>3813</v>
      </c>
      <c r="C986" s="2" t="s">
        <v>17</v>
      </c>
      <c r="D986" s="2" t="s">
        <v>167</v>
      </c>
      <c r="E986" s="2" t="s">
        <v>3814</v>
      </c>
      <c r="F986" s="2" t="s">
        <v>3814</v>
      </c>
      <c r="G986" s="2" t="s">
        <v>3815</v>
      </c>
      <c r="H986" s="2" t="s">
        <v>127</v>
      </c>
      <c r="I986" s="2" t="s">
        <v>2718</v>
      </c>
      <c r="J986" s="2" t="s">
        <v>62</v>
      </c>
      <c r="K986" s="2" t="s">
        <v>24</v>
      </c>
      <c r="L986" s="7">
        <v>45936.0</v>
      </c>
      <c r="M986" s="2" t="s">
        <v>48</v>
      </c>
      <c r="N986" s="2" t="s">
        <v>35</v>
      </c>
      <c r="O986" s="2" t="s">
        <v>27</v>
      </c>
      <c r="P986" s="2" t="s">
        <v>28</v>
      </c>
    </row>
    <row r="987" ht="14.25" customHeight="1">
      <c r="A987" s="6">
        <v>2.792423E7</v>
      </c>
      <c r="B987" s="2" t="s">
        <v>3816</v>
      </c>
      <c r="C987" s="2" t="s">
        <v>17</v>
      </c>
      <c r="D987" s="2" t="s">
        <v>88</v>
      </c>
      <c r="E987" s="2" t="s">
        <v>3817</v>
      </c>
      <c r="F987" s="2" t="s">
        <v>3817</v>
      </c>
      <c r="G987" s="2" t="s">
        <v>3818</v>
      </c>
      <c r="H987" s="2" t="s">
        <v>127</v>
      </c>
      <c r="I987" s="2" t="s">
        <v>2718</v>
      </c>
      <c r="J987" s="2" t="s">
        <v>62</v>
      </c>
      <c r="K987" s="2" t="s">
        <v>24</v>
      </c>
      <c r="L987" s="7">
        <v>45936.0</v>
      </c>
      <c r="M987" s="2" t="s">
        <v>48</v>
      </c>
      <c r="N987" s="2" t="s">
        <v>35</v>
      </c>
      <c r="O987" s="2" t="s">
        <v>27</v>
      </c>
      <c r="P987" s="2" t="s">
        <v>28</v>
      </c>
    </row>
    <row r="988" ht="14.25" customHeight="1">
      <c r="A988" s="6">
        <v>1.4214739E7</v>
      </c>
      <c r="B988" s="2" t="s">
        <v>3819</v>
      </c>
      <c r="C988" s="2" t="s">
        <v>17</v>
      </c>
      <c r="D988" s="2" t="s">
        <v>88</v>
      </c>
      <c r="E988" s="2" t="s">
        <v>3820</v>
      </c>
      <c r="F988" s="2" t="s">
        <v>3820</v>
      </c>
      <c r="G988" s="2" t="s">
        <v>3821</v>
      </c>
      <c r="H988" s="2" t="s">
        <v>127</v>
      </c>
      <c r="I988" s="2" t="s">
        <v>2718</v>
      </c>
      <c r="J988" s="2" t="s">
        <v>62</v>
      </c>
      <c r="K988" s="2" t="s">
        <v>24</v>
      </c>
      <c r="L988" s="7">
        <v>45936.0</v>
      </c>
      <c r="M988" s="2" t="s">
        <v>48</v>
      </c>
      <c r="N988" s="2" t="s">
        <v>35</v>
      </c>
      <c r="O988" s="2" t="s">
        <v>27</v>
      </c>
      <c r="P988" s="2" t="s">
        <v>28</v>
      </c>
    </row>
    <row r="989" ht="14.25" customHeight="1">
      <c r="A989" s="6">
        <v>1.6817858E7</v>
      </c>
      <c r="B989" s="2" t="s">
        <v>3822</v>
      </c>
      <c r="C989" s="2" t="s">
        <v>17</v>
      </c>
      <c r="D989" s="2" t="s">
        <v>88</v>
      </c>
      <c r="E989" s="2" t="s">
        <v>3823</v>
      </c>
      <c r="F989" s="2" t="s">
        <v>3823</v>
      </c>
      <c r="G989" s="2" t="s">
        <v>3824</v>
      </c>
      <c r="H989" s="2" t="s">
        <v>127</v>
      </c>
      <c r="I989" s="2" t="s">
        <v>2718</v>
      </c>
      <c r="J989" s="2" t="s">
        <v>62</v>
      </c>
      <c r="K989" s="2" t="s">
        <v>24</v>
      </c>
      <c r="L989" s="7">
        <v>45936.0</v>
      </c>
      <c r="M989" s="2" t="s">
        <v>48</v>
      </c>
      <c r="N989" s="2" t="s">
        <v>35</v>
      </c>
      <c r="O989" s="2" t="s">
        <v>27</v>
      </c>
      <c r="P989" s="2" t="s">
        <v>28</v>
      </c>
    </row>
    <row r="990" ht="14.25" customHeight="1">
      <c r="A990" s="6">
        <v>1.9521404E7</v>
      </c>
      <c r="B990" s="2" t="s">
        <v>3825</v>
      </c>
      <c r="C990" s="2" t="s">
        <v>17</v>
      </c>
      <c r="D990" s="2" t="s">
        <v>88</v>
      </c>
      <c r="E990" s="2" t="s">
        <v>3826</v>
      </c>
      <c r="F990" s="2" t="s">
        <v>3826</v>
      </c>
      <c r="G990" s="2" t="s">
        <v>3827</v>
      </c>
      <c r="H990" s="2" t="s">
        <v>127</v>
      </c>
      <c r="I990" s="2" t="s">
        <v>2718</v>
      </c>
      <c r="J990" s="2" t="s">
        <v>62</v>
      </c>
      <c r="K990" s="2" t="s">
        <v>24</v>
      </c>
      <c r="L990" s="7">
        <v>45936.0</v>
      </c>
      <c r="M990" s="2" t="s">
        <v>48</v>
      </c>
      <c r="N990" s="2" t="s">
        <v>35</v>
      </c>
      <c r="O990" s="2" t="s">
        <v>27</v>
      </c>
      <c r="P990" s="2" t="s">
        <v>28</v>
      </c>
    </row>
    <row r="991" ht="14.25" customHeight="1">
      <c r="A991" s="6">
        <v>2.1093204E7</v>
      </c>
      <c r="B991" s="2" t="s">
        <v>3828</v>
      </c>
      <c r="C991" s="2" t="s">
        <v>17</v>
      </c>
      <c r="D991" s="2" t="s">
        <v>38</v>
      </c>
      <c r="E991" s="2" t="s">
        <v>3829</v>
      </c>
      <c r="F991" s="2" t="s">
        <v>3829</v>
      </c>
      <c r="G991" s="2" t="s">
        <v>3830</v>
      </c>
      <c r="H991" s="2" t="s">
        <v>127</v>
      </c>
      <c r="I991" s="2" t="s">
        <v>2718</v>
      </c>
      <c r="J991" s="2" t="s">
        <v>62</v>
      </c>
      <c r="K991" s="2" t="s">
        <v>24</v>
      </c>
      <c r="L991" s="7">
        <v>45936.0</v>
      </c>
      <c r="M991" s="2" t="s">
        <v>48</v>
      </c>
      <c r="N991" s="2" t="s">
        <v>35</v>
      </c>
      <c r="O991" s="2" t="s">
        <v>27</v>
      </c>
      <c r="P991" s="2" t="s">
        <v>28</v>
      </c>
    </row>
    <row r="992" ht="14.25" customHeight="1">
      <c r="A992" s="6">
        <v>1.3513285E7</v>
      </c>
      <c r="B992" s="2" t="s">
        <v>3831</v>
      </c>
      <c r="C992" s="2" t="s">
        <v>17</v>
      </c>
      <c r="D992" s="2" t="s">
        <v>57</v>
      </c>
      <c r="E992" s="2" t="s">
        <v>3832</v>
      </c>
      <c r="F992" s="2" t="s">
        <v>3832</v>
      </c>
      <c r="G992" s="2" t="s">
        <v>3833</v>
      </c>
      <c r="H992" s="2" t="s">
        <v>127</v>
      </c>
      <c r="I992" s="2" t="s">
        <v>2718</v>
      </c>
      <c r="J992" s="2" t="s">
        <v>62</v>
      </c>
      <c r="K992" s="2" t="s">
        <v>24</v>
      </c>
      <c r="L992" s="7">
        <v>45936.0</v>
      </c>
      <c r="M992" s="2" t="s">
        <v>48</v>
      </c>
      <c r="N992" s="2" t="s">
        <v>35</v>
      </c>
      <c r="O992" s="2" t="s">
        <v>27</v>
      </c>
      <c r="P992" s="2" t="s">
        <v>28</v>
      </c>
    </row>
    <row r="993" ht="14.25" customHeight="1">
      <c r="A993" s="6">
        <v>1.9521629E7</v>
      </c>
      <c r="B993" s="2" t="s">
        <v>3834</v>
      </c>
      <c r="C993" s="2" t="s">
        <v>17</v>
      </c>
      <c r="D993" s="2" t="s">
        <v>88</v>
      </c>
      <c r="E993" s="2" t="s">
        <v>3835</v>
      </c>
      <c r="F993" s="2" t="s">
        <v>3835</v>
      </c>
      <c r="G993" s="2" t="s">
        <v>3836</v>
      </c>
      <c r="H993" s="2" t="s">
        <v>127</v>
      </c>
      <c r="I993" s="2" t="s">
        <v>2718</v>
      </c>
      <c r="J993" s="2" t="s">
        <v>62</v>
      </c>
      <c r="K993" s="2" t="s">
        <v>24</v>
      </c>
      <c r="L993" s="7">
        <v>45936.0</v>
      </c>
      <c r="M993" s="2" t="s">
        <v>48</v>
      </c>
      <c r="N993" s="2" t="s">
        <v>35</v>
      </c>
      <c r="O993" s="2" t="s">
        <v>27</v>
      </c>
      <c r="P993" s="2" t="s">
        <v>28</v>
      </c>
    </row>
    <row r="994" ht="14.25" customHeight="1">
      <c r="A994" s="6">
        <v>1.3108917E7</v>
      </c>
      <c r="B994" s="2" t="s">
        <v>3837</v>
      </c>
      <c r="C994" s="2" t="s">
        <v>17</v>
      </c>
      <c r="D994" s="2" t="s">
        <v>167</v>
      </c>
      <c r="E994" s="2" t="s">
        <v>3838</v>
      </c>
      <c r="F994" s="2" t="s">
        <v>3838</v>
      </c>
      <c r="G994" s="2" t="s">
        <v>3839</v>
      </c>
      <c r="H994" s="2" t="s">
        <v>127</v>
      </c>
      <c r="I994" s="2" t="s">
        <v>2718</v>
      </c>
      <c r="J994" s="2" t="s">
        <v>62</v>
      </c>
      <c r="K994" s="2" t="s">
        <v>24</v>
      </c>
      <c r="L994" s="7">
        <v>45936.0</v>
      </c>
      <c r="M994" s="2" t="s">
        <v>48</v>
      </c>
      <c r="N994" s="2" t="s">
        <v>35</v>
      </c>
      <c r="O994" s="2" t="s">
        <v>27</v>
      </c>
      <c r="P994" s="2" t="s">
        <v>28</v>
      </c>
    </row>
    <row r="995" ht="14.25" customHeight="1">
      <c r="A995" s="6">
        <v>1.9599422E7</v>
      </c>
      <c r="B995" s="2" t="s">
        <v>3840</v>
      </c>
      <c r="C995" s="2" t="s">
        <v>17</v>
      </c>
      <c r="D995" s="2" t="s">
        <v>88</v>
      </c>
      <c r="E995" s="2" t="s">
        <v>3841</v>
      </c>
      <c r="F995" s="2" t="s">
        <v>3841</v>
      </c>
      <c r="G995" s="2" t="s">
        <v>3842</v>
      </c>
      <c r="H995" s="2" t="s">
        <v>127</v>
      </c>
      <c r="I995" s="2" t="s">
        <v>2718</v>
      </c>
      <c r="J995" s="2" t="s">
        <v>62</v>
      </c>
      <c r="K995" s="2" t="s">
        <v>24</v>
      </c>
      <c r="L995" s="7">
        <v>45937.0</v>
      </c>
      <c r="M995" s="2" t="s">
        <v>48</v>
      </c>
      <c r="N995" s="2" t="s">
        <v>35</v>
      </c>
      <c r="O995" s="2" t="s">
        <v>27</v>
      </c>
      <c r="P995" s="2" t="s">
        <v>28</v>
      </c>
    </row>
    <row r="996" ht="14.25" customHeight="1">
      <c r="A996" s="6">
        <v>1.3725943E7</v>
      </c>
      <c r="B996" s="2" t="s">
        <v>3843</v>
      </c>
      <c r="C996" s="2" t="s">
        <v>17</v>
      </c>
      <c r="D996" s="2" t="s">
        <v>57</v>
      </c>
      <c r="E996" s="2" t="s">
        <v>3844</v>
      </c>
      <c r="F996" s="2" t="s">
        <v>3844</v>
      </c>
      <c r="G996" s="2" t="s">
        <v>3845</v>
      </c>
      <c r="H996" s="2" t="s">
        <v>127</v>
      </c>
      <c r="I996" s="2" t="s">
        <v>2718</v>
      </c>
      <c r="J996" s="2" t="s">
        <v>62</v>
      </c>
      <c r="K996" s="2" t="s">
        <v>24</v>
      </c>
      <c r="L996" s="7">
        <v>45937.0</v>
      </c>
      <c r="M996" s="2" t="s">
        <v>48</v>
      </c>
      <c r="N996" s="2" t="s">
        <v>35</v>
      </c>
      <c r="O996" s="2" t="s">
        <v>27</v>
      </c>
      <c r="P996" s="2" t="s">
        <v>28</v>
      </c>
    </row>
    <row r="997" ht="14.25" customHeight="1">
      <c r="A997" s="6">
        <v>2.0150148E7</v>
      </c>
      <c r="B997" s="2" t="s">
        <v>3846</v>
      </c>
      <c r="C997" s="2" t="s">
        <v>17</v>
      </c>
      <c r="D997" s="2" t="s">
        <v>18</v>
      </c>
      <c r="E997" s="2" t="s">
        <v>3847</v>
      </c>
      <c r="F997" s="2" t="s">
        <v>3847</v>
      </c>
      <c r="G997" s="2" t="s">
        <v>3848</v>
      </c>
      <c r="H997" s="2" t="s">
        <v>127</v>
      </c>
      <c r="I997" s="2" t="s">
        <v>2558</v>
      </c>
      <c r="J997" s="2" t="s">
        <v>62</v>
      </c>
      <c r="K997" s="2" t="s">
        <v>24</v>
      </c>
      <c r="L997" s="7">
        <v>45937.0</v>
      </c>
      <c r="M997" s="2" t="s">
        <v>48</v>
      </c>
      <c r="N997" s="2" t="s">
        <v>35</v>
      </c>
      <c r="O997" s="2" t="s">
        <v>27</v>
      </c>
      <c r="P997" s="2" t="s">
        <v>28</v>
      </c>
    </row>
    <row r="998" ht="14.25" customHeight="1">
      <c r="A998" s="6">
        <v>1.9520729E7</v>
      </c>
      <c r="B998" s="2" t="s">
        <v>3849</v>
      </c>
      <c r="C998" s="2" t="s">
        <v>17</v>
      </c>
      <c r="D998" s="2" t="s">
        <v>57</v>
      </c>
      <c r="E998" s="2" t="s">
        <v>3850</v>
      </c>
      <c r="F998" s="2" t="s">
        <v>3850</v>
      </c>
      <c r="G998" s="2" t="s">
        <v>3851</v>
      </c>
      <c r="H998" s="2" t="s">
        <v>127</v>
      </c>
      <c r="I998" s="2" t="s">
        <v>2558</v>
      </c>
      <c r="J998" s="2" t="s">
        <v>62</v>
      </c>
      <c r="K998" s="2" t="s">
        <v>24</v>
      </c>
      <c r="L998" s="7">
        <v>45937.0</v>
      </c>
      <c r="M998" s="2" t="s">
        <v>48</v>
      </c>
      <c r="N998" s="2" t="s">
        <v>35</v>
      </c>
      <c r="O998" s="2" t="s">
        <v>27</v>
      </c>
      <c r="P998" s="2" t="s">
        <v>28</v>
      </c>
    </row>
    <row r="999" ht="14.25" customHeight="1">
      <c r="A999" s="6">
        <v>1.0932005E7</v>
      </c>
      <c r="B999" s="2" t="s">
        <v>3852</v>
      </c>
      <c r="C999" s="2" t="s">
        <v>17</v>
      </c>
      <c r="D999" s="2" t="s">
        <v>167</v>
      </c>
      <c r="E999" s="2" t="s">
        <v>3853</v>
      </c>
      <c r="F999" s="2" t="s">
        <v>3853</v>
      </c>
      <c r="G999" s="2" t="s">
        <v>3854</v>
      </c>
      <c r="H999" s="2" t="s">
        <v>127</v>
      </c>
      <c r="I999" s="2" t="s">
        <v>2558</v>
      </c>
      <c r="J999" s="2" t="s">
        <v>62</v>
      </c>
      <c r="K999" s="2" t="s">
        <v>24</v>
      </c>
      <c r="L999" s="7">
        <v>45937.0</v>
      </c>
      <c r="M999" s="2" t="s">
        <v>48</v>
      </c>
      <c r="N999" s="2" t="s">
        <v>35</v>
      </c>
      <c r="O999" s="2" t="s">
        <v>27</v>
      </c>
      <c r="P999" s="2" t="s">
        <v>28</v>
      </c>
    </row>
    <row r="1000" ht="14.25" customHeight="1">
      <c r="A1000" s="6">
        <v>1.0037764E7</v>
      </c>
      <c r="B1000" s="2" t="s">
        <v>3855</v>
      </c>
      <c r="C1000" s="2" t="s">
        <v>17</v>
      </c>
      <c r="D1000" s="2" t="s">
        <v>38</v>
      </c>
      <c r="E1000" s="2" t="s">
        <v>3856</v>
      </c>
      <c r="F1000" s="2" t="s">
        <v>3856</v>
      </c>
      <c r="G1000" s="2" t="s">
        <v>3857</v>
      </c>
      <c r="H1000" s="2" t="s">
        <v>127</v>
      </c>
      <c r="I1000" s="2" t="s">
        <v>2558</v>
      </c>
      <c r="J1000" s="2" t="s">
        <v>62</v>
      </c>
      <c r="K1000" s="2" t="s">
        <v>24</v>
      </c>
      <c r="L1000" s="7">
        <v>45937.0</v>
      </c>
      <c r="M1000" s="2" t="s">
        <v>48</v>
      </c>
      <c r="N1000" s="2" t="s">
        <v>35</v>
      </c>
      <c r="O1000" s="2" t="s">
        <v>27</v>
      </c>
      <c r="P1000" s="2" t="s">
        <v>28</v>
      </c>
    </row>
    <row r="1001" ht="14.25" customHeight="1">
      <c r="A1001" s="6">
        <v>2.0886959E7</v>
      </c>
      <c r="B1001" s="2" t="s">
        <v>3858</v>
      </c>
      <c r="C1001" s="2" t="s">
        <v>17</v>
      </c>
      <c r="D1001" s="2" t="s">
        <v>18</v>
      </c>
      <c r="E1001" s="2" t="s">
        <v>3859</v>
      </c>
      <c r="F1001" s="2" t="s">
        <v>3859</v>
      </c>
      <c r="G1001" s="2" t="s">
        <v>3860</v>
      </c>
      <c r="H1001" s="2" t="s">
        <v>127</v>
      </c>
      <c r="I1001" s="2" t="s">
        <v>128</v>
      </c>
      <c r="J1001" s="2" t="s">
        <v>62</v>
      </c>
      <c r="K1001" s="2" t="s">
        <v>24</v>
      </c>
      <c r="L1001" s="7">
        <v>45938.0</v>
      </c>
      <c r="M1001" s="2" t="s">
        <v>48</v>
      </c>
      <c r="N1001" s="2" t="s">
        <v>35</v>
      </c>
      <c r="O1001" s="2" t="s">
        <v>27</v>
      </c>
      <c r="P1001" s="2" t="s">
        <v>28</v>
      </c>
    </row>
    <row r="1002" ht="14.25" customHeight="1">
      <c r="A1002" s="6">
        <v>2.0613517E7</v>
      </c>
      <c r="B1002" s="2" t="s">
        <v>3861</v>
      </c>
      <c r="C1002" s="2" t="s">
        <v>17</v>
      </c>
      <c r="D1002" s="2" t="s">
        <v>57</v>
      </c>
      <c r="E1002" s="2" t="s">
        <v>3862</v>
      </c>
      <c r="F1002" s="2" t="s">
        <v>3862</v>
      </c>
      <c r="G1002" s="2" t="s">
        <v>3863</v>
      </c>
      <c r="H1002" s="2" t="s">
        <v>127</v>
      </c>
      <c r="I1002" s="2" t="s">
        <v>2718</v>
      </c>
      <c r="J1002" s="2" t="s">
        <v>62</v>
      </c>
      <c r="K1002" s="2" t="s">
        <v>24</v>
      </c>
      <c r="L1002" s="7">
        <v>45938.0</v>
      </c>
      <c r="M1002" s="2" t="s">
        <v>48</v>
      </c>
      <c r="N1002" s="2" t="s">
        <v>35</v>
      </c>
      <c r="O1002" s="2" t="s">
        <v>27</v>
      </c>
      <c r="P1002" s="2" t="s">
        <v>28</v>
      </c>
    </row>
    <row r="1003" ht="14.25" customHeight="1">
      <c r="A1003" s="6">
        <v>1.3512684E7</v>
      </c>
      <c r="B1003" s="2" t="s">
        <v>3864</v>
      </c>
      <c r="C1003" s="2" t="s">
        <v>17</v>
      </c>
      <c r="D1003" s="2" t="s">
        <v>57</v>
      </c>
      <c r="E1003" s="2" t="s">
        <v>3865</v>
      </c>
      <c r="F1003" s="2" t="s">
        <v>3865</v>
      </c>
      <c r="G1003" s="2" t="s">
        <v>3866</v>
      </c>
      <c r="H1003" s="2" t="s">
        <v>127</v>
      </c>
      <c r="I1003" s="2" t="s">
        <v>2718</v>
      </c>
      <c r="J1003" s="2" t="s">
        <v>62</v>
      </c>
      <c r="K1003" s="2" t="s">
        <v>24</v>
      </c>
      <c r="L1003" s="7">
        <v>45938.0</v>
      </c>
      <c r="M1003" s="2" t="s">
        <v>48</v>
      </c>
      <c r="N1003" s="2" t="s">
        <v>35</v>
      </c>
      <c r="O1003" s="2" t="s">
        <v>27</v>
      </c>
      <c r="P1003" s="2" t="s">
        <v>28</v>
      </c>
    </row>
    <row r="1004" ht="14.25" customHeight="1">
      <c r="A1004" s="6">
        <v>1.975022E7</v>
      </c>
      <c r="B1004" s="2" t="s">
        <v>3867</v>
      </c>
      <c r="C1004" s="2" t="s">
        <v>17</v>
      </c>
      <c r="D1004" s="2" t="s">
        <v>167</v>
      </c>
      <c r="E1004" s="2" t="s">
        <v>3868</v>
      </c>
      <c r="F1004" s="2" t="s">
        <v>3868</v>
      </c>
      <c r="G1004" s="2" t="s">
        <v>3869</v>
      </c>
      <c r="H1004" s="2" t="s">
        <v>127</v>
      </c>
      <c r="I1004" s="2" t="s">
        <v>2718</v>
      </c>
      <c r="J1004" s="2" t="s">
        <v>62</v>
      </c>
      <c r="K1004" s="2" t="s">
        <v>24</v>
      </c>
      <c r="L1004" s="7">
        <v>45938.0</v>
      </c>
      <c r="M1004" s="2" t="s">
        <v>48</v>
      </c>
      <c r="N1004" s="2" t="s">
        <v>35</v>
      </c>
      <c r="O1004" s="2" t="s">
        <v>27</v>
      </c>
      <c r="P1004" s="2" t="s">
        <v>28</v>
      </c>
    </row>
    <row r="1005" ht="14.25" customHeight="1">
      <c r="A1005" s="6">
        <v>1.1153361E7</v>
      </c>
      <c r="B1005" s="2" t="s">
        <v>3870</v>
      </c>
      <c r="C1005" s="2" t="s">
        <v>17</v>
      </c>
      <c r="D1005" s="2" t="s">
        <v>57</v>
      </c>
      <c r="E1005" s="2" t="s">
        <v>3871</v>
      </c>
      <c r="F1005" s="2" t="s">
        <v>3871</v>
      </c>
      <c r="G1005" s="2" t="s">
        <v>3872</v>
      </c>
      <c r="H1005" s="2" t="s">
        <v>127</v>
      </c>
      <c r="I1005" s="2" t="s">
        <v>2558</v>
      </c>
      <c r="J1005" s="2" t="s">
        <v>62</v>
      </c>
      <c r="K1005" s="2" t="s">
        <v>24</v>
      </c>
      <c r="L1005" s="7">
        <v>45937.0</v>
      </c>
      <c r="M1005" s="2" t="s">
        <v>48</v>
      </c>
      <c r="N1005" s="2" t="s">
        <v>35</v>
      </c>
      <c r="O1005" s="2" t="s">
        <v>27</v>
      </c>
      <c r="P1005" s="2" t="s">
        <v>28</v>
      </c>
    </row>
    <row r="1006" ht="14.25" customHeight="1">
      <c r="A1006" s="6">
        <v>2.1287399E7</v>
      </c>
      <c r="B1006" s="2" t="s">
        <v>3873</v>
      </c>
      <c r="C1006" s="2" t="s">
        <v>17</v>
      </c>
      <c r="D1006" s="2" t="s">
        <v>88</v>
      </c>
      <c r="E1006" s="2" t="s">
        <v>3874</v>
      </c>
      <c r="F1006" s="2" t="s">
        <v>3874</v>
      </c>
      <c r="G1006" s="2" t="s">
        <v>3875</v>
      </c>
      <c r="H1006" s="2" t="s">
        <v>127</v>
      </c>
      <c r="I1006" s="2" t="s">
        <v>2718</v>
      </c>
      <c r="J1006" s="2" t="s">
        <v>62</v>
      </c>
      <c r="K1006" s="2" t="s">
        <v>24</v>
      </c>
      <c r="L1006" s="7">
        <v>45938.0</v>
      </c>
      <c r="M1006" s="2" t="s">
        <v>48</v>
      </c>
      <c r="N1006" s="2" t="s">
        <v>35</v>
      </c>
      <c r="O1006" s="2" t="s">
        <v>27</v>
      </c>
      <c r="P1006" s="2" t="s">
        <v>28</v>
      </c>
    </row>
    <row r="1007" ht="14.25" customHeight="1">
      <c r="A1007" s="6">
        <v>1.8137975E7</v>
      </c>
      <c r="B1007" s="2" t="s">
        <v>3876</v>
      </c>
      <c r="C1007" s="2" t="s">
        <v>17</v>
      </c>
      <c r="D1007" s="2" t="s">
        <v>18</v>
      </c>
      <c r="E1007" s="2" t="s">
        <v>3877</v>
      </c>
      <c r="F1007" s="2" t="s">
        <v>3877</v>
      </c>
      <c r="G1007" s="2" t="s">
        <v>3878</v>
      </c>
      <c r="H1007" s="2" t="s">
        <v>127</v>
      </c>
      <c r="I1007" s="2" t="s">
        <v>128</v>
      </c>
      <c r="J1007" s="2" t="s">
        <v>62</v>
      </c>
      <c r="K1007" s="2" t="s">
        <v>24</v>
      </c>
      <c r="L1007" s="7">
        <v>45938.0</v>
      </c>
      <c r="M1007" s="2" t="s">
        <v>48</v>
      </c>
      <c r="N1007" s="2" t="s">
        <v>35</v>
      </c>
      <c r="O1007" s="2" t="s">
        <v>27</v>
      </c>
      <c r="P1007" s="2" t="s">
        <v>28</v>
      </c>
    </row>
    <row r="1008" ht="14.25" customHeight="1">
      <c r="A1008" s="6">
        <v>1.9827253E7</v>
      </c>
      <c r="B1008" s="2" t="s">
        <v>3879</v>
      </c>
      <c r="C1008" s="2" t="s">
        <v>17</v>
      </c>
      <c r="D1008" s="2" t="s">
        <v>18</v>
      </c>
      <c r="E1008" s="2" t="s">
        <v>3880</v>
      </c>
      <c r="F1008" s="2" t="s">
        <v>3880</v>
      </c>
      <c r="G1008" s="2" t="s">
        <v>3881</v>
      </c>
      <c r="H1008" s="2" t="s">
        <v>127</v>
      </c>
      <c r="I1008" s="2" t="s">
        <v>2558</v>
      </c>
      <c r="J1008" s="2" t="s">
        <v>62</v>
      </c>
      <c r="K1008" s="2" t="s">
        <v>24</v>
      </c>
      <c r="L1008" s="7">
        <v>45937.0</v>
      </c>
      <c r="M1008" s="2" t="s">
        <v>48</v>
      </c>
      <c r="N1008" s="2" t="s">
        <v>35</v>
      </c>
      <c r="O1008" s="2" t="s">
        <v>27</v>
      </c>
      <c r="P1008" s="2" t="s">
        <v>28</v>
      </c>
    </row>
    <row r="1009" ht="14.25" customHeight="1">
      <c r="A1009" s="6">
        <v>2.1561623E7</v>
      </c>
      <c r="B1009" s="2" t="s">
        <v>3882</v>
      </c>
      <c r="C1009" s="2" t="s">
        <v>17</v>
      </c>
      <c r="D1009" s="2" t="s">
        <v>18</v>
      </c>
      <c r="E1009" s="2" t="s">
        <v>3883</v>
      </c>
      <c r="F1009" s="2" t="s">
        <v>3883</v>
      </c>
      <c r="G1009" s="2" t="s">
        <v>3884</v>
      </c>
      <c r="H1009" s="2" t="s">
        <v>127</v>
      </c>
      <c r="I1009" s="2" t="s">
        <v>128</v>
      </c>
      <c r="J1009" s="2" t="s">
        <v>62</v>
      </c>
      <c r="K1009" s="2" t="s">
        <v>24</v>
      </c>
      <c r="L1009" s="7">
        <v>45938.0</v>
      </c>
      <c r="M1009" s="2" t="s">
        <v>48</v>
      </c>
      <c r="N1009" s="2" t="s">
        <v>35</v>
      </c>
      <c r="O1009" s="2" t="s">
        <v>27</v>
      </c>
      <c r="P1009" s="2" t="s">
        <v>28</v>
      </c>
    </row>
    <row r="1010" ht="14.25" customHeight="1">
      <c r="A1010" s="6">
        <v>1.558479E7</v>
      </c>
      <c r="B1010" s="2" t="s">
        <v>3885</v>
      </c>
      <c r="C1010" s="2" t="s">
        <v>17</v>
      </c>
      <c r="D1010" s="2" t="s">
        <v>57</v>
      </c>
      <c r="E1010" s="2" t="s">
        <v>3886</v>
      </c>
      <c r="F1010" s="2" t="s">
        <v>3886</v>
      </c>
      <c r="G1010" s="2" t="s">
        <v>3887</v>
      </c>
      <c r="H1010" s="2" t="s">
        <v>127</v>
      </c>
      <c r="I1010" s="2" t="s">
        <v>2718</v>
      </c>
      <c r="J1010" s="2" t="s">
        <v>62</v>
      </c>
      <c r="K1010" s="2" t="s">
        <v>24</v>
      </c>
      <c r="L1010" s="7">
        <v>45938.0</v>
      </c>
      <c r="M1010" s="2" t="s">
        <v>48</v>
      </c>
      <c r="N1010" s="2" t="s">
        <v>35</v>
      </c>
      <c r="O1010" s="2" t="s">
        <v>27</v>
      </c>
      <c r="P1010" s="2" t="s">
        <v>28</v>
      </c>
    </row>
    <row r="1011" ht="14.25" customHeight="1">
      <c r="A1011" s="6">
        <v>1.9799279E7</v>
      </c>
      <c r="B1011" s="2" t="s">
        <v>3888</v>
      </c>
      <c r="C1011" s="2" t="s">
        <v>17</v>
      </c>
      <c r="D1011" s="2" t="s">
        <v>88</v>
      </c>
      <c r="E1011" s="2" t="s">
        <v>3889</v>
      </c>
      <c r="F1011" s="2" t="s">
        <v>3889</v>
      </c>
      <c r="G1011" s="2" t="s">
        <v>3890</v>
      </c>
      <c r="H1011" s="2" t="s">
        <v>127</v>
      </c>
      <c r="I1011" s="2" t="s">
        <v>2718</v>
      </c>
      <c r="J1011" s="2" t="s">
        <v>62</v>
      </c>
      <c r="K1011" s="2" t="s">
        <v>24</v>
      </c>
      <c r="L1011" s="7">
        <v>45938.0</v>
      </c>
      <c r="M1011" s="2" t="s">
        <v>48</v>
      </c>
      <c r="N1011" s="2" t="s">
        <v>35</v>
      </c>
      <c r="O1011" s="2" t="s">
        <v>27</v>
      </c>
      <c r="P1011" s="2" t="s">
        <v>28</v>
      </c>
    </row>
    <row r="1012" ht="14.25" customHeight="1">
      <c r="A1012" s="6">
        <v>1.7608363E7</v>
      </c>
      <c r="B1012" s="2" t="s">
        <v>3891</v>
      </c>
      <c r="C1012" s="2" t="s">
        <v>17</v>
      </c>
      <c r="D1012" s="2" t="s">
        <v>18</v>
      </c>
      <c r="E1012" s="2" t="s">
        <v>3892</v>
      </c>
      <c r="F1012" s="2" t="s">
        <v>3892</v>
      </c>
      <c r="G1012" s="2" t="s">
        <v>3893</v>
      </c>
      <c r="H1012" s="2" t="s">
        <v>127</v>
      </c>
      <c r="I1012" s="2" t="s">
        <v>135</v>
      </c>
      <c r="J1012" s="2" t="s">
        <v>62</v>
      </c>
      <c r="K1012" s="2" t="s">
        <v>24</v>
      </c>
      <c r="L1012" s="7">
        <v>45938.0</v>
      </c>
      <c r="M1012" s="2" t="s">
        <v>48</v>
      </c>
      <c r="N1012" s="2" t="s">
        <v>35</v>
      </c>
      <c r="O1012" s="2" t="s">
        <v>27</v>
      </c>
      <c r="P1012" s="2" t="s">
        <v>28</v>
      </c>
    </row>
    <row r="1013" ht="14.25" customHeight="1">
      <c r="A1013" s="6">
        <v>1.5192693E7</v>
      </c>
      <c r="B1013" s="2" t="s">
        <v>3894</v>
      </c>
      <c r="C1013" s="2" t="s">
        <v>17</v>
      </c>
      <c r="D1013" s="2" t="s">
        <v>18</v>
      </c>
      <c r="E1013" s="2" t="s">
        <v>3895</v>
      </c>
      <c r="F1013" s="2" t="s">
        <v>3895</v>
      </c>
      <c r="G1013" s="2" t="s">
        <v>3896</v>
      </c>
      <c r="H1013" s="2" t="s">
        <v>127</v>
      </c>
      <c r="I1013" s="2" t="s">
        <v>128</v>
      </c>
      <c r="J1013" s="2" t="s">
        <v>62</v>
      </c>
      <c r="K1013" s="2" t="s">
        <v>24</v>
      </c>
      <c r="L1013" s="7">
        <v>45939.0</v>
      </c>
      <c r="M1013" s="2" t="s">
        <v>48</v>
      </c>
      <c r="N1013" s="2" t="s">
        <v>35</v>
      </c>
      <c r="O1013" s="2" t="s">
        <v>27</v>
      </c>
      <c r="P1013" s="2" t="s">
        <v>28</v>
      </c>
    </row>
    <row r="1014" ht="14.25" customHeight="1">
      <c r="A1014" s="6">
        <v>1.9637743E7</v>
      </c>
      <c r="B1014" s="2" t="s">
        <v>3897</v>
      </c>
      <c r="C1014" s="2" t="s">
        <v>17</v>
      </c>
      <c r="D1014" s="2" t="s">
        <v>18</v>
      </c>
      <c r="E1014" s="2" t="s">
        <v>3898</v>
      </c>
      <c r="F1014" s="2" t="s">
        <v>3898</v>
      </c>
      <c r="G1014" s="2" t="s">
        <v>3899</v>
      </c>
      <c r="H1014" s="2" t="s">
        <v>127</v>
      </c>
      <c r="I1014" s="2" t="s">
        <v>135</v>
      </c>
      <c r="J1014" s="2" t="s">
        <v>62</v>
      </c>
      <c r="K1014" s="2" t="s">
        <v>24</v>
      </c>
      <c r="L1014" s="7">
        <v>45938.0</v>
      </c>
      <c r="M1014" s="2" t="s">
        <v>48</v>
      </c>
      <c r="N1014" s="2" t="s">
        <v>35</v>
      </c>
      <c r="O1014" s="2" t="s">
        <v>27</v>
      </c>
      <c r="P1014" s="2" t="s">
        <v>28</v>
      </c>
    </row>
    <row r="1015" ht="14.25" customHeight="1">
      <c r="A1015" s="6">
        <v>2.0014152E7</v>
      </c>
      <c r="B1015" s="2" t="s">
        <v>3900</v>
      </c>
      <c r="C1015" s="2" t="s">
        <v>17</v>
      </c>
      <c r="D1015" s="2" t="s">
        <v>38</v>
      </c>
      <c r="E1015" s="2" t="s">
        <v>3901</v>
      </c>
      <c r="F1015" s="2" t="s">
        <v>3901</v>
      </c>
      <c r="G1015" s="2" t="s">
        <v>3902</v>
      </c>
      <c r="H1015" s="2" t="s">
        <v>127</v>
      </c>
      <c r="I1015" s="2" t="s">
        <v>2599</v>
      </c>
      <c r="J1015" s="2" t="s">
        <v>62</v>
      </c>
      <c r="K1015" s="2" t="s">
        <v>24</v>
      </c>
      <c r="L1015" s="7">
        <v>45940.0</v>
      </c>
      <c r="M1015" s="2" t="s">
        <v>48</v>
      </c>
      <c r="N1015" s="2" t="s">
        <v>35</v>
      </c>
      <c r="O1015" s="2" t="s">
        <v>27</v>
      </c>
      <c r="P1015" s="2" t="s">
        <v>28</v>
      </c>
    </row>
    <row r="1016" ht="14.25" customHeight="1">
      <c r="A1016" s="6">
        <v>8843670.0</v>
      </c>
      <c r="B1016" s="2" t="s">
        <v>3903</v>
      </c>
      <c r="C1016" s="2" t="s">
        <v>17</v>
      </c>
      <c r="D1016" s="2" t="s">
        <v>167</v>
      </c>
      <c r="E1016" s="2" t="s">
        <v>3904</v>
      </c>
      <c r="F1016" s="2" t="s">
        <v>3904</v>
      </c>
      <c r="G1016" s="2" t="s">
        <v>3905</v>
      </c>
      <c r="H1016" s="2" t="s">
        <v>127</v>
      </c>
      <c r="I1016" s="2" t="s">
        <v>2599</v>
      </c>
      <c r="J1016" s="2" t="s">
        <v>62</v>
      </c>
      <c r="K1016" s="2" t="s">
        <v>24</v>
      </c>
      <c r="L1016" s="7">
        <v>45940.0</v>
      </c>
      <c r="M1016" s="2" t="s">
        <v>48</v>
      </c>
      <c r="N1016" s="2" t="s">
        <v>35</v>
      </c>
      <c r="O1016" s="2" t="s">
        <v>27</v>
      </c>
      <c r="P1016" s="2" t="s">
        <v>28</v>
      </c>
    </row>
    <row r="1017" ht="14.25" customHeight="1">
      <c r="A1017" s="6">
        <v>1.8882668E7</v>
      </c>
      <c r="B1017" s="2" t="s">
        <v>3906</v>
      </c>
      <c r="C1017" s="2" t="s">
        <v>17</v>
      </c>
      <c r="D1017" s="2" t="s">
        <v>88</v>
      </c>
      <c r="E1017" s="2" t="s">
        <v>3907</v>
      </c>
      <c r="F1017" s="2" t="s">
        <v>3907</v>
      </c>
      <c r="G1017" s="2" t="s">
        <v>3908</v>
      </c>
      <c r="H1017" s="2" t="s">
        <v>127</v>
      </c>
      <c r="I1017" s="2" t="s">
        <v>2599</v>
      </c>
      <c r="J1017" s="2" t="s">
        <v>62</v>
      </c>
      <c r="K1017" s="2" t="s">
        <v>24</v>
      </c>
      <c r="L1017" s="7">
        <v>45940.0</v>
      </c>
      <c r="M1017" s="2" t="s">
        <v>48</v>
      </c>
      <c r="N1017" s="2" t="s">
        <v>35</v>
      </c>
      <c r="O1017" s="2" t="s">
        <v>27</v>
      </c>
      <c r="P1017" s="2" t="s">
        <v>28</v>
      </c>
    </row>
    <row r="1018" ht="14.25" customHeight="1">
      <c r="A1018" s="6">
        <v>2.1097084E7</v>
      </c>
      <c r="B1018" s="2" t="s">
        <v>3909</v>
      </c>
      <c r="C1018" s="2" t="s">
        <v>17</v>
      </c>
      <c r="D1018" s="2" t="s">
        <v>167</v>
      </c>
      <c r="E1018" s="2" t="s">
        <v>3910</v>
      </c>
      <c r="F1018" s="2" t="s">
        <v>3910</v>
      </c>
      <c r="G1018" s="2" t="s">
        <v>3911</v>
      </c>
      <c r="H1018" s="2" t="s">
        <v>127</v>
      </c>
      <c r="I1018" s="2" t="s">
        <v>2591</v>
      </c>
      <c r="J1018" s="2" t="s">
        <v>62</v>
      </c>
      <c r="K1018" s="2" t="s">
        <v>24</v>
      </c>
      <c r="L1018" s="7">
        <v>45940.0</v>
      </c>
      <c r="M1018" s="2" t="s">
        <v>48</v>
      </c>
      <c r="N1018" s="2" t="s">
        <v>35</v>
      </c>
      <c r="O1018" s="2" t="s">
        <v>27</v>
      </c>
      <c r="P1018" s="2" t="s">
        <v>28</v>
      </c>
    </row>
    <row r="1019" ht="14.25" customHeight="1">
      <c r="A1019" s="6">
        <v>1.9121833E7</v>
      </c>
      <c r="B1019" s="2" t="s">
        <v>3912</v>
      </c>
      <c r="C1019" s="2" t="s">
        <v>17</v>
      </c>
      <c r="D1019" s="2" t="s">
        <v>38</v>
      </c>
      <c r="E1019" s="2" t="s">
        <v>3913</v>
      </c>
      <c r="F1019" s="2" t="s">
        <v>3913</v>
      </c>
      <c r="G1019" s="2" t="s">
        <v>3914</v>
      </c>
      <c r="H1019" s="2" t="s">
        <v>127</v>
      </c>
      <c r="I1019" s="2" t="s">
        <v>2591</v>
      </c>
      <c r="J1019" s="2" t="s">
        <v>62</v>
      </c>
      <c r="K1019" s="2" t="s">
        <v>24</v>
      </c>
      <c r="L1019" s="7">
        <v>45940.0</v>
      </c>
      <c r="M1019" s="2" t="s">
        <v>48</v>
      </c>
      <c r="N1019" s="2" t="s">
        <v>35</v>
      </c>
      <c r="O1019" s="2" t="s">
        <v>27</v>
      </c>
      <c r="P1019" s="2" t="s">
        <v>28</v>
      </c>
    </row>
    <row r="1020" ht="14.25" customHeight="1">
      <c r="A1020" s="6">
        <v>1.9511565E7</v>
      </c>
      <c r="B1020" s="2" t="s">
        <v>3915</v>
      </c>
      <c r="C1020" s="2" t="s">
        <v>17</v>
      </c>
      <c r="D1020" s="2" t="s">
        <v>88</v>
      </c>
      <c r="E1020" s="2" t="s">
        <v>3916</v>
      </c>
      <c r="F1020" s="2" t="s">
        <v>3916</v>
      </c>
      <c r="G1020" s="2" t="s">
        <v>3917</v>
      </c>
      <c r="H1020" s="2" t="s">
        <v>127</v>
      </c>
      <c r="I1020" s="2" t="s">
        <v>2599</v>
      </c>
      <c r="J1020" s="2" t="s">
        <v>62</v>
      </c>
      <c r="K1020" s="2" t="s">
        <v>24</v>
      </c>
      <c r="L1020" s="7">
        <v>45940.0</v>
      </c>
      <c r="M1020" s="2" t="s">
        <v>48</v>
      </c>
      <c r="N1020" s="2" t="s">
        <v>35</v>
      </c>
      <c r="O1020" s="2" t="s">
        <v>27</v>
      </c>
      <c r="P1020" s="2" t="s">
        <v>28</v>
      </c>
    </row>
    <row r="1021" ht="14.25" customHeight="1">
      <c r="A1021" s="6">
        <v>1.3391947E7</v>
      </c>
      <c r="B1021" s="2" t="s">
        <v>3918</v>
      </c>
      <c r="C1021" s="2" t="s">
        <v>17</v>
      </c>
      <c r="D1021" s="2" t="s">
        <v>167</v>
      </c>
      <c r="E1021" s="2" t="s">
        <v>3919</v>
      </c>
      <c r="F1021" s="2" t="s">
        <v>3919</v>
      </c>
      <c r="G1021" s="2" t="s">
        <v>3920</v>
      </c>
      <c r="H1021" s="2" t="s">
        <v>127</v>
      </c>
      <c r="I1021" s="2" t="s">
        <v>2608</v>
      </c>
      <c r="J1021" s="2" t="s">
        <v>62</v>
      </c>
      <c r="K1021" s="2" t="s">
        <v>24</v>
      </c>
      <c r="L1021" s="7">
        <v>45940.0</v>
      </c>
      <c r="M1021" s="2" t="s">
        <v>48</v>
      </c>
      <c r="N1021" s="2" t="s">
        <v>35</v>
      </c>
      <c r="O1021" s="2" t="s">
        <v>27</v>
      </c>
      <c r="P1021" s="2" t="s">
        <v>28</v>
      </c>
    </row>
    <row r="1022" ht="14.25" customHeight="1">
      <c r="A1022" s="6">
        <v>2.0823341E7</v>
      </c>
      <c r="B1022" s="2" t="s">
        <v>3921</v>
      </c>
      <c r="C1022" s="2" t="s">
        <v>17</v>
      </c>
      <c r="D1022" s="2" t="s">
        <v>38</v>
      </c>
      <c r="E1022" s="2" t="s">
        <v>3922</v>
      </c>
      <c r="F1022" s="2" t="s">
        <v>3922</v>
      </c>
      <c r="G1022" s="2" t="s">
        <v>3923</v>
      </c>
      <c r="H1022" s="2" t="s">
        <v>127</v>
      </c>
      <c r="I1022" s="2" t="s">
        <v>2599</v>
      </c>
      <c r="J1022" s="2" t="s">
        <v>62</v>
      </c>
      <c r="K1022" s="2" t="s">
        <v>24</v>
      </c>
      <c r="L1022" s="7">
        <v>45940.0</v>
      </c>
      <c r="M1022" s="2" t="s">
        <v>48</v>
      </c>
      <c r="N1022" s="2" t="s">
        <v>35</v>
      </c>
      <c r="O1022" s="2" t="s">
        <v>27</v>
      </c>
      <c r="P1022" s="2" t="s">
        <v>28</v>
      </c>
    </row>
    <row r="1023" ht="14.25" customHeight="1">
      <c r="A1023" s="6">
        <v>2.0512791E7</v>
      </c>
      <c r="B1023" s="2" t="s">
        <v>3924</v>
      </c>
      <c r="C1023" s="2" t="s">
        <v>17</v>
      </c>
      <c r="D1023" s="2" t="s">
        <v>88</v>
      </c>
      <c r="E1023" s="2" t="s">
        <v>3925</v>
      </c>
      <c r="F1023" s="2" t="s">
        <v>3925</v>
      </c>
      <c r="G1023" s="2" t="s">
        <v>3926</v>
      </c>
      <c r="H1023" s="2" t="s">
        <v>127</v>
      </c>
      <c r="I1023" s="2" t="s">
        <v>2591</v>
      </c>
      <c r="J1023" s="2" t="s">
        <v>62</v>
      </c>
      <c r="K1023" s="2" t="s">
        <v>24</v>
      </c>
      <c r="L1023" s="7">
        <v>45940.0</v>
      </c>
      <c r="M1023" s="2" t="s">
        <v>48</v>
      </c>
      <c r="N1023" s="2" t="s">
        <v>35</v>
      </c>
      <c r="O1023" s="2" t="s">
        <v>27</v>
      </c>
      <c r="P1023" s="2" t="s">
        <v>28</v>
      </c>
    </row>
    <row r="1024" ht="14.25" customHeight="1">
      <c r="A1024" s="6">
        <v>1.2918411E7</v>
      </c>
      <c r="B1024" s="2" t="s">
        <v>3927</v>
      </c>
      <c r="C1024" s="2" t="s">
        <v>17</v>
      </c>
      <c r="D1024" s="2" t="s">
        <v>88</v>
      </c>
      <c r="E1024" s="2" t="s">
        <v>3928</v>
      </c>
      <c r="F1024" s="2" t="s">
        <v>3928</v>
      </c>
      <c r="G1024" s="2" t="s">
        <v>3929</v>
      </c>
      <c r="H1024" s="2" t="s">
        <v>127</v>
      </c>
      <c r="I1024" s="2" t="s">
        <v>2608</v>
      </c>
      <c r="J1024" s="2" t="s">
        <v>62</v>
      </c>
      <c r="K1024" s="2" t="s">
        <v>24</v>
      </c>
      <c r="L1024" s="7">
        <v>45940.0</v>
      </c>
      <c r="M1024" s="2" t="s">
        <v>48</v>
      </c>
      <c r="N1024" s="2" t="s">
        <v>35</v>
      </c>
      <c r="O1024" s="2" t="s">
        <v>27</v>
      </c>
      <c r="P1024" s="2" t="s">
        <v>28</v>
      </c>
    </row>
    <row r="1025" ht="14.25" customHeight="1">
      <c r="A1025" s="6">
        <v>1.2100433E7</v>
      </c>
      <c r="B1025" s="2" t="s">
        <v>3930</v>
      </c>
      <c r="C1025" s="2" t="s">
        <v>17</v>
      </c>
      <c r="D1025" s="2" t="s">
        <v>167</v>
      </c>
      <c r="E1025" s="2" t="s">
        <v>3931</v>
      </c>
      <c r="F1025" s="2" t="s">
        <v>3931</v>
      </c>
      <c r="G1025" s="2" t="s">
        <v>3932</v>
      </c>
      <c r="H1025" s="2" t="s">
        <v>127</v>
      </c>
      <c r="I1025" s="2" t="s">
        <v>2591</v>
      </c>
      <c r="J1025" s="2" t="s">
        <v>62</v>
      </c>
      <c r="K1025" s="2" t="s">
        <v>24</v>
      </c>
      <c r="L1025" s="7">
        <v>45940.0</v>
      </c>
      <c r="M1025" s="2" t="s">
        <v>48</v>
      </c>
      <c r="N1025" s="2" t="s">
        <v>35</v>
      </c>
      <c r="O1025" s="2" t="s">
        <v>27</v>
      </c>
      <c r="P1025" s="2" t="s">
        <v>28</v>
      </c>
    </row>
    <row r="1026" ht="14.25" customHeight="1">
      <c r="A1026" s="6">
        <v>1.6283369E7</v>
      </c>
      <c r="B1026" s="2" t="s">
        <v>3933</v>
      </c>
      <c r="C1026" s="2" t="s">
        <v>17</v>
      </c>
      <c r="D1026" s="2" t="s">
        <v>167</v>
      </c>
      <c r="E1026" s="2" t="s">
        <v>3934</v>
      </c>
      <c r="F1026" s="2" t="s">
        <v>3934</v>
      </c>
      <c r="G1026" s="2" t="s">
        <v>3935</v>
      </c>
      <c r="H1026" s="2" t="s">
        <v>127</v>
      </c>
      <c r="I1026" s="2" t="s">
        <v>2591</v>
      </c>
      <c r="J1026" s="2" t="s">
        <v>62</v>
      </c>
      <c r="K1026" s="2" t="s">
        <v>24</v>
      </c>
      <c r="L1026" s="7">
        <v>45940.0</v>
      </c>
      <c r="M1026" s="2" t="s">
        <v>48</v>
      </c>
      <c r="N1026" s="2" t="s">
        <v>35</v>
      </c>
      <c r="O1026" s="2" t="s">
        <v>27</v>
      </c>
      <c r="P1026" s="2" t="s">
        <v>28</v>
      </c>
    </row>
    <row r="1027" ht="14.25" customHeight="1">
      <c r="A1027" s="6">
        <v>9694980.0</v>
      </c>
      <c r="B1027" s="2" t="s">
        <v>3936</v>
      </c>
      <c r="C1027" s="2" t="s">
        <v>17</v>
      </c>
      <c r="D1027" s="2" t="s">
        <v>57</v>
      </c>
      <c r="E1027" s="2" t="s">
        <v>3937</v>
      </c>
      <c r="F1027" s="2" t="s">
        <v>3937</v>
      </c>
      <c r="G1027" s="2" t="s">
        <v>3938</v>
      </c>
      <c r="H1027" s="2" t="s">
        <v>127</v>
      </c>
      <c r="I1027" s="2" t="s">
        <v>2608</v>
      </c>
      <c r="J1027" s="2" t="s">
        <v>62</v>
      </c>
      <c r="K1027" s="2" t="s">
        <v>24</v>
      </c>
      <c r="L1027" s="7">
        <v>45940.0</v>
      </c>
      <c r="M1027" s="2" t="s">
        <v>48</v>
      </c>
      <c r="N1027" s="2" t="s">
        <v>35</v>
      </c>
      <c r="O1027" s="2" t="s">
        <v>27</v>
      </c>
      <c r="P1027" s="2" t="s">
        <v>28</v>
      </c>
    </row>
    <row r="1028" ht="14.25" customHeight="1">
      <c r="A1028" s="6">
        <v>1.1739818E7</v>
      </c>
      <c r="B1028" s="2" t="s">
        <v>3939</v>
      </c>
      <c r="C1028" s="2" t="s">
        <v>17</v>
      </c>
      <c r="D1028" s="2" t="s">
        <v>167</v>
      </c>
      <c r="E1028" s="2" t="s">
        <v>3940</v>
      </c>
      <c r="F1028" s="2" t="s">
        <v>3940</v>
      </c>
      <c r="G1028" s="2" t="s">
        <v>3941</v>
      </c>
      <c r="H1028" s="2" t="s">
        <v>127</v>
      </c>
      <c r="I1028" s="2" t="s">
        <v>2599</v>
      </c>
      <c r="J1028" s="2" t="s">
        <v>62</v>
      </c>
      <c r="K1028" s="2" t="s">
        <v>24</v>
      </c>
      <c r="L1028" s="7">
        <v>45940.0</v>
      </c>
      <c r="M1028" s="2" t="s">
        <v>48</v>
      </c>
      <c r="N1028" s="2" t="s">
        <v>35</v>
      </c>
      <c r="O1028" s="2" t="s">
        <v>27</v>
      </c>
      <c r="P1028" s="2" t="s">
        <v>28</v>
      </c>
    </row>
    <row r="1029" ht="14.25" customHeight="1">
      <c r="A1029" s="6">
        <v>1.5962842E7</v>
      </c>
      <c r="B1029" s="2" t="s">
        <v>3942</v>
      </c>
      <c r="C1029" s="2" t="s">
        <v>17</v>
      </c>
      <c r="D1029" s="2" t="s">
        <v>88</v>
      </c>
      <c r="E1029" s="2" t="s">
        <v>3943</v>
      </c>
      <c r="F1029" s="2" t="s">
        <v>3943</v>
      </c>
      <c r="G1029" s="2" t="s">
        <v>3944</v>
      </c>
      <c r="H1029" s="2" t="s">
        <v>127</v>
      </c>
      <c r="I1029" s="2" t="s">
        <v>2591</v>
      </c>
      <c r="J1029" s="2" t="s">
        <v>62</v>
      </c>
      <c r="K1029" s="2" t="s">
        <v>24</v>
      </c>
      <c r="L1029" s="7">
        <v>45940.0</v>
      </c>
      <c r="M1029" s="2" t="s">
        <v>48</v>
      </c>
      <c r="N1029" s="2" t="s">
        <v>35</v>
      </c>
      <c r="O1029" s="2" t="s">
        <v>27</v>
      </c>
      <c r="P1029" s="2" t="s">
        <v>28</v>
      </c>
    </row>
    <row r="1030" ht="14.25" customHeight="1">
      <c r="A1030" s="6">
        <v>2.4827079E7</v>
      </c>
      <c r="B1030" s="2" t="s">
        <v>3945</v>
      </c>
      <c r="C1030" s="2" t="s">
        <v>17</v>
      </c>
      <c r="D1030" s="2" t="s">
        <v>57</v>
      </c>
      <c r="E1030" s="2" t="s">
        <v>3946</v>
      </c>
      <c r="F1030" s="2" t="s">
        <v>3946</v>
      </c>
      <c r="G1030" s="2" t="s">
        <v>3947</v>
      </c>
      <c r="H1030" s="2" t="s">
        <v>127</v>
      </c>
      <c r="I1030" s="2" t="s">
        <v>2591</v>
      </c>
      <c r="J1030" s="2" t="s">
        <v>62</v>
      </c>
      <c r="K1030" s="2" t="s">
        <v>24</v>
      </c>
      <c r="L1030" s="7">
        <v>45940.0</v>
      </c>
      <c r="M1030" s="2" t="s">
        <v>48</v>
      </c>
      <c r="N1030" s="2" t="s">
        <v>35</v>
      </c>
      <c r="O1030" s="2" t="s">
        <v>27</v>
      </c>
      <c r="P1030" s="2" t="s">
        <v>28</v>
      </c>
    </row>
    <row r="1031" ht="14.25" customHeight="1">
      <c r="A1031" s="6">
        <v>1.7540924E7</v>
      </c>
      <c r="B1031" s="2" t="s">
        <v>3948</v>
      </c>
      <c r="C1031" s="2" t="s">
        <v>17</v>
      </c>
      <c r="D1031" s="2" t="s">
        <v>88</v>
      </c>
      <c r="E1031" s="2" t="s">
        <v>3949</v>
      </c>
      <c r="F1031" s="2" t="s">
        <v>3949</v>
      </c>
      <c r="G1031" s="2" t="s">
        <v>3950</v>
      </c>
      <c r="H1031" s="2" t="s">
        <v>127</v>
      </c>
      <c r="I1031" s="2" t="s">
        <v>2608</v>
      </c>
      <c r="J1031" s="2" t="s">
        <v>62</v>
      </c>
      <c r="K1031" s="2" t="s">
        <v>24</v>
      </c>
      <c r="L1031" s="7">
        <v>45940.0</v>
      </c>
      <c r="M1031" s="2" t="s">
        <v>48</v>
      </c>
      <c r="N1031" s="2" t="s">
        <v>35</v>
      </c>
      <c r="O1031" s="2" t="s">
        <v>27</v>
      </c>
      <c r="P1031" s="2" t="s">
        <v>28</v>
      </c>
    </row>
    <row r="1032" ht="14.25" customHeight="1">
      <c r="A1032" s="6">
        <v>1.595517E7</v>
      </c>
      <c r="B1032" s="2" t="s">
        <v>3951</v>
      </c>
      <c r="C1032" s="2" t="s">
        <v>17</v>
      </c>
      <c r="D1032" s="2" t="s">
        <v>57</v>
      </c>
      <c r="E1032" s="2" t="s">
        <v>3952</v>
      </c>
      <c r="F1032" s="2" t="s">
        <v>3952</v>
      </c>
      <c r="G1032" s="2" t="s">
        <v>3953</v>
      </c>
      <c r="H1032" s="2" t="s">
        <v>127</v>
      </c>
      <c r="I1032" s="2" t="s">
        <v>2608</v>
      </c>
      <c r="J1032" s="2" t="s">
        <v>62</v>
      </c>
      <c r="K1032" s="2" t="s">
        <v>24</v>
      </c>
      <c r="L1032" s="7">
        <v>45940.0</v>
      </c>
      <c r="M1032" s="2" t="s">
        <v>48</v>
      </c>
      <c r="N1032" s="2" t="s">
        <v>35</v>
      </c>
      <c r="O1032" s="2" t="s">
        <v>27</v>
      </c>
      <c r="P1032" s="2" t="s">
        <v>28</v>
      </c>
    </row>
    <row r="1033" ht="14.25" customHeight="1">
      <c r="A1033" s="6">
        <v>1.384877E7</v>
      </c>
      <c r="B1033" s="2" t="s">
        <v>3954</v>
      </c>
      <c r="C1033" s="2" t="s">
        <v>17</v>
      </c>
      <c r="D1033" s="2" t="s">
        <v>831</v>
      </c>
      <c r="E1033" s="2" t="s">
        <v>3955</v>
      </c>
      <c r="F1033" s="2" t="s">
        <v>3955</v>
      </c>
      <c r="G1033" s="2" t="s">
        <v>3956</v>
      </c>
      <c r="H1033" s="2" t="s">
        <v>127</v>
      </c>
      <c r="I1033" s="2" t="s">
        <v>2599</v>
      </c>
      <c r="J1033" s="2" t="s">
        <v>62</v>
      </c>
      <c r="K1033" s="2" t="s">
        <v>24</v>
      </c>
      <c r="L1033" s="7">
        <v>45940.0</v>
      </c>
      <c r="M1033" s="2" t="s">
        <v>48</v>
      </c>
      <c r="N1033" s="2" t="s">
        <v>35</v>
      </c>
      <c r="O1033" s="2" t="s">
        <v>27</v>
      </c>
      <c r="P1033" s="2" t="s">
        <v>28</v>
      </c>
    </row>
    <row r="1034" ht="14.25" customHeight="1">
      <c r="A1034" s="6">
        <v>1.7640624E7</v>
      </c>
      <c r="B1034" s="2" t="s">
        <v>3957</v>
      </c>
      <c r="C1034" s="2" t="s">
        <v>17</v>
      </c>
      <c r="D1034" s="2" t="s">
        <v>167</v>
      </c>
      <c r="E1034" s="2" t="s">
        <v>3958</v>
      </c>
      <c r="F1034" s="2" t="s">
        <v>3958</v>
      </c>
      <c r="G1034" s="2" t="s">
        <v>3959</v>
      </c>
      <c r="H1034" s="2" t="s">
        <v>127</v>
      </c>
      <c r="I1034" s="2" t="s">
        <v>2591</v>
      </c>
      <c r="J1034" s="2" t="s">
        <v>62</v>
      </c>
      <c r="K1034" s="2" t="s">
        <v>24</v>
      </c>
      <c r="L1034" s="7">
        <v>45940.0</v>
      </c>
      <c r="M1034" s="2" t="s">
        <v>48</v>
      </c>
      <c r="N1034" s="2" t="s">
        <v>35</v>
      </c>
      <c r="O1034" s="2" t="s">
        <v>27</v>
      </c>
      <c r="P1034" s="2" t="s">
        <v>28</v>
      </c>
    </row>
    <row r="1035" ht="14.25" customHeight="1">
      <c r="A1035" s="6">
        <v>1.7042058E7</v>
      </c>
      <c r="B1035" s="2" t="s">
        <v>3960</v>
      </c>
      <c r="C1035" s="2" t="s">
        <v>17</v>
      </c>
      <c r="D1035" s="2" t="s">
        <v>167</v>
      </c>
      <c r="E1035" s="2" t="s">
        <v>3961</v>
      </c>
      <c r="F1035" s="2" t="s">
        <v>3961</v>
      </c>
      <c r="G1035" s="2" t="s">
        <v>3962</v>
      </c>
      <c r="H1035" s="2" t="s">
        <v>127</v>
      </c>
      <c r="I1035" s="2" t="s">
        <v>2591</v>
      </c>
      <c r="J1035" s="2" t="s">
        <v>62</v>
      </c>
      <c r="K1035" s="2" t="s">
        <v>24</v>
      </c>
      <c r="L1035" s="7">
        <v>45940.0</v>
      </c>
      <c r="M1035" s="2" t="s">
        <v>48</v>
      </c>
      <c r="N1035" s="2" t="s">
        <v>35</v>
      </c>
      <c r="O1035" s="2" t="s">
        <v>27</v>
      </c>
      <c r="P1035" s="2" t="s">
        <v>28</v>
      </c>
    </row>
    <row r="1036" ht="14.25" customHeight="1">
      <c r="A1036" s="6">
        <v>2.1507613E7</v>
      </c>
      <c r="B1036" s="2" t="s">
        <v>3963</v>
      </c>
      <c r="C1036" s="2" t="s">
        <v>17</v>
      </c>
      <c r="D1036" s="2" t="s">
        <v>38</v>
      </c>
      <c r="E1036" s="2" t="s">
        <v>3964</v>
      </c>
      <c r="F1036" s="2" t="s">
        <v>3964</v>
      </c>
      <c r="G1036" s="2" t="s">
        <v>3965</v>
      </c>
      <c r="H1036" s="2" t="s">
        <v>127</v>
      </c>
      <c r="I1036" s="2" t="s">
        <v>2591</v>
      </c>
      <c r="J1036" s="2" t="s">
        <v>62</v>
      </c>
      <c r="K1036" s="2" t="s">
        <v>24</v>
      </c>
      <c r="L1036" s="7">
        <v>45940.0</v>
      </c>
      <c r="M1036" s="2" t="s">
        <v>48</v>
      </c>
      <c r="N1036" s="2" t="s">
        <v>35</v>
      </c>
      <c r="O1036" s="2" t="s">
        <v>27</v>
      </c>
      <c r="P1036" s="2" t="s">
        <v>28</v>
      </c>
    </row>
    <row r="1037" ht="14.25" customHeight="1">
      <c r="A1037" s="6">
        <v>1.2303422E7</v>
      </c>
      <c r="B1037" s="2" t="s">
        <v>3966</v>
      </c>
      <c r="C1037" s="2" t="s">
        <v>17</v>
      </c>
      <c r="D1037" s="2" t="s">
        <v>167</v>
      </c>
      <c r="E1037" s="2" t="s">
        <v>3967</v>
      </c>
      <c r="F1037" s="2" t="s">
        <v>3967</v>
      </c>
      <c r="G1037" s="2" t="s">
        <v>3968</v>
      </c>
      <c r="H1037" s="2" t="s">
        <v>127</v>
      </c>
      <c r="I1037" s="2" t="s">
        <v>2599</v>
      </c>
      <c r="J1037" s="2" t="s">
        <v>62</v>
      </c>
      <c r="K1037" s="2" t="s">
        <v>24</v>
      </c>
      <c r="L1037" s="7">
        <v>45940.0</v>
      </c>
      <c r="M1037" s="2" t="s">
        <v>48</v>
      </c>
      <c r="N1037" s="2" t="s">
        <v>35</v>
      </c>
      <c r="O1037" s="2" t="s">
        <v>27</v>
      </c>
      <c r="P1037" s="2" t="s">
        <v>28</v>
      </c>
    </row>
    <row r="1038" ht="14.25" customHeight="1">
      <c r="A1038" s="6">
        <v>1.9799355E7</v>
      </c>
      <c r="B1038" s="2" t="s">
        <v>3969</v>
      </c>
      <c r="C1038" s="2" t="s">
        <v>17</v>
      </c>
      <c r="D1038" s="2" t="s">
        <v>38</v>
      </c>
      <c r="E1038" s="2" t="s">
        <v>3970</v>
      </c>
      <c r="F1038" s="2" t="s">
        <v>3970</v>
      </c>
      <c r="G1038" s="2" t="s">
        <v>3971</v>
      </c>
      <c r="H1038" s="2" t="s">
        <v>127</v>
      </c>
      <c r="I1038" s="2" t="s">
        <v>2608</v>
      </c>
      <c r="J1038" s="2" t="s">
        <v>62</v>
      </c>
      <c r="K1038" s="2" t="s">
        <v>24</v>
      </c>
      <c r="L1038" s="7">
        <v>45940.0</v>
      </c>
      <c r="M1038" s="2" t="s">
        <v>48</v>
      </c>
      <c r="N1038" s="2" t="s">
        <v>35</v>
      </c>
      <c r="O1038" s="2" t="s">
        <v>27</v>
      </c>
      <c r="P1038" s="2" t="s">
        <v>28</v>
      </c>
    </row>
    <row r="1039" ht="14.25" customHeight="1">
      <c r="A1039" s="6">
        <v>1.4391763E7</v>
      </c>
      <c r="B1039" s="2" t="s">
        <v>3972</v>
      </c>
      <c r="C1039" s="2" t="s">
        <v>17</v>
      </c>
      <c r="D1039" s="2" t="s">
        <v>57</v>
      </c>
      <c r="E1039" s="2" t="s">
        <v>3973</v>
      </c>
      <c r="F1039" s="2" t="s">
        <v>3973</v>
      </c>
      <c r="G1039" s="2" t="s">
        <v>3974</v>
      </c>
      <c r="H1039" s="2" t="s">
        <v>127</v>
      </c>
      <c r="I1039" s="2" t="s">
        <v>2591</v>
      </c>
      <c r="J1039" s="2" t="s">
        <v>62</v>
      </c>
      <c r="K1039" s="2" t="s">
        <v>24</v>
      </c>
      <c r="L1039" s="7">
        <v>45940.0</v>
      </c>
      <c r="M1039" s="2" t="s">
        <v>48</v>
      </c>
      <c r="N1039" s="2" t="s">
        <v>35</v>
      </c>
      <c r="O1039" s="2" t="s">
        <v>27</v>
      </c>
      <c r="P1039" s="2" t="s">
        <v>28</v>
      </c>
    </row>
    <row r="1040" ht="14.25" customHeight="1">
      <c r="A1040" s="6">
        <v>1.7221745E7</v>
      </c>
      <c r="B1040" s="2" t="s">
        <v>3975</v>
      </c>
      <c r="C1040" s="2" t="s">
        <v>17</v>
      </c>
      <c r="D1040" s="2" t="s">
        <v>38</v>
      </c>
      <c r="E1040" s="2" t="s">
        <v>3976</v>
      </c>
      <c r="F1040" s="2" t="s">
        <v>3976</v>
      </c>
      <c r="G1040" s="2" t="s">
        <v>3977</v>
      </c>
      <c r="H1040" s="2" t="s">
        <v>127</v>
      </c>
      <c r="I1040" s="2" t="s">
        <v>2591</v>
      </c>
      <c r="J1040" s="2" t="s">
        <v>62</v>
      </c>
      <c r="K1040" s="2" t="s">
        <v>24</v>
      </c>
      <c r="L1040" s="7">
        <v>45940.0</v>
      </c>
      <c r="M1040" s="2" t="s">
        <v>48</v>
      </c>
      <c r="N1040" s="2" t="s">
        <v>35</v>
      </c>
      <c r="O1040" s="2" t="s">
        <v>27</v>
      </c>
      <c r="P1040" s="2" t="s">
        <v>28</v>
      </c>
    </row>
    <row r="1041" ht="14.25" customHeight="1">
      <c r="A1041" s="6">
        <v>1.6039764E7</v>
      </c>
      <c r="B1041" s="2" t="s">
        <v>3978</v>
      </c>
      <c r="C1041" s="2" t="s">
        <v>17</v>
      </c>
      <c r="D1041" s="2" t="s">
        <v>57</v>
      </c>
      <c r="E1041" s="2" t="s">
        <v>3979</v>
      </c>
      <c r="F1041" s="2" t="s">
        <v>3979</v>
      </c>
      <c r="G1041" s="2" t="s">
        <v>3980</v>
      </c>
      <c r="H1041" s="2" t="s">
        <v>127</v>
      </c>
      <c r="I1041" s="2" t="s">
        <v>2599</v>
      </c>
      <c r="J1041" s="2" t="s">
        <v>62</v>
      </c>
      <c r="K1041" s="2" t="s">
        <v>24</v>
      </c>
      <c r="L1041" s="7">
        <v>45940.0</v>
      </c>
      <c r="M1041" s="2" t="s">
        <v>48</v>
      </c>
      <c r="N1041" s="2" t="s">
        <v>35</v>
      </c>
      <c r="O1041" s="2" t="s">
        <v>27</v>
      </c>
      <c r="P1041" s="2" t="s">
        <v>28</v>
      </c>
    </row>
    <row r="1042" ht="14.25" customHeight="1">
      <c r="A1042" s="6">
        <v>2.1716409E7</v>
      </c>
      <c r="B1042" s="2" t="s">
        <v>3981</v>
      </c>
      <c r="C1042" s="2" t="s">
        <v>17</v>
      </c>
      <c r="D1042" s="2" t="s">
        <v>88</v>
      </c>
      <c r="E1042" s="2" t="s">
        <v>3982</v>
      </c>
      <c r="F1042" s="2" t="s">
        <v>3982</v>
      </c>
      <c r="G1042" s="2" t="s">
        <v>3983</v>
      </c>
      <c r="H1042" s="2" t="s">
        <v>127</v>
      </c>
      <c r="I1042" s="2" t="s">
        <v>2608</v>
      </c>
      <c r="J1042" s="2" t="s">
        <v>62</v>
      </c>
      <c r="K1042" s="2" t="s">
        <v>24</v>
      </c>
      <c r="L1042" s="7">
        <v>45940.0</v>
      </c>
      <c r="M1042" s="2" t="s">
        <v>48</v>
      </c>
      <c r="N1042" s="2" t="s">
        <v>35</v>
      </c>
      <c r="O1042" s="2" t="s">
        <v>27</v>
      </c>
      <c r="P1042" s="2" t="s">
        <v>28</v>
      </c>
    </row>
    <row r="1043" ht="14.25" customHeight="1">
      <c r="A1043" s="6">
        <v>2.2049366E7</v>
      </c>
      <c r="B1043" s="2" t="s">
        <v>3984</v>
      </c>
      <c r="C1043" s="2" t="s">
        <v>17</v>
      </c>
      <c r="D1043" s="2" t="s">
        <v>167</v>
      </c>
      <c r="E1043" s="2" t="s">
        <v>3985</v>
      </c>
      <c r="F1043" s="2" t="s">
        <v>3985</v>
      </c>
      <c r="G1043" s="2" t="s">
        <v>3986</v>
      </c>
      <c r="H1043" s="2" t="s">
        <v>127</v>
      </c>
      <c r="I1043" s="2" t="s">
        <v>2608</v>
      </c>
      <c r="J1043" s="2" t="s">
        <v>62</v>
      </c>
      <c r="K1043" s="2" t="s">
        <v>24</v>
      </c>
      <c r="L1043" s="7">
        <v>45940.0</v>
      </c>
      <c r="M1043" s="2" t="s">
        <v>48</v>
      </c>
      <c r="N1043" s="2" t="s">
        <v>35</v>
      </c>
      <c r="O1043" s="2" t="s">
        <v>27</v>
      </c>
      <c r="P1043" s="2" t="s">
        <v>28</v>
      </c>
    </row>
    <row r="1044" ht="14.25" customHeight="1">
      <c r="A1044" s="6">
        <v>1.6391744E7</v>
      </c>
      <c r="B1044" s="2" t="s">
        <v>3987</v>
      </c>
      <c r="C1044" s="2" t="s">
        <v>17</v>
      </c>
      <c r="D1044" s="2" t="s">
        <v>88</v>
      </c>
      <c r="E1044" s="2" t="s">
        <v>3988</v>
      </c>
      <c r="F1044" s="2" t="s">
        <v>3988</v>
      </c>
      <c r="G1044" s="2" t="s">
        <v>3989</v>
      </c>
      <c r="H1044" s="2" t="s">
        <v>127</v>
      </c>
      <c r="I1044" s="2" t="s">
        <v>2591</v>
      </c>
      <c r="J1044" s="2" t="s">
        <v>62</v>
      </c>
      <c r="K1044" s="2" t="s">
        <v>24</v>
      </c>
      <c r="L1044" s="7">
        <v>45940.0</v>
      </c>
      <c r="M1044" s="2" t="s">
        <v>48</v>
      </c>
      <c r="N1044" s="2" t="s">
        <v>35</v>
      </c>
      <c r="O1044" s="2" t="s">
        <v>27</v>
      </c>
      <c r="P1044" s="2" t="s">
        <v>28</v>
      </c>
    </row>
    <row r="1045" ht="14.25" customHeight="1">
      <c r="A1045" s="6">
        <v>2.1862867E7</v>
      </c>
      <c r="B1045" s="2" t="s">
        <v>3990</v>
      </c>
      <c r="C1045" s="2" t="s">
        <v>17</v>
      </c>
      <c r="D1045" s="2" t="s">
        <v>38</v>
      </c>
      <c r="E1045" s="2" t="s">
        <v>3991</v>
      </c>
      <c r="F1045" s="2" t="s">
        <v>3991</v>
      </c>
      <c r="G1045" s="2" t="s">
        <v>3992</v>
      </c>
      <c r="H1045" s="2" t="s">
        <v>127</v>
      </c>
      <c r="I1045" s="2" t="s">
        <v>2591</v>
      </c>
      <c r="J1045" s="2" t="s">
        <v>62</v>
      </c>
      <c r="K1045" s="2" t="s">
        <v>24</v>
      </c>
      <c r="L1045" s="7">
        <v>45940.0</v>
      </c>
      <c r="M1045" s="2" t="s">
        <v>48</v>
      </c>
      <c r="N1045" s="2" t="s">
        <v>35</v>
      </c>
      <c r="O1045" s="2" t="s">
        <v>27</v>
      </c>
      <c r="P1045" s="2" t="s">
        <v>28</v>
      </c>
    </row>
    <row r="1046" ht="14.25" customHeight="1">
      <c r="A1046" s="6">
        <v>1.3311259E7</v>
      </c>
      <c r="B1046" s="2" t="s">
        <v>3993</v>
      </c>
      <c r="C1046" s="2" t="s">
        <v>17</v>
      </c>
      <c r="D1046" s="2" t="s">
        <v>38</v>
      </c>
      <c r="E1046" s="2" t="s">
        <v>3994</v>
      </c>
      <c r="F1046" s="2" t="s">
        <v>3994</v>
      </c>
      <c r="G1046" s="2" t="s">
        <v>3995</v>
      </c>
      <c r="H1046" s="2" t="s">
        <v>127</v>
      </c>
      <c r="I1046" s="2" t="s">
        <v>2591</v>
      </c>
      <c r="J1046" s="2" t="s">
        <v>62</v>
      </c>
      <c r="K1046" s="2" t="s">
        <v>24</v>
      </c>
      <c r="L1046" s="7">
        <v>45940.0</v>
      </c>
      <c r="M1046" s="2" t="s">
        <v>48</v>
      </c>
      <c r="N1046" s="2" t="s">
        <v>35</v>
      </c>
      <c r="O1046" s="2" t="s">
        <v>27</v>
      </c>
      <c r="P1046" s="2" t="s">
        <v>28</v>
      </c>
    </row>
    <row r="1047" ht="14.25" customHeight="1">
      <c r="A1047" s="6">
        <v>1.7862501E7</v>
      </c>
      <c r="B1047" s="2" t="s">
        <v>3996</v>
      </c>
      <c r="C1047" s="2" t="s">
        <v>17</v>
      </c>
      <c r="D1047" s="2" t="s">
        <v>38</v>
      </c>
      <c r="E1047" s="2" t="s">
        <v>3997</v>
      </c>
      <c r="F1047" s="2" t="s">
        <v>3997</v>
      </c>
      <c r="G1047" s="2" t="s">
        <v>3998</v>
      </c>
      <c r="H1047" s="2" t="s">
        <v>127</v>
      </c>
      <c r="I1047" s="2" t="s">
        <v>2599</v>
      </c>
      <c r="J1047" s="2" t="s">
        <v>62</v>
      </c>
      <c r="K1047" s="2" t="s">
        <v>24</v>
      </c>
      <c r="L1047" s="7">
        <v>45940.0</v>
      </c>
      <c r="M1047" s="2" t="s">
        <v>48</v>
      </c>
      <c r="N1047" s="2" t="s">
        <v>35</v>
      </c>
      <c r="O1047" s="2" t="s">
        <v>27</v>
      </c>
      <c r="P1047" s="2" t="s">
        <v>28</v>
      </c>
    </row>
    <row r="1048" ht="14.25" customHeight="1">
      <c r="A1048" s="6">
        <v>1.5978091E7</v>
      </c>
      <c r="B1048" s="2" t="s">
        <v>3999</v>
      </c>
      <c r="C1048" s="2" t="s">
        <v>17</v>
      </c>
      <c r="D1048" s="2" t="s">
        <v>88</v>
      </c>
      <c r="E1048" s="2" t="s">
        <v>4000</v>
      </c>
      <c r="F1048" s="2" t="s">
        <v>4000</v>
      </c>
      <c r="G1048" s="2" t="s">
        <v>4001</v>
      </c>
      <c r="H1048" s="2" t="s">
        <v>127</v>
      </c>
      <c r="I1048" s="2" t="s">
        <v>2591</v>
      </c>
      <c r="J1048" s="2" t="s">
        <v>62</v>
      </c>
      <c r="K1048" s="2" t="s">
        <v>24</v>
      </c>
      <c r="L1048" s="7">
        <v>45940.0</v>
      </c>
      <c r="M1048" s="2" t="s">
        <v>48</v>
      </c>
      <c r="N1048" s="2" t="s">
        <v>35</v>
      </c>
      <c r="O1048" s="2" t="s">
        <v>27</v>
      </c>
      <c r="P1048" s="2" t="s">
        <v>28</v>
      </c>
    </row>
    <row r="1049" ht="14.25" customHeight="1">
      <c r="A1049" s="6">
        <v>1.0336964E7</v>
      </c>
      <c r="B1049" s="2" t="s">
        <v>4002</v>
      </c>
      <c r="C1049" s="2" t="s">
        <v>17</v>
      </c>
      <c r="D1049" s="2" t="s">
        <v>167</v>
      </c>
      <c r="E1049" s="2" t="s">
        <v>4003</v>
      </c>
      <c r="F1049" s="2" t="s">
        <v>4003</v>
      </c>
      <c r="G1049" s="2" t="s">
        <v>4004</v>
      </c>
      <c r="H1049" s="2" t="s">
        <v>127</v>
      </c>
      <c r="I1049" s="2" t="s">
        <v>2591</v>
      </c>
      <c r="J1049" s="2" t="s">
        <v>62</v>
      </c>
      <c r="K1049" s="2" t="s">
        <v>24</v>
      </c>
      <c r="L1049" s="7">
        <v>45940.0</v>
      </c>
      <c r="M1049" s="2" t="s">
        <v>48</v>
      </c>
      <c r="N1049" s="2" t="s">
        <v>35</v>
      </c>
      <c r="O1049" s="2" t="s">
        <v>27</v>
      </c>
      <c r="P1049" s="2" t="s">
        <v>28</v>
      </c>
    </row>
    <row r="1050" ht="14.25" customHeight="1">
      <c r="A1050" s="6">
        <v>1.1774275E7</v>
      </c>
      <c r="B1050" s="2" t="s">
        <v>4005</v>
      </c>
      <c r="C1050" s="2" t="s">
        <v>17</v>
      </c>
      <c r="D1050" s="2" t="s">
        <v>167</v>
      </c>
      <c r="E1050" s="2" t="s">
        <v>4006</v>
      </c>
      <c r="F1050" s="2" t="s">
        <v>4006</v>
      </c>
      <c r="G1050" s="2" t="s">
        <v>4007</v>
      </c>
      <c r="H1050" s="2" t="s">
        <v>127</v>
      </c>
      <c r="I1050" s="2" t="s">
        <v>2599</v>
      </c>
      <c r="J1050" s="2" t="s">
        <v>62</v>
      </c>
      <c r="K1050" s="2" t="s">
        <v>24</v>
      </c>
      <c r="L1050" s="7">
        <v>45940.0</v>
      </c>
      <c r="M1050" s="2" t="s">
        <v>48</v>
      </c>
      <c r="N1050" s="2" t="s">
        <v>35</v>
      </c>
      <c r="O1050" s="2" t="s">
        <v>27</v>
      </c>
      <c r="P1050" s="2" t="s">
        <v>28</v>
      </c>
    </row>
    <row r="1051" ht="14.25" customHeight="1">
      <c r="A1051" s="6">
        <v>2.0513528E7</v>
      </c>
      <c r="B1051" s="2" t="s">
        <v>4008</v>
      </c>
      <c r="C1051" s="2" t="s">
        <v>17</v>
      </c>
      <c r="D1051" s="2" t="s">
        <v>88</v>
      </c>
      <c r="E1051" s="2" t="s">
        <v>4009</v>
      </c>
      <c r="F1051" s="2" t="s">
        <v>4009</v>
      </c>
      <c r="G1051" s="2" t="s">
        <v>4010</v>
      </c>
      <c r="H1051" s="2" t="s">
        <v>127</v>
      </c>
      <c r="I1051" s="2" t="s">
        <v>2591</v>
      </c>
      <c r="J1051" s="2" t="s">
        <v>62</v>
      </c>
      <c r="K1051" s="2" t="s">
        <v>24</v>
      </c>
      <c r="L1051" s="7">
        <v>45940.0</v>
      </c>
      <c r="M1051" s="2" t="s">
        <v>48</v>
      </c>
      <c r="N1051" s="2" t="s">
        <v>35</v>
      </c>
      <c r="O1051" s="2" t="s">
        <v>27</v>
      </c>
      <c r="P1051" s="2" t="s">
        <v>28</v>
      </c>
    </row>
    <row r="1052" ht="14.25" customHeight="1">
      <c r="A1052" s="6">
        <v>1.0522016E7</v>
      </c>
      <c r="B1052" s="2" t="s">
        <v>4011</v>
      </c>
      <c r="C1052" s="2" t="s">
        <v>17</v>
      </c>
      <c r="D1052" s="2" t="s">
        <v>38</v>
      </c>
      <c r="E1052" s="2" t="s">
        <v>4012</v>
      </c>
      <c r="F1052" s="2" t="s">
        <v>4012</v>
      </c>
      <c r="G1052" s="2" t="s">
        <v>4013</v>
      </c>
      <c r="H1052" s="2" t="s">
        <v>127</v>
      </c>
      <c r="I1052" s="2" t="s">
        <v>2591</v>
      </c>
      <c r="J1052" s="2" t="s">
        <v>62</v>
      </c>
      <c r="K1052" s="2" t="s">
        <v>24</v>
      </c>
      <c r="L1052" s="7">
        <v>45940.0</v>
      </c>
      <c r="M1052" s="2" t="s">
        <v>48</v>
      </c>
      <c r="N1052" s="2" t="s">
        <v>35</v>
      </c>
      <c r="O1052" s="2" t="s">
        <v>27</v>
      </c>
      <c r="P1052" s="2" t="s">
        <v>28</v>
      </c>
    </row>
    <row r="1053" ht="14.25" customHeight="1">
      <c r="A1053" s="6">
        <v>1.5224548E7</v>
      </c>
      <c r="B1053" s="2" t="s">
        <v>4014</v>
      </c>
      <c r="C1053" s="2" t="s">
        <v>17</v>
      </c>
      <c r="D1053" s="2" t="s">
        <v>167</v>
      </c>
      <c r="E1053" s="2" t="s">
        <v>4015</v>
      </c>
      <c r="F1053" s="2" t="s">
        <v>4015</v>
      </c>
      <c r="G1053" s="2" t="s">
        <v>4016</v>
      </c>
      <c r="H1053" s="2" t="s">
        <v>127</v>
      </c>
      <c r="I1053" s="2" t="s">
        <v>2608</v>
      </c>
      <c r="J1053" s="2" t="s">
        <v>62</v>
      </c>
      <c r="K1053" s="2" t="s">
        <v>24</v>
      </c>
      <c r="L1053" s="7">
        <v>45940.0</v>
      </c>
      <c r="M1053" s="2" t="s">
        <v>48</v>
      </c>
      <c r="N1053" s="2" t="s">
        <v>35</v>
      </c>
      <c r="O1053" s="2" t="s">
        <v>27</v>
      </c>
      <c r="P1053" s="2" t="s">
        <v>28</v>
      </c>
    </row>
    <row r="1054" ht="14.25" customHeight="1">
      <c r="A1054" s="6">
        <v>1.4034505E7</v>
      </c>
      <c r="B1054" s="2" t="s">
        <v>4017</v>
      </c>
      <c r="C1054" s="2" t="s">
        <v>17</v>
      </c>
      <c r="D1054" s="2" t="s">
        <v>57</v>
      </c>
      <c r="E1054" s="2" t="s">
        <v>4018</v>
      </c>
      <c r="F1054" s="2" t="s">
        <v>4018</v>
      </c>
      <c r="G1054" s="2" t="s">
        <v>4019</v>
      </c>
      <c r="H1054" s="2" t="s">
        <v>127</v>
      </c>
      <c r="I1054" s="2" t="s">
        <v>2599</v>
      </c>
      <c r="J1054" s="2" t="s">
        <v>62</v>
      </c>
      <c r="K1054" s="2" t="s">
        <v>24</v>
      </c>
      <c r="L1054" s="7">
        <v>45940.0</v>
      </c>
      <c r="M1054" s="2" t="s">
        <v>48</v>
      </c>
      <c r="N1054" s="2" t="s">
        <v>35</v>
      </c>
      <c r="O1054" s="2" t="s">
        <v>27</v>
      </c>
      <c r="P1054" s="2" t="s">
        <v>28</v>
      </c>
    </row>
    <row r="1055" ht="14.25" customHeight="1">
      <c r="A1055" s="6">
        <v>1.0982632E7</v>
      </c>
      <c r="B1055" s="2" t="s">
        <v>4020</v>
      </c>
      <c r="C1055" s="2" t="s">
        <v>17</v>
      </c>
      <c r="D1055" s="2" t="s">
        <v>57</v>
      </c>
      <c r="E1055" s="2" t="s">
        <v>4021</v>
      </c>
      <c r="F1055" s="2" t="s">
        <v>4021</v>
      </c>
      <c r="G1055" s="2" t="s">
        <v>4022</v>
      </c>
      <c r="H1055" s="2" t="s">
        <v>127</v>
      </c>
      <c r="I1055" s="2" t="s">
        <v>2599</v>
      </c>
      <c r="J1055" s="2" t="s">
        <v>62</v>
      </c>
      <c r="K1055" s="2" t="s">
        <v>24</v>
      </c>
      <c r="L1055" s="7">
        <v>45940.0</v>
      </c>
      <c r="M1055" s="2" t="s">
        <v>48</v>
      </c>
      <c r="N1055" s="2" t="s">
        <v>35</v>
      </c>
      <c r="O1055" s="2" t="s">
        <v>27</v>
      </c>
      <c r="P1055" s="2" t="s">
        <v>28</v>
      </c>
    </row>
    <row r="1056" ht="14.25" customHeight="1">
      <c r="A1056" s="6">
        <v>1.5528977E7</v>
      </c>
      <c r="B1056" s="2" t="s">
        <v>4023</v>
      </c>
      <c r="C1056" s="2" t="s">
        <v>17</v>
      </c>
      <c r="D1056" s="2" t="s">
        <v>57</v>
      </c>
      <c r="E1056" s="2" t="s">
        <v>4024</v>
      </c>
      <c r="F1056" s="2" t="s">
        <v>4024</v>
      </c>
      <c r="G1056" s="2" t="s">
        <v>4025</v>
      </c>
      <c r="H1056" s="2" t="s">
        <v>127</v>
      </c>
      <c r="I1056" s="2" t="s">
        <v>2608</v>
      </c>
      <c r="J1056" s="2" t="s">
        <v>62</v>
      </c>
      <c r="K1056" s="2" t="s">
        <v>24</v>
      </c>
      <c r="L1056" s="7">
        <v>45940.0</v>
      </c>
      <c r="M1056" s="2" t="s">
        <v>48</v>
      </c>
      <c r="N1056" s="2" t="s">
        <v>35</v>
      </c>
      <c r="O1056" s="2" t="s">
        <v>27</v>
      </c>
      <c r="P1056" s="2" t="s">
        <v>28</v>
      </c>
    </row>
    <row r="1057" ht="14.25" customHeight="1">
      <c r="A1057" s="6">
        <v>2.100505E7</v>
      </c>
      <c r="B1057" s="2" t="s">
        <v>4026</v>
      </c>
      <c r="C1057" s="2" t="s">
        <v>17</v>
      </c>
      <c r="D1057" s="2" t="s">
        <v>167</v>
      </c>
      <c r="E1057" s="2" t="s">
        <v>4027</v>
      </c>
      <c r="F1057" s="2" t="s">
        <v>4027</v>
      </c>
      <c r="G1057" s="2" t="s">
        <v>4028</v>
      </c>
      <c r="H1057" s="2" t="s">
        <v>127</v>
      </c>
      <c r="I1057" s="2" t="s">
        <v>2608</v>
      </c>
      <c r="J1057" s="2" t="s">
        <v>62</v>
      </c>
      <c r="K1057" s="2" t="s">
        <v>24</v>
      </c>
      <c r="L1057" s="7">
        <v>45940.0</v>
      </c>
      <c r="M1057" s="2" t="s">
        <v>48</v>
      </c>
      <c r="N1057" s="2" t="s">
        <v>35</v>
      </c>
      <c r="O1057" s="2" t="s">
        <v>27</v>
      </c>
      <c r="P1057" s="2" t="s">
        <v>28</v>
      </c>
    </row>
    <row r="1058" ht="14.25" customHeight="1">
      <c r="A1058" s="6">
        <v>1.7393946E7</v>
      </c>
      <c r="B1058" s="2" t="s">
        <v>4029</v>
      </c>
      <c r="C1058" s="2" t="s">
        <v>17</v>
      </c>
      <c r="D1058" s="2" t="s">
        <v>38</v>
      </c>
      <c r="E1058" s="2" t="s">
        <v>4030</v>
      </c>
      <c r="F1058" s="2" t="s">
        <v>4030</v>
      </c>
      <c r="G1058" s="2" t="s">
        <v>4031</v>
      </c>
      <c r="H1058" s="2" t="s">
        <v>127</v>
      </c>
      <c r="I1058" s="2" t="s">
        <v>2591</v>
      </c>
      <c r="J1058" s="2" t="s">
        <v>62</v>
      </c>
      <c r="K1058" s="2" t="s">
        <v>24</v>
      </c>
      <c r="L1058" s="7">
        <v>45940.0</v>
      </c>
      <c r="M1058" s="2" t="s">
        <v>48</v>
      </c>
      <c r="N1058" s="2" t="s">
        <v>35</v>
      </c>
      <c r="O1058" s="2" t="s">
        <v>27</v>
      </c>
      <c r="P1058" s="2" t="s">
        <v>28</v>
      </c>
    </row>
    <row r="1059" ht="14.25" customHeight="1">
      <c r="A1059" s="6">
        <v>1.2036668E7</v>
      </c>
      <c r="B1059" s="2" t="s">
        <v>4032</v>
      </c>
      <c r="C1059" s="2" t="s">
        <v>17</v>
      </c>
      <c r="D1059" s="2" t="s">
        <v>38</v>
      </c>
      <c r="E1059" s="2" t="s">
        <v>4033</v>
      </c>
      <c r="F1059" s="2" t="s">
        <v>4033</v>
      </c>
      <c r="G1059" s="2" t="s">
        <v>4034</v>
      </c>
      <c r="H1059" s="2" t="s">
        <v>127</v>
      </c>
      <c r="I1059" s="2" t="s">
        <v>2599</v>
      </c>
      <c r="J1059" s="2" t="s">
        <v>62</v>
      </c>
      <c r="K1059" s="2" t="s">
        <v>24</v>
      </c>
      <c r="L1059" s="7">
        <v>45940.0</v>
      </c>
      <c r="M1059" s="2" t="s">
        <v>48</v>
      </c>
      <c r="N1059" s="2" t="s">
        <v>35</v>
      </c>
      <c r="O1059" s="2" t="s">
        <v>27</v>
      </c>
      <c r="P1059" s="2" t="s">
        <v>28</v>
      </c>
    </row>
    <row r="1060" ht="14.25" customHeight="1">
      <c r="A1060" s="6">
        <v>1.5193686E7</v>
      </c>
      <c r="B1060" s="2" t="s">
        <v>4035</v>
      </c>
      <c r="C1060" s="2" t="s">
        <v>17</v>
      </c>
      <c r="D1060" s="2" t="s">
        <v>38</v>
      </c>
      <c r="E1060" s="2" t="s">
        <v>4036</v>
      </c>
      <c r="F1060" s="2" t="s">
        <v>4036</v>
      </c>
      <c r="G1060" s="2" t="s">
        <v>4037</v>
      </c>
      <c r="H1060" s="2" t="s">
        <v>127</v>
      </c>
      <c r="I1060" s="2" t="s">
        <v>2599</v>
      </c>
      <c r="J1060" s="2" t="s">
        <v>62</v>
      </c>
      <c r="K1060" s="2" t="s">
        <v>24</v>
      </c>
      <c r="L1060" s="7">
        <v>45940.0</v>
      </c>
      <c r="M1060" s="2" t="s">
        <v>48</v>
      </c>
      <c r="N1060" s="2" t="s">
        <v>35</v>
      </c>
      <c r="O1060" s="2" t="s">
        <v>27</v>
      </c>
      <c r="P1060" s="2" t="s">
        <v>28</v>
      </c>
    </row>
    <row r="1061" ht="14.25" customHeight="1">
      <c r="A1061" s="6">
        <v>1.7896919E7</v>
      </c>
      <c r="B1061" s="2" t="s">
        <v>4038</v>
      </c>
      <c r="C1061" s="2" t="s">
        <v>17</v>
      </c>
      <c r="D1061" s="2" t="s">
        <v>57</v>
      </c>
      <c r="E1061" s="2" t="s">
        <v>4039</v>
      </c>
      <c r="F1061" s="2" t="s">
        <v>4039</v>
      </c>
      <c r="G1061" s="2" t="s">
        <v>4040</v>
      </c>
      <c r="H1061" s="2" t="s">
        <v>127</v>
      </c>
      <c r="I1061" s="2" t="s">
        <v>2608</v>
      </c>
      <c r="J1061" s="2" t="s">
        <v>62</v>
      </c>
      <c r="K1061" s="2" t="s">
        <v>24</v>
      </c>
      <c r="L1061" s="7">
        <v>45940.0</v>
      </c>
      <c r="M1061" s="2" t="s">
        <v>48</v>
      </c>
      <c r="N1061" s="2" t="s">
        <v>35</v>
      </c>
      <c r="O1061" s="2" t="s">
        <v>27</v>
      </c>
      <c r="P1061" s="2" t="s">
        <v>28</v>
      </c>
    </row>
    <row r="1062" ht="14.25" customHeight="1">
      <c r="A1062" s="6">
        <v>1.4401784E7</v>
      </c>
      <c r="B1062" s="2" t="s">
        <v>4041</v>
      </c>
      <c r="C1062" s="2" t="s">
        <v>17</v>
      </c>
      <c r="D1062" s="2" t="s">
        <v>57</v>
      </c>
      <c r="E1062" s="2" t="s">
        <v>4042</v>
      </c>
      <c r="F1062" s="2" t="s">
        <v>4042</v>
      </c>
      <c r="G1062" s="2" t="s">
        <v>4043</v>
      </c>
      <c r="H1062" s="2" t="s">
        <v>127</v>
      </c>
      <c r="I1062" s="2" t="s">
        <v>2591</v>
      </c>
      <c r="J1062" s="2" t="s">
        <v>62</v>
      </c>
      <c r="K1062" s="2" t="s">
        <v>24</v>
      </c>
      <c r="L1062" s="7">
        <v>45940.0</v>
      </c>
      <c r="M1062" s="2" t="s">
        <v>48</v>
      </c>
      <c r="N1062" s="2" t="s">
        <v>35</v>
      </c>
      <c r="O1062" s="2" t="s">
        <v>27</v>
      </c>
      <c r="P1062" s="2" t="s">
        <v>28</v>
      </c>
    </row>
    <row r="1063" ht="14.25" customHeight="1">
      <c r="A1063" s="6">
        <v>1.2529866E7</v>
      </c>
      <c r="B1063" s="2" t="s">
        <v>4044</v>
      </c>
      <c r="C1063" s="2" t="s">
        <v>17</v>
      </c>
      <c r="D1063" s="2" t="s">
        <v>88</v>
      </c>
      <c r="E1063" s="2" t="s">
        <v>4045</v>
      </c>
      <c r="F1063" s="2" t="s">
        <v>4045</v>
      </c>
      <c r="G1063" s="2" t="s">
        <v>4046</v>
      </c>
      <c r="H1063" s="2" t="s">
        <v>127</v>
      </c>
      <c r="I1063" s="2" t="s">
        <v>2591</v>
      </c>
      <c r="J1063" s="2" t="s">
        <v>62</v>
      </c>
      <c r="K1063" s="2" t="s">
        <v>24</v>
      </c>
      <c r="L1063" s="7">
        <v>45940.0</v>
      </c>
      <c r="M1063" s="2" t="s">
        <v>48</v>
      </c>
      <c r="N1063" s="2" t="s">
        <v>35</v>
      </c>
      <c r="O1063" s="2" t="s">
        <v>27</v>
      </c>
      <c r="P1063" s="2" t="s">
        <v>28</v>
      </c>
    </row>
    <row r="1064" ht="14.25" customHeight="1">
      <c r="A1064" s="6">
        <v>1.8137147E7</v>
      </c>
      <c r="B1064" s="2" t="s">
        <v>4047</v>
      </c>
      <c r="C1064" s="2" t="s">
        <v>17</v>
      </c>
      <c r="D1064" s="2" t="s">
        <v>167</v>
      </c>
      <c r="E1064" s="2" t="s">
        <v>4048</v>
      </c>
      <c r="F1064" s="2" t="s">
        <v>4048</v>
      </c>
      <c r="G1064" s="2" t="s">
        <v>4049</v>
      </c>
      <c r="H1064" s="2" t="s">
        <v>127</v>
      </c>
      <c r="I1064" s="2" t="s">
        <v>2608</v>
      </c>
      <c r="J1064" s="2" t="s">
        <v>62</v>
      </c>
      <c r="K1064" s="2" t="s">
        <v>24</v>
      </c>
      <c r="L1064" s="7">
        <v>45940.0</v>
      </c>
      <c r="M1064" s="2" t="s">
        <v>48</v>
      </c>
      <c r="N1064" s="2" t="s">
        <v>35</v>
      </c>
      <c r="O1064" s="2" t="s">
        <v>27</v>
      </c>
      <c r="P1064" s="2" t="s">
        <v>28</v>
      </c>
    </row>
    <row r="1065" ht="14.25" customHeight="1">
      <c r="A1065" s="6">
        <v>1.8137014E7</v>
      </c>
      <c r="B1065" s="2" t="s">
        <v>4050</v>
      </c>
      <c r="C1065" s="2" t="s">
        <v>17</v>
      </c>
      <c r="D1065" s="2" t="s">
        <v>38</v>
      </c>
      <c r="E1065" s="2" t="s">
        <v>4051</v>
      </c>
      <c r="F1065" s="2" t="s">
        <v>4051</v>
      </c>
      <c r="G1065" s="2" t="s">
        <v>4052</v>
      </c>
      <c r="H1065" s="2" t="s">
        <v>127</v>
      </c>
      <c r="I1065" s="2" t="s">
        <v>2608</v>
      </c>
      <c r="J1065" s="2" t="s">
        <v>62</v>
      </c>
      <c r="K1065" s="2" t="s">
        <v>24</v>
      </c>
      <c r="L1065" s="7">
        <v>45940.0</v>
      </c>
      <c r="M1065" s="2" t="s">
        <v>48</v>
      </c>
      <c r="N1065" s="2" t="s">
        <v>35</v>
      </c>
      <c r="O1065" s="2" t="s">
        <v>27</v>
      </c>
      <c r="P1065" s="2" t="s">
        <v>28</v>
      </c>
    </row>
    <row r="1066" ht="14.25" customHeight="1">
      <c r="A1066" s="6">
        <v>1.8079675E7</v>
      </c>
      <c r="B1066" s="2" t="s">
        <v>4053</v>
      </c>
      <c r="C1066" s="2" t="s">
        <v>17</v>
      </c>
      <c r="D1066" s="2" t="s">
        <v>167</v>
      </c>
      <c r="E1066" s="2" t="s">
        <v>4054</v>
      </c>
      <c r="F1066" s="2" t="s">
        <v>4054</v>
      </c>
      <c r="G1066" s="2" t="s">
        <v>4055</v>
      </c>
      <c r="H1066" s="2" t="s">
        <v>127</v>
      </c>
      <c r="I1066" s="2" t="s">
        <v>2608</v>
      </c>
      <c r="J1066" s="2" t="s">
        <v>62</v>
      </c>
      <c r="K1066" s="2" t="s">
        <v>24</v>
      </c>
      <c r="L1066" s="7">
        <v>45940.0</v>
      </c>
      <c r="M1066" s="2" t="s">
        <v>48</v>
      </c>
      <c r="N1066" s="2" t="s">
        <v>35</v>
      </c>
      <c r="O1066" s="2" t="s">
        <v>27</v>
      </c>
      <c r="P1066" s="2" t="s">
        <v>28</v>
      </c>
    </row>
    <row r="1067" ht="14.25" customHeight="1">
      <c r="A1067" s="6">
        <v>1.6229468E7</v>
      </c>
      <c r="B1067" s="2" t="s">
        <v>4056</v>
      </c>
      <c r="C1067" s="2" t="s">
        <v>17</v>
      </c>
      <c r="D1067" s="2" t="s">
        <v>167</v>
      </c>
      <c r="E1067" s="2" t="s">
        <v>4057</v>
      </c>
      <c r="F1067" s="2" t="s">
        <v>4057</v>
      </c>
      <c r="G1067" s="2" t="s">
        <v>4058</v>
      </c>
      <c r="H1067" s="2" t="s">
        <v>127</v>
      </c>
      <c r="I1067" s="2" t="s">
        <v>2599</v>
      </c>
      <c r="J1067" s="2" t="s">
        <v>62</v>
      </c>
      <c r="K1067" s="2" t="s">
        <v>24</v>
      </c>
      <c r="L1067" s="7">
        <v>45940.0</v>
      </c>
      <c r="M1067" s="2" t="s">
        <v>48</v>
      </c>
      <c r="N1067" s="2" t="s">
        <v>35</v>
      </c>
      <c r="O1067" s="2" t="s">
        <v>27</v>
      </c>
      <c r="P1067" s="2" t="s">
        <v>28</v>
      </c>
    </row>
    <row r="1068" ht="14.25" customHeight="1">
      <c r="A1068" s="6">
        <v>2.2145907E7</v>
      </c>
      <c r="B1068" s="2" t="s">
        <v>4059</v>
      </c>
      <c r="C1068" s="2" t="s">
        <v>17</v>
      </c>
      <c r="D1068" s="2" t="s">
        <v>38</v>
      </c>
      <c r="E1068" s="2" t="s">
        <v>4060</v>
      </c>
      <c r="F1068" s="2" t="s">
        <v>4060</v>
      </c>
      <c r="G1068" s="2" t="s">
        <v>4061</v>
      </c>
      <c r="H1068" s="2" t="s">
        <v>127</v>
      </c>
      <c r="I1068" s="2" t="s">
        <v>2608</v>
      </c>
      <c r="J1068" s="2" t="s">
        <v>62</v>
      </c>
      <c r="K1068" s="2" t="s">
        <v>24</v>
      </c>
      <c r="L1068" s="7">
        <v>45940.0</v>
      </c>
      <c r="M1068" s="2" t="s">
        <v>48</v>
      </c>
      <c r="N1068" s="2" t="s">
        <v>35</v>
      </c>
      <c r="O1068" s="2" t="s">
        <v>27</v>
      </c>
      <c r="P1068" s="2" t="s">
        <v>28</v>
      </c>
    </row>
    <row r="1069" ht="14.25" customHeight="1">
      <c r="A1069" s="6">
        <v>1.519814E7</v>
      </c>
      <c r="B1069" s="2" t="s">
        <v>4062</v>
      </c>
      <c r="C1069" s="2" t="s">
        <v>17</v>
      </c>
      <c r="D1069" s="2" t="s">
        <v>38</v>
      </c>
      <c r="E1069" s="2" t="s">
        <v>4063</v>
      </c>
      <c r="F1069" s="2" t="s">
        <v>4063</v>
      </c>
      <c r="G1069" s="2" t="s">
        <v>4064</v>
      </c>
      <c r="H1069" s="2" t="s">
        <v>127</v>
      </c>
      <c r="I1069" s="2" t="s">
        <v>2599</v>
      </c>
      <c r="J1069" s="2" t="s">
        <v>62</v>
      </c>
      <c r="K1069" s="2" t="s">
        <v>24</v>
      </c>
      <c r="L1069" s="7">
        <v>45940.0</v>
      </c>
      <c r="M1069" s="2" t="s">
        <v>48</v>
      </c>
      <c r="N1069" s="2" t="s">
        <v>35</v>
      </c>
      <c r="O1069" s="2" t="s">
        <v>27</v>
      </c>
      <c r="P1069" s="2" t="s">
        <v>28</v>
      </c>
    </row>
    <row r="1070" ht="14.25" customHeight="1">
      <c r="A1070" s="6">
        <v>1.6156588E7</v>
      </c>
      <c r="B1070" s="2" t="s">
        <v>4065</v>
      </c>
      <c r="C1070" s="2" t="s">
        <v>17</v>
      </c>
      <c r="D1070" s="2" t="s">
        <v>38</v>
      </c>
      <c r="E1070" s="2" t="s">
        <v>4066</v>
      </c>
      <c r="F1070" s="2" t="s">
        <v>4066</v>
      </c>
      <c r="G1070" s="2" t="s">
        <v>4067</v>
      </c>
      <c r="H1070" s="2" t="s">
        <v>127</v>
      </c>
      <c r="I1070" s="2" t="s">
        <v>2599</v>
      </c>
      <c r="J1070" s="2" t="s">
        <v>62</v>
      </c>
      <c r="K1070" s="2" t="s">
        <v>24</v>
      </c>
      <c r="L1070" s="7">
        <v>45940.0</v>
      </c>
      <c r="M1070" s="2" t="s">
        <v>48</v>
      </c>
      <c r="N1070" s="2" t="s">
        <v>35</v>
      </c>
      <c r="O1070" s="2" t="s">
        <v>27</v>
      </c>
      <c r="P1070" s="2" t="s">
        <v>28</v>
      </c>
    </row>
    <row r="1071" ht="14.25" customHeight="1">
      <c r="A1071" s="6">
        <v>1.7641681E7</v>
      </c>
      <c r="B1071" s="2" t="s">
        <v>4068</v>
      </c>
      <c r="C1071" s="2" t="s">
        <v>17</v>
      </c>
      <c r="D1071" s="2" t="s">
        <v>57</v>
      </c>
      <c r="E1071" s="2" t="s">
        <v>4069</v>
      </c>
      <c r="F1071" s="2" t="s">
        <v>4069</v>
      </c>
      <c r="G1071" s="2" t="s">
        <v>4070</v>
      </c>
      <c r="H1071" s="2" t="s">
        <v>127</v>
      </c>
      <c r="I1071" s="2" t="s">
        <v>2599</v>
      </c>
      <c r="J1071" s="2" t="s">
        <v>62</v>
      </c>
      <c r="K1071" s="2" t="s">
        <v>24</v>
      </c>
      <c r="L1071" s="7">
        <v>45940.0</v>
      </c>
      <c r="M1071" s="2" t="s">
        <v>48</v>
      </c>
      <c r="N1071" s="2" t="s">
        <v>35</v>
      </c>
      <c r="O1071" s="2" t="s">
        <v>27</v>
      </c>
      <c r="P1071" s="2" t="s">
        <v>28</v>
      </c>
    </row>
    <row r="1072" ht="14.25" customHeight="1">
      <c r="A1072" s="6">
        <v>1.4342457E7</v>
      </c>
      <c r="B1072" s="2" t="s">
        <v>4071</v>
      </c>
      <c r="C1072" s="2" t="s">
        <v>17</v>
      </c>
      <c r="D1072" s="2" t="s">
        <v>57</v>
      </c>
      <c r="E1072" s="2" t="s">
        <v>4072</v>
      </c>
      <c r="F1072" s="2" t="s">
        <v>4072</v>
      </c>
      <c r="G1072" s="2" t="s">
        <v>4073</v>
      </c>
      <c r="H1072" s="2" t="s">
        <v>127</v>
      </c>
      <c r="I1072" s="2" t="s">
        <v>2608</v>
      </c>
      <c r="J1072" s="2" t="s">
        <v>62</v>
      </c>
      <c r="K1072" s="2" t="s">
        <v>24</v>
      </c>
      <c r="L1072" s="7">
        <v>45940.0</v>
      </c>
      <c r="M1072" s="2" t="s">
        <v>48</v>
      </c>
      <c r="N1072" s="2" t="s">
        <v>35</v>
      </c>
      <c r="O1072" s="2" t="s">
        <v>27</v>
      </c>
      <c r="P1072" s="2" t="s">
        <v>28</v>
      </c>
    </row>
    <row r="1073" ht="14.25" customHeight="1">
      <c r="A1073" s="6">
        <v>1.8150117E7</v>
      </c>
      <c r="B1073" s="2" t="s">
        <v>4074</v>
      </c>
      <c r="C1073" s="2" t="s">
        <v>17</v>
      </c>
      <c r="D1073" s="2" t="s">
        <v>38</v>
      </c>
      <c r="E1073" s="2" t="s">
        <v>4075</v>
      </c>
      <c r="F1073" s="2" t="s">
        <v>4075</v>
      </c>
      <c r="G1073" s="2" t="s">
        <v>4076</v>
      </c>
      <c r="H1073" s="2" t="s">
        <v>127</v>
      </c>
      <c r="I1073" s="2" t="s">
        <v>2608</v>
      </c>
      <c r="J1073" s="2" t="s">
        <v>62</v>
      </c>
      <c r="K1073" s="2" t="s">
        <v>24</v>
      </c>
      <c r="L1073" s="7">
        <v>45940.0</v>
      </c>
      <c r="M1073" s="2" t="s">
        <v>48</v>
      </c>
      <c r="N1073" s="2" t="s">
        <v>35</v>
      </c>
      <c r="O1073" s="2" t="s">
        <v>27</v>
      </c>
      <c r="P1073" s="2" t="s">
        <v>28</v>
      </c>
    </row>
    <row r="1074" ht="14.25" customHeight="1">
      <c r="A1074" s="6">
        <v>2.1090831E7</v>
      </c>
      <c r="B1074" s="2" t="s">
        <v>4077</v>
      </c>
      <c r="C1074" s="2" t="s">
        <v>17</v>
      </c>
      <c r="D1074" s="2" t="s">
        <v>167</v>
      </c>
      <c r="E1074" s="2" t="s">
        <v>4078</v>
      </c>
      <c r="F1074" s="2" t="s">
        <v>4078</v>
      </c>
      <c r="G1074" s="2" t="s">
        <v>4079</v>
      </c>
      <c r="H1074" s="2" t="s">
        <v>127</v>
      </c>
      <c r="I1074" s="2" t="s">
        <v>2608</v>
      </c>
      <c r="J1074" s="2" t="s">
        <v>62</v>
      </c>
      <c r="K1074" s="2" t="s">
        <v>24</v>
      </c>
      <c r="L1074" s="7">
        <v>45940.0</v>
      </c>
      <c r="M1074" s="2" t="s">
        <v>48</v>
      </c>
      <c r="N1074" s="2" t="s">
        <v>35</v>
      </c>
      <c r="O1074" s="2" t="s">
        <v>27</v>
      </c>
      <c r="P1074" s="2" t="s">
        <v>28</v>
      </c>
    </row>
    <row r="1075" ht="14.25" customHeight="1">
      <c r="A1075" s="6">
        <v>1.1904851E7</v>
      </c>
      <c r="B1075" s="2" t="s">
        <v>4080</v>
      </c>
      <c r="C1075" s="2" t="s">
        <v>17</v>
      </c>
      <c r="D1075" s="2" t="s">
        <v>167</v>
      </c>
      <c r="E1075" s="2" t="s">
        <v>4081</v>
      </c>
      <c r="F1075" s="2" t="s">
        <v>4081</v>
      </c>
      <c r="G1075" s="2" t="s">
        <v>4082</v>
      </c>
      <c r="H1075" s="2" t="s">
        <v>127</v>
      </c>
      <c r="I1075" s="2" t="s">
        <v>2591</v>
      </c>
      <c r="J1075" s="2" t="s">
        <v>62</v>
      </c>
      <c r="K1075" s="2" t="s">
        <v>24</v>
      </c>
      <c r="L1075" s="7">
        <v>45940.0</v>
      </c>
      <c r="M1075" s="2" t="s">
        <v>48</v>
      </c>
      <c r="N1075" s="2" t="s">
        <v>35</v>
      </c>
      <c r="O1075" s="2" t="s">
        <v>27</v>
      </c>
      <c r="P1075" s="2" t="s">
        <v>28</v>
      </c>
    </row>
    <row r="1076" ht="14.25" customHeight="1">
      <c r="A1076" s="6">
        <v>1.6818011E7</v>
      </c>
      <c r="B1076" s="2" t="s">
        <v>4083</v>
      </c>
      <c r="C1076" s="2" t="s">
        <v>17</v>
      </c>
      <c r="D1076" s="2" t="s">
        <v>88</v>
      </c>
      <c r="E1076" s="2" t="s">
        <v>4084</v>
      </c>
      <c r="F1076" s="2" t="s">
        <v>4084</v>
      </c>
      <c r="G1076" s="2" t="s">
        <v>4085</v>
      </c>
      <c r="H1076" s="2" t="s">
        <v>127</v>
      </c>
      <c r="I1076" s="2" t="s">
        <v>2599</v>
      </c>
      <c r="J1076" s="2" t="s">
        <v>62</v>
      </c>
      <c r="K1076" s="2" t="s">
        <v>24</v>
      </c>
      <c r="L1076" s="7">
        <v>45940.0</v>
      </c>
      <c r="M1076" s="2" t="s">
        <v>48</v>
      </c>
      <c r="N1076" s="2" t="s">
        <v>35</v>
      </c>
      <c r="O1076" s="2" t="s">
        <v>27</v>
      </c>
      <c r="P1076" s="2" t="s">
        <v>28</v>
      </c>
    </row>
    <row r="1077" ht="14.25" customHeight="1">
      <c r="A1077" s="6">
        <v>1.813685E7</v>
      </c>
      <c r="B1077" s="2" t="s">
        <v>4086</v>
      </c>
      <c r="C1077" s="2" t="s">
        <v>17</v>
      </c>
      <c r="D1077" s="2" t="s">
        <v>38</v>
      </c>
      <c r="E1077" s="2" t="s">
        <v>4087</v>
      </c>
      <c r="F1077" s="2" t="s">
        <v>4087</v>
      </c>
      <c r="G1077" s="2" t="s">
        <v>4088</v>
      </c>
      <c r="H1077" s="2" t="s">
        <v>127</v>
      </c>
      <c r="I1077" s="2" t="s">
        <v>2591</v>
      </c>
      <c r="J1077" s="2" t="s">
        <v>62</v>
      </c>
      <c r="K1077" s="2" t="s">
        <v>24</v>
      </c>
      <c r="L1077" s="7">
        <v>45940.0</v>
      </c>
      <c r="M1077" s="2" t="s">
        <v>48</v>
      </c>
      <c r="N1077" s="2" t="s">
        <v>35</v>
      </c>
      <c r="O1077" s="2" t="s">
        <v>27</v>
      </c>
      <c r="P1077" s="2" t="s">
        <v>28</v>
      </c>
    </row>
    <row r="1078" ht="14.25" customHeight="1">
      <c r="A1078" s="6">
        <v>2.0020873E7</v>
      </c>
      <c r="B1078" s="2" t="s">
        <v>4089</v>
      </c>
      <c r="C1078" s="2" t="s">
        <v>17</v>
      </c>
      <c r="D1078" s="2" t="s">
        <v>167</v>
      </c>
      <c r="E1078" s="2" t="s">
        <v>4090</v>
      </c>
      <c r="F1078" s="2" t="s">
        <v>4090</v>
      </c>
      <c r="G1078" s="2" t="s">
        <v>4091</v>
      </c>
      <c r="H1078" s="2" t="s">
        <v>127</v>
      </c>
      <c r="I1078" s="2" t="s">
        <v>2599</v>
      </c>
      <c r="J1078" s="2" t="s">
        <v>62</v>
      </c>
      <c r="K1078" s="2" t="s">
        <v>24</v>
      </c>
      <c r="L1078" s="7">
        <v>45940.0</v>
      </c>
      <c r="M1078" s="2" t="s">
        <v>48</v>
      </c>
      <c r="N1078" s="2" t="s">
        <v>35</v>
      </c>
      <c r="O1078" s="2" t="s">
        <v>27</v>
      </c>
      <c r="P1078" s="2" t="s">
        <v>28</v>
      </c>
    </row>
    <row r="1079" ht="14.25" customHeight="1">
      <c r="A1079" s="6">
        <v>1.8433147E7</v>
      </c>
      <c r="B1079" s="2" t="s">
        <v>4092</v>
      </c>
      <c r="C1079" s="2" t="s">
        <v>17</v>
      </c>
      <c r="D1079" s="2" t="s">
        <v>88</v>
      </c>
      <c r="E1079" s="2" t="s">
        <v>4093</v>
      </c>
      <c r="F1079" s="2" t="s">
        <v>4093</v>
      </c>
      <c r="G1079" s="2" t="s">
        <v>4094</v>
      </c>
      <c r="H1079" s="2" t="s">
        <v>127</v>
      </c>
      <c r="I1079" s="2" t="s">
        <v>2591</v>
      </c>
      <c r="J1079" s="2" t="s">
        <v>62</v>
      </c>
      <c r="K1079" s="2" t="s">
        <v>24</v>
      </c>
      <c r="L1079" s="7">
        <v>45940.0</v>
      </c>
      <c r="M1079" s="2" t="s">
        <v>48</v>
      </c>
      <c r="N1079" s="2" t="s">
        <v>35</v>
      </c>
      <c r="O1079" s="2" t="s">
        <v>27</v>
      </c>
      <c r="P1079" s="2" t="s">
        <v>28</v>
      </c>
    </row>
    <row r="1080" ht="14.25" customHeight="1">
      <c r="A1080" s="6">
        <v>1.3835455E7</v>
      </c>
      <c r="B1080" s="2" t="s">
        <v>4095</v>
      </c>
      <c r="C1080" s="2" t="s">
        <v>17</v>
      </c>
      <c r="D1080" s="2" t="s">
        <v>38</v>
      </c>
      <c r="E1080" s="2" t="s">
        <v>4096</v>
      </c>
      <c r="F1080" s="2" t="s">
        <v>4096</v>
      </c>
      <c r="G1080" s="2" t="s">
        <v>4097</v>
      </c>
      <c r="H1080" s="2" t="s">
        <v>127</v>
      </c>
      <c r="I1080" s="2" t="s">
        <v>2591</v>
      </c>
      <c r="J1080" s="2" t="s">
        <v>62</v>
      </c>
      <c r="K1080" s="2" t="s">
        <v>24</v>
      </c>
      <c r="L1080" s="7">
        <v>45940.0</v>
      </c>
      <c r="M1080" s="2" t="s">
        <v>48</v>
      </c>
      <c r="N1080" s="2" t="s">
        <v>35</v>
      </c>
      <c r="O1080" s="2" t="s">
        <v>27</v>
      </c>
      <c r="P1080" s="2" t="s">
        <v>28</v>
      </c>
    </row>
    <row r="1081" ht="14.25" customHeight="1">
      <c r="A1081" s="6">
        <v>1.4909103E7</v>
      </c>
      <c r="B1081" s="2" t="s">
        <v>4098</v>
      </c>
      <c r="C1081" s="2" t="s">
        <v>17</v>
      </c>
      <c r="D1081" s="2" t="s">
        <v>167</v>
      </c>
      <c r="E1081" s="2" t="s">
        <v>4099</v>
      </c>
      <c r="F1081" s="2" t="s">
        <v>4099</v>
      </c>
      <c r="G1081" s="2" t="s">
        <v>4100</v>
      </c>
      <c r="H1081" s="2" t="s">
        <v>127</v>
      </c>
      <c r="I1081" s="2" t="s">
        <v>2591</v>
      </c>
      <c r="J1081" s="2" t="s">
        <v>62</v>
      </c>
      <c r="K1081" s="2" t="s">
        <v>24</v>
      </c>
      <c r="L1081" s="7">
        <v>45940.0</v>
      </c>
      <c r="M1081" s="2" t="s">
        <v>48</v>
      </c>
      <c r="N1081" s="2" t="s">
        <v>35</v>
      </c>
      <c r="O1081" s="2" t="s">
        <v>27</v>
      </c>
      <c r="P1081" s="2" t="s">
        <v>28</v>
      </c>
    </row>
    <row r="1082" ht="14.25" customHeight="1">
      <c r="A1082" s="6">
        <v>1.4438585E7</v>
      </c>
      <c r="B1082" s="2" t="s">
        <v>4101</v>
      </c>
      <c r="C1082" s="2" t="s">
        <v>17</v>
      </c>
      <c r="D1082" s="2" t="s">
        <v>167</v>
      </c>
      <c r="E1082" s="2" t="s">
        <v>4102</v>
      </c>
      <c r="F1082" s="2" t="s">
        <v>4102</v>
      </c>
      <c r="G1082" s="2" t="s">
        <v>4103</v>
      </c>
      <c r="H1082" s="2" t="s">
        <v>127</v>
      </c>
      <c r="I1082" s="2" t="s">
        <v>2599</v>
      </c>
      <c r="J1082" s="2" t="s">
        <v>62</v>
      </c>
      <c r="K1082" s="2" t="s">
        <v>24</v>
      </c>
      <c r="L1082" s="7">
        <v>45940.0</v>
      </c>
      <c r="M1082" s="2" t="s">
        <v>48</v>
      </c>
      <c r="N1082" s="2" t="s">
        <v>35</v>
      </c>
      <c r="O1082" s="2" t="s">
        <v>27</v>
      </c>
      <c r="P1082" s="2" t="s">
        <v>28</v>
      </c>
    </row>
    <row r="1083" ht="14.25" customHeight="1">
      <c r="A1083" s="6">
        <v>1.2102075E7</v>
      </c>
      <c r="B1083" s="2" t="s">
        <v>4104</v>
      </c>
      <c r="C1083" s="2" t="s">
        <v>17</v>
      </c>
      <c r="D1083" s="2" t="s">
        <v>167</v>
      </c>
      <c r="E1083" s="2" t="s">
        <v>4105</v>
      </c>
      <c r="F1083" s="2" t="s">
        <v>4105</v>
      </c>
      <c r="G1083" s="2" t="s">
        <v>4106</v>
      </c>
      <c r="H1083" s="2" t="s">
        <v>127</v>
      </c>
      <c r="I1083" s="2" t="s">
        <v>2591</v>
      </c>
      <c r="J1083" s="2" t="s">
        <v>62</v>
      </c>
      <c r="K1083" s="2" t="s">
        <v>24</v>
      </c>
      <c r="L1083" s="7">
        <v>45940.0</v>
      </c>
      <c r="M1083" s="2" t="s">
        <v>48</v>
      </c>
      <c r="N1083" s="2" t="s">
        <v>35</v>
      </c>
      <c r="O1083" s="2" t="s">
        <v>27</v>
      </c>
      <c r="P1083" s="2" t="s">
        <v>28</v>
      </c>
    </row>
    <row r="1084" ht="14.25" customHeight="1">
      <c r="A1084" s="6">
        <v>2.0512918E7</v>
      </c>
      <c r="B1084" s="2" t="s">
        <v>4107</v>
      </c>
      <c r="C1084" s="2" t="s">
        <v>17</v>
      </c>
      <c r="D1084" s="2" t="s">
        <v>38</v>
      </c>
      <c r="E1084" s="2" t="s">
        <v>4108</v>
      </c>
      <c r="F1084" s="2" t="s">
        <v>4108</v>
      </c>
      <c r="G1084" s="2" t="s">
        <v>4109</v>
      </c>
      <c r="H1084" s="2" t="s">
        <v>127</v>
      </c>
      <c r="I1084" s="2" t="s">
        <v>2591</v>
      </c>
      <c r="J1084" s="2" t="s">
        <v>62</v>
      </c>
      <c r="K1084" s="2" t="s">
        <v>24</v>
      </c>
      <c r="L1084" s="7">
        <v>45940.0</v>
      </c>
      <c r="M1084" s="2" t="s">
        <v>48</v>
      </c>
      <c r="N1084" s="2" t="s">
        <v>35</v>
      </c>
      <c r="O1084" s="2" t="s">
        <v>27</v>
      </c>
      <c r="P1084" s="2" t="s">
        <v>28</v>
      </c>
    </row>
    <row r="1085" ht="14.25" customHeight="1">
      <c r="A1085" s="6">
        <v>1.3284053E7</v>
      </c>
      <c r="B1085" s="2" t="s">
        <v>4110</v>
      </c>
      <c r="C1085" s="2" t="s">
        <v>17</v>
      </c>
      <c r="D1085" s="2" t="s">
        <v>167</v>
      </c>
      <c r="E1085" s="2" t="s">
        <v>4111</v>
      </c>
      <c r="F1085" s="2" t="s">
        <v>4111</v>
      </c>
      <c r="G1085" s="2" t="s">
        <v>4112</v>
      </c>
      <c r="H1085" s="2" t="s">
        <v>127</v>
      </c>
      <c r="I1085" s="2" t="s">
        <v>2591</v>
      </c>
      <c r="J1085" s="2" t="s">
        <v>62</v>
      </c>
      <c r="K1085" s="2" t="s">
        <v>24</v>
      </c>
      <c r="L1085" s="7">
        <v>45940.0</v>
      </c>
      <c r="M1085" s="2" t="s">
        <v>48</v>
      </c>
      <c r="N1085" s="2" t="s">
        <v>35</v>
      </c>
      <c r="O1085" s="2" t="s">
        <v>27</v>
      </c>
      <c r="P1085" s="2" t="s">
        <v>28</v>
      </c>
    </row>
    <row r="1086" ht="14.25" customHeight="1">
      <c r="A1086" s="6">
        <v>8850650.0</v>
      </c>
      <c r="B1086" s="2" t="s">
        <v>4113</v>
      </c>
      <c r="C1086" s="2" t="s">
        <v>17</v>
      </c>
      <c r="D1086" s="2" t="s">
        <v>88</v>
      </c>
      <c r="E1086" s="2" t="s">
        <v>4114</v>
      </c>
      <c r="F1086" s="2" t="s">
        <v>4114</v>
      </c>
      <c r="G1086" s="2" t="s">
        <v>4115</v>
      </c>
      <c r="H1086" s="2" t="s">
        <v>127</v>
      </c>
      <c r="I1086" s="2" t="s">
        <v>2599</v>
      </c>
      <c r="J1086" s="2" t="s">
        <v>62</v>
      </c>
      <c r="K1086" s="2" t="s">
        <v>24</v>
      </c>
      <c r="L1086" s="7">
        <v>45940.0</v>
      </c>
      <c r="M1086" s="2" t="s">
        <v>48</v>
      </c>
      <c r="N1086" s="2" t="s">
        <v>35</v>
      </c>
      <c r="O1086" s="2" t="s">
        <v>27</v>
      </c>
      <c r="P1086" s="2" t="s">
        <v>28</v>
      </c>
    </row>
    <row r="1087" ht="14.25" customHeight="1">
      <c r="A1087" s="6">
        <v>2.0022262E7</v>
      </c>
      <c r="B1087" s="2" t="s">
        <v>4116</v>
      </c>
      <c r="C1087" s="2" t="s">
        <v>17</v>
      </c>
      <c r="D1087" s="2" t="s">
        <v>167</v>
      </c>
      <c r="E1087" s="2" t="s">
        <v>4117</v>
      </c>
      <c r="F1087" s="2" t="s">
        <v>4117</v>
      </c>
      <c r="G1087" s="2" t="s">
        <v>4118</v>
      </c>
      <c r="H1087" s="2" t="s">
        <v>127</v>
      </c>
      <c r="I1087" s="2" t="s">
        <v>2591</v>
      </c>
      <c r="J1087" s="2" t="s">
        <v>62</v>
      </c>
      <c r="K1087" s="2" t="s">
        <v>24</v>
      </c>
      <c r="L1087" s="7">
        <v>45940.0</v>
      </c>
      <c r="M1087" s="2" t="s">
        <v>48</v>
      </c>
      <c r="N1087" s="2" t="s">
        <v>35</v>
      </c>
      <c r="O1087" s="2" t="s">
        <v>27</v>
      </c>
      <c r="P1087" s="2" t="s">
        <v>28</v>
      </c>
    </row>
    <row r="1088" ht="14.25" customHeight="1">
      <c r="A1088" s="6">
        <v>2.173114E7</v>
      </c>
      <c r="B1088" s="2" t="s">
        <v>4119</v>
      </c>
      <c r="C1088" s="2" t="s">
        <v>17</v>
      </c>
      <c r="D1088" s="2" t="s">
        <v>88</v>
      </c>
      <c r="E1088" s="2" t="s">
        <v>4120</v>
      </c>
      <c r="F1088" s="2" t="s">
        <v>4120</v>
      </c>
      <c r="G1088" s="2" t="s">
        <v>4121</v>
      </c>
      <c r="H1088" s="2" t="s">
        <v>127</v>
      </c>
      <c r="I1088" s="2" t="s">
        <v>2608</v>
      </c>
      <c r="J1088" s="2" t="s">
        <v>62</v>
      </c>
      <c r="K1088" s="2" t="s">
        <v>24</v>
      </c>
      <c r="L1088" s="7">
        <v>45940.0</v>
      </c>
      <c r="M1088" s="2" t="s">
        <v>48</v>
      </c>
      <c r="N1088" s="2" t="s">
        <v>35</v>
      </c>
      <c r="O1088" s="2" t="s">
        <v>27</v>
      </c>
      <c r="P1088" s="2" t="s">
        <v>28</v>
      </c>
    </row>
    <row r="1089" ht="14.25" customHeight="1">
      <c r="A1089" s="6">
        <v>1.0356017E7</v>
      </c>
      <c r="B1089" s="2" t="s">
        <v>4122</v>
      </c>
      <c r="C1089" s="2" t="s">
        <v>17</v>
      </c>
      <c r="D1089" s="2" t="s">
        <v>167</v>
      </c>
      <c r="E1089" s="2" t="s">
        <v>4123</v>
      </c>
      <c r="F1089" s="2" t="s">
        <v>4123</v>
      </c>
      <c r="G1089" s="2" t="s">
        <v>4124</v>
      </c>
      <c r="H1089" s="2" t="s">
        <v>127</v>
      </c>
      <c r="I1089" s="2" t="s">
        <v>2591</v>
      </c>
      <c r="J1089" s="2" t="s">
        <v>62</v>
      </c>
      <c r="K1089" s="2" t="s">
        <v>24</v>
      </c>
      <c r="L1089" s="7">
        <v>45940.0</v>
      </c>
      <c r="M1089" s="2" t="s">
        <v>48</v>
      </c>
      <c r="N1089" s="2" t="s">
        <v>35</v>
      </c>
      <c r="O1089" s="2" t="s">
        <v>27</v>
      </c>
      <c r="P1089" s="2" t="s">
        <v>28</v>
      </c>
    </row>
    <row r="1090" ht="14.25" customHeight="1">
      <c r="A1090" s="6">
        <v>1.2405155E7</v>
      </c>
      <c r="B1090" s="2" t="s">
        <v>4125</v>
      </c>
      <c r="C1090" s="2" t="s">
        <v>17</v>
      </c>
      <c r="D1090" s="2" t="s">
        <v>38</v>
      </c>
      <c r="E1090" s="2" t="s">
        <v>4126</v>
      </c>
      <c r="F1090" s="2" t="s">
        <v>4126</v>
      </c>
      <c r="G1090" s="2" t="s">
        <v>4127</v>
      </c>
      <c r="H1090" s="2" t="s">
        <v>127</v>
      </c>
      <c r="I1090" s="2" t="s">
        <v>2608</v>
      </c>
      <c r="J1090" s="2" t="s">
        <v>62</v>
      </c>
      <c r="K1090" s="2" t="s">
        <v>24</v>
      </c>
      <c r="L1090" s="7">
        <v>45940.0</v>
      </c>
      <c r="M1090" s="2" t="s">
        <v>48</v>
      </c>
      <c r="N1090" s="2" t="s">
        <v>35</v>
      </c>
      <c r="O1090" s="2" t="s">
        <v>27</v>
      </c>
      <c r="P1090" s="2" t="s">
        <v>28</v>
      </c>
    </row>
    <row r="1091" ht="14.25" customHeight="1">
      <c r="A1091" s="6">
        <v>2.1917977E7</v>
      </c>
      <c r="B1091" s="2" t="s">
        <v>4128</v>
      </c>
      <c r="C1091" s="2" t="s">
        <v>17</v>
      </c>
      <c r="D1091" s="2" t="s">
        <v>167</v>
      </c>
      <c r="E1091" s="2" t="s">
        <v>4129</v>
      </c>
      <c r="F1091" s="2" t="s">
        <v>4129</v>
      </c>
      <c r="G1091" s="2" t="s">
        <v>4130</v>
      </c>
      <c r="H1091" s="2" t="s">
        <v>127</v>
      </c>
      <c r="I1091" s="2" t="s">
        <v>2599</v>
      </c>
      <c r="J1091" s="2" t="s">
        <v>62</v>
      </c>
      <c r="K1091" s="2" t="s">
        <v>24</v>
      </c>
      <c r="L1091" s="7">
        <v>45940.0</v>
      </c>
      <c r="M1091" s="2" t="s">
        <v>48</v>
      </c>
      <c r="N1091" s="2" t="s">
        <v>35</v>
      </c>
      <c r="O1091" s="2" t="s">
        <v>27</v>
      </c>
      <c r="P1091" s="2" t="s">
        <v>28</v>
      </c>
    </row>
    <row r="1092" ht="14.25" customHeight="1">
      <c r="A1092" s="6">
        <v>1.7445721E7</v>
      </c>
      <c r="B1092" s="2" t="s">
        <v>4131</v>
      </c>
      <c r="C1092" s="2" t="s">
        <v>17</v>
      </c>
      <c r="D1092" s="2" t="s">
        <v>38</v>
      </c>
      <c r="E1092" s="2" t="s">
        <v>4132</v>
      </c>
      <c r="F1092" s="2" t="s">
        <v>4132</v>
      </c>
      <c r="G1092" s="2" t="s">
        <v>4133</v>
      </c>
      <c r="H1092" s="2" t="s">
        <v>127</v>
      </c>
      <c r="I1092" s="2" t="s">
        <v>2591</v>
      </c>
      <c r="J1092" s="2" t="s">
        <v>62</v>
      </c>
      <c r="K1092" s="2" t="s">
        <v>24</v>
      </c>
      <c r="L1092" s="7">
        <v>45940.0</v>
      </c>
      <c r="M1092" s="2" t="s">
        <v>48</v>
      </c>
      <c r="N1092" s="2" t="s">
        <v>35</v>
      </c>
      <c r="O1092" s="2" t="s">
        <v>27</v>
      </c>
      <c r="P1092" s="2" t="s">
        <v>28</v>
      </c>
    </row>
    <row r="1093" ht="14.25" customHeight="1">
      <c r="A1093" s="6">
        <v>2.0149908E7</v>
      </c>
      <c r="B1093" s="2" t="s">
        <v>4134</v>
      </c>
      <c r="C1093" s="2" t="s">
        <v>17</v>
      </c>
      <c r="D1093" s="2" t="s">
        <v>167</v>
      </c>
      <c r="E1093" s="2" t="s">
        <v>4135</v>
      </c>
      <c r="F1093" s="2" t="s">
        <v>4135</v>
      </c>
      <c r="G1093" s="2" t="s">
        <v>4136</v>
      </c>
      <c r="H1093" s="2" t="s">
        <v>127</v>
      </c>
      <c r="I1093" s="2" t="s">
        <v>2599</v>
      </c>
      <c r="J1093" s="2" t="s">
        <v>62</v>
      </c>
      <c r="K1093" s="2" t="s">
        <v>24</v>
      </c>
      <c r="L1093" s="7">
        <v>45940.0</v>
      </c>
      <c r="M1093" s="2" t="s">
        <v>48</v>
      </c>
      <c r="N1093" s="2" t="s">
        <v>35</v>
      </c>
      <c r="O1093" s="2" t="s">
        <v>27</v>
      </c>
      <c r="P1093" s="2" t="s">
        <v>28</v>
      </c>
    </row>
    <row r="1094" ht="14.25" customHeight="1">
      <c r="A1094" s="6">
        <v>1.9297282E7</v>
      </c>
      <c r="B1094" s="2" t="s">
        <v>4137</v>
      </c>
      <c r="C1094" s="2" t="s">
        <v>17</v>
      </c>
      <c r="D1094" s="2" t="s">
        <v>167</v>
      </c>
      <c r="E1094" s="2" t="s">
        <v>4138</v>
      </c>
      <c r="F1094" s="2" t="s">
        <v>4138</v>
      </c>
      <c r="G1094" s="2" t="s">
        <v>4139</v>
      </c>
      <c r="H1094" s="2" t="s">
        <v>127</v>
      </c>
      <c r="I1094" s="2" t="s">
        <v>2599</v>
      </c>
      <c r="J1094" s="2" t="s">
        <v>62</v>
      </c>
      <c r="K1094" s="2" t="s">
        <v>24</v>
      </c>
      <c r="L1094" s="7">
        <v>45940.0</v>
      </c>
      <c r="M1094" s="2" t="s">
        <v>48</v>
      </c>
      <c r="N1094" s="2" t="s">
        <v>35</v>
      </c>
      <c r="O1094" s="2" t="s">
        <v>27</v>
      </c>
      <c r="P1094" s="2" t="s">
        <v>28</v>
      </c>
    </row>
    <row r="1095" ht="14.25" customHeight="1">
      <c r="A1095" s="6">
        <v>1.6863516E7</v>
      </c>
      <c r="B1095" s="2" t="s">
        <v>4140</v>
      </c>
      <c r="C1095" s="2" t="s">
        <v>17</v>
      </c>
      <c r="D1095" s="2" t="s">
        <v>88</v>
      </c>
      <c r="E1095" s="2" t="s">
        <v>4141</v>
      </c>
      <c r="F1095" s="2" t="s">
        <v>4141</v>
      </c>
      <c r="G1095" s="2" t="s">
        <v>4142</v>
      </c>
      <c r="H1095" s="2" t="s">
        <v>127</v>
      </c>
      <c r="I1095" s="2" t="s">
        <v>2591</v>
      </c>
      <c r="J1095" s="2" t="s">
        <v>62</v>
      </c>
      <c r="K1095" s="2" t="s">
        <v>24</v>
      </c>
      <c r="L1095" s="7">
        <v>45940.0</v>
      </c>
      <c r="M1095" s="2" t="s">
        <v>48</v>
      </c>
      <c r="N1095" s="2" t="s">
        <v>35</v>
      </c>
      <c r="O1095" s="2" t="s">
        <v>27</v>
      </c>
      <c r="P1095" s="2" t="s">
        <v>28</v>
      </c>
    </row>
    <row r="1096" ht="14.25" customHeight="1">
      <c r="A1096" s="6">
        <v>1.3141427E7</v>
      </c>
      <c r="B1096" s="2" t="s">
        <v>4143</v>
      </c>
      <c r="C1096" s="2" t="s">
        <v>17</v>
      </c>
      <c r="D1096" s="2" t="s">
        <v>57</v>
      </c>
      <c r="E1096" s="2" t="s">
        <v>4144</v>
      </c>
      <c r="F1096" s="2" t="s">
        <v>4144</v>
      </c>
      <c r="G1096" s="2" t="s">
        <v>4145</v>
      </c>
      <c r="H1096" s="2" t="s">
        <v>127</v>
      </c>
      <c r="I1096" s="2" t="s">
        <v>2599</v>
      </c>
      <c r="J1096" s="2" t="s">
        <v>62</v>
      </c>
      <c r="K1096" s="2" t="s">
        <v>24</v>
      </c>
      <c r="L1096" s="7">
        <v>45940.0</v>
      </c>
      <c r="M1096" s="2" t="s">
        <v>48</v>
      </c>
      <c r="N1096" s="2" t="s">
        <v>35</v>
      </c>
      <c r="O1096" s="2" t="s">
        <v>27</v>
      </c>
      <c r="P1096" s="2" t="s">
        <v>28</v>
      </c>
    </row>
    <row r="1097" ht="14.25" customHeight="1">
      <c r="A1097" s="6">
        <v>1.0884449E7</v>
      </c>
      <c r="B1097" s="2" t="s">
        <v>4146</v>
      </c>
      <c r="C1097" s="2" t="s">
        <v>17</v>
      </c>
      <c r="D1097" s="2" t="s">
        <v>88</v>
      </c>
      <c r="E1097" s="2" t="s">
        <v>4147</v>
      </c>
      <c r="F1097" s="2" t="s">
        <v>4147</v>
      </c>
      <c r="G1097" s="2" t="s">
        <v>4148</v>
      </c>
      <c r="H1097" s="2" t="s">
        <v>127</v>
      </c>
      <c r="I1097" s="2" t="s">
        <v>2608</v>
      </c>
      <c r="J1097" s="2" t="s">
        <v>62</v>
      </c>
      <c r="K1097" s="2" t="s">
        <v>24</v>
      </c>
      <c r="L1097" s="7">
        <v>45940.0</v>
      </c>
      <c r="M1097" s="2" t="s">
        <v>48</v>
      </c>
      <c r="N1097" s="2" t="s">
        <v>35</v>
      </c>
      <c r="O1097" s="2" t="s">
        <v>27</v>
      </c>
      <c r="P1097" s="2" t="s">
        <v>28</v>
      </c>
    </row>
    <row r="1098" ht="14.25" customHeight="1">
      <c r="A1098" s="6">
        <v>7801950.0</v>
      </c>
      <c r="B1098" s="2" t="s">
        <v>4149</v>
      </c>
      <c r="C1098" s="2" t="s">
        <v>17</v>
      </c>
      <c r="D1098" s="2" t="s">
        <v>167</v>
      </c>
      <c r="E1098" s="2" t="s">
        <v>4150</v>
      </c>
      <c r="F1098" s="2" t="s">
        <v>4150</v>
      </c>
      <c r="G1098" s="2" t="s">
        <v>4151</v>
      </c>
      <c r="H1098" s="2" t="s">
        <v>127</v>
      </c>
      <c r="I1098" s="2" t="s">
        <v>2599</v>
      </c>
      <c r="J1098" s="2" t="s">
        <v>62</v>
      </c>
      <c r="K1098" s="2" t="s">
        <v>24</v>
      </c>
      <c r="L1098" s="7">
        <v>45940.0</v>
      </c>
      <c r="M1098" s="2" t="s">
        <v>48</v>
      </c>
      <c r="N1098" s="2" t="s">
        <v>35</v>
      </c>
      <c r="O1098" s="2" t="s">
        <v>27</v>
      </c>
      <c r="P1098" s="2" t="s">
        <v>28</v>
      </c>
    </row>
    <row r="1099" ht="14.25" customHeight="1">
      <c r="A1099" s="6">
        <v>7013898.0</v>
      </c>
      <c r="B1099" s="2" t="s">
        <v>4152</v>
      </c>
      <c r="C1099" s="2" t="s">
        <v>17</v>
      </c>
      <c r="D1099" s="2" t="s">
        <v>57</v>
      </c>
      <c r="E1099" s="2" t="s">
        <v>4153</v>
      </c>
      <c r="F1099" s="2" t="s">
        <v>4153</v>
      </c>
      <c r="G1099" s="2" t="s">
        <v>4154</v>
      </c>
      <c r="H1099" s="2" t="s">
        <v>127</v>
      </c>
      <c r="I1099" s="2" t="s">
        <v>2608</v>
      </c>
      <c r="J1099" s="2" t="s">
        <v>62</v>
      </c>
      <c r="K1099" s="2" t="s">
        <v>24</v>
      </c>
      <c r="L1099" s="7">
        <v>45940.0</v>
      </c>
      <c r="M1099" s="2" t="s">
        <v>48</v>
      </c>
      <c r="N1099" s="2" t="s">
        <v>35</v>
      </c>
      <c r="O1099" s="2" t="s">
        <v>27</v>
      </c>
      <c r="P1099" s="2" t="s">
        <v>28</v>
      </c>
    </row>
    <row r="1100" ht="14.25" customHeight="1">
      <c r="A1100" s="6">
        <v>1.6009687E7</v>
      </c>
      <c r="B1100" s="2" t="s">
        <v>4155</v>
      </c>
      <c r="C1100" s="2" t="s">
        <v>17</v>
      </c>
      <c r="D1100" s="2" t="s">
        <v>38</v>
      </c>
      <c r="E1100" s="2" t="s">
        <v>4156</v>
      </c>
      <c r="F1100" s="2" t="s">
        <v>4156</v>
      </c>
      <c r="G1100" s="2" t="s">
        <v>4157</v>
      </c>
      <c r="H1100" s="2" t="s">
        <v>127</v>
      </c>
      <c r="I1100" s="2" t="s">
        <v>2599</v>
      </c>
      <c r="J1100" s="2" t="s">
        <v>62</v>
      </c>
      <c r="K1100" s="2" t="s">
        <v>24</v>
      </c>
      <c r="L1100" s="7">
        <v>45942.0</v>
      </c>
      <c r="M1100" s="2" t="s">
        <v>48</v>
      </c>
      <c r="N1100" s="2" t="s">
        <v>35</v>
      </c>
      <c r="O1100" s="2" t="s">
        <v>27</v>
      </c>
      <c r="P1100" s="2" t="s">
        <v>28</v>
      </c>
    </row>
    <row r="1101" ht="14.25" customHeight="1">
      <c r="A1101" s="6">
        <v>1.3886617E7</v>
      </c>
      <c r="B1101" s="2" t="s">
        <v>4158</v>
      </c>
      <c r="C1101" s="2" t="s">
        <v>17</v>
      </c>
      <c r="D1101" s="2" t="s">
        <v>167</v>
      </c>
      <c r="E1101" s="2" t="s">
        <v>4159</v>
      </c>
      <c r="F1101" s="2" t="s">
        <v>4159</v>
      </c>
      <c r="G1101" s="2" t="s">
        <v>4160</v>
      </c>
      <c r="H1101" s="2" t="s">
        <v>127</v>
      </c>
      <c r="I1101" s="2" t="s">
        <v>2608</v>
      </c>
      <c r="J1101" s="2" t="s">
        <v>62</v>
      </c>
      <c r="K1101" s="2" t="s">
        <v>24</v>
      </c>
      <c r="L1101" s="7">
        <v>45940.0</v>
      </c>
      <c r="M1101" s="2" t="s">
        <v>48</v>
      </c>
      <c r="N1101" s="2" t="s">
        <v>35</v>
      </c>
      <c r="O1101" s="2" t="s">
        <v>27</v>
      </c>
      <c r="P1101" s="2" t="s">
        <v>28</v>
      </c>
    </row>
    <row r="1102" ht="14.25" customHeight="1">
      <c r="A1102" s="6">
        <v>1.4128948E7</v>
      </c>
      <c r="B1102" s="2" t="s">
        <v>4161</v>
      </c>
      <c r="C1102" s="2" t="s">
        <v>17</v>
      </c>
      <c r="D1102" s="2" t="s">
        <v>167</v>
      </c>
      <c r="E1102" s="2" t="s">
        <v>4162</v>
      </c>
      <c r="F1102" s="2" t="s">
        <v>4162</v>
      </c>
      <c r="G1102" s="2" t="s">
        <v>4163</v>
      </c>
      <c r="H1102" s="2" t="s">
        <v>127</v>
      </c>
      <c r="I1102" s="2" t="s">
        <v>2608</v>
      </c>
      <c r="J1102" s="2" t="s">
        <v>62</v>
      </c>
      <c r="K1102" s="2" t="s">
        <v>24</v>
      </c>
      <c r="L1102" s="7">
        <v>45940.0</v>
      </c>
      <c r="M1102" s="2" t="s">
        <v>48</v>
      </c>
      <c r="N1102" s="2" t="s">
        <v>35</v>
      </c>
      <c r="O1102" s="2" t="s">
        <v>27</v>
      </c>
      <c r="P1102" s="2" t="s">
        <v>28</v>
      </c>
    </row>
    <row r="1103" ht="14.25" customHeight="1">
      <c r="A1103" s="6">
        <v>1.588182E7</v>
      </c>
      <c r="B1103" s="2" t="s">
        <v>4164</v>
      </c>
      <c r="C1103" s="2" t="s">
        <v>17</v>
      </c>
      <c r="D1103" s="2" t="s">
        <v>38</v>
      </c>
      <c r="E1103" s="2" t="s">
        <v>4165</v>
      </c>
      <c r="F1103" s="2" t="s">
        <v>4165</v>
      </c>
      <c r="G1103" s="2" t="s">
        <v>4166</v>
      </c>
      <c r="H1103" s="2" t="s">
        <v>127</v>
      </c>
      <c r="I1103" s="2" t="s">
        <v>2599</v>
      </c>
      <c r="J1103" s="2" t="s">
        <v>62</v>
      </c>
      <c r="K1103" s="2" t="s">
        <v>24</v>
      </c>
      <c r="L1103" s="7">
        <v>45940.0</v>
      </c>
      <c r="M1103" s="2" t="s">
        <v>48</v>
      </c>
      <c r="N1103" s="2" t="s">
        <v>35</v>
      </c>
      <c r="O1103" s="2" t="s">
        <v>27</v>
      </c>
      <c r="P1103" s="2" t="s">
        <v>28</v>
      </c>
    </row>
    <row r="1104" ht="14.25" customHeight="1">
      <c r="A1104" s="6">
        <v>1.9509198E7</v>
      </c>
      <c r="B1104" s="2" t="s">
        <v>4167</v>
      </c>
      <c r="C1104" s="2" t="s">
        <v>17</v>
      </c>
      <c r="D1104" s="2" t="s">
        <v>38</v>
      </c>
      <c r="E1104" s="2" t="s">
        <v>4168</v>
      </c>
      <c r="F1104" s="2" t="s">
        <v>4168</v>
      </c>
      <c r="G1104" s="2" t="s">
        <v>4169</v>
      </c>
      <c r="H1104" s="2" t="s">
        <v>127</v>
      </c>
      <c r="I1104" s="2" t="s">
        <v>2599</v>
      </c>
      <c r="J1104" s="2" t="s">
        <v>62</v>
      </c>
      <c r="K1104" s="2" t="s">
        <v>24</v>
      </c>
      <c r="L1104" s="7">
        <v>45940.0</v>
      </c>
      <c r="M1104" s="2" t="s">
        <v>48</v>
      </c>
      <c r="N1104" s="2" t="s">
        <v>35</v>
      </c>
      <c r="O1104" s="2" t="s">
        <v>27</v>
      </c>
      <c r="P1104" s="2" t="s">
        <v>28</v>
      </c>
    </row>
    <row r="1105" ht="14.25" customHeight="1">
      <c r="A1105" s="6">
        <v>1.6504108E7</v>
      </c>
      <c r="B1105" s="2" t="s">
        <v>4170</v>
      </c>
      <c r="C1105" s="2" t="s">
        <v>17</v>
      </c>
      <c r="D1105" s="2" t="s">
        <v>167</v>
      </c>
      <c r="E1105" s="2" t="s">
        <v>4171</v>
      </c>
      <c r="F1105" s="2" t="s">
        <v>4171</v>
      </c>
      <c r="G1105" s="2" t="s">
        <v>4172</v>
      </c>
      <c r="H1105" s="2" t="s">
        <v>127</v>
      </c>
      <c r="I1105" s="2" t="s">
        <v>2608</v>
      </c>
      <c r="J1105" s="2" t="s">
        <v>62</v>
      </c>
      <c r="K1105" s="2" t="s">
        <v>24</v>
      </c>
      <c r="L1105" s="7">
        <v>45940.0</v>
      </c>
      <c r="M1105" s="2" t="s">
        <v>48</v>
      </c>
      <c r="N1105" s="2" t="s">
        <v>35</v>
      </c>
      <c r="O1105" s="2" t="s">
        <v>27</v>
      </c>
      <c r="P1105" s="2" t="s">
        <v>28</v>
      </c>
    </row>
    <row r="1106" ht="14.25" customHeight="1">
      <c r="A1106" s="6">
        <v>1.2531225E7</v>
      </c>
      <c r="B1106" s="2" t="s">
        <v>4173</v>
      </c>
      <c r="C1106" s="2" t="s">
        <v>17</v>
      </c>
      <c r="D1106" s="2" t="s">
        <v>88</v>
      </c>
      <c r="E1106" s="2" t="s">
        <v>4174</v>
      </c>
      <c r="F1106" s="2" t="s">
        <v>4174</v>
      </c>
      <c r="G1106" s="2" t="s">
        <v>4175</v>
      </c>
      <c r="H1106" s="2" t="s">
        <v>127</v>
      </c>
      <c r="I1106" s="2" t="s">
        <v>2591</v>
      </c>
      <c r="J1106" s="2" t="s">
        <v>62</v>
      </c>
      <c r="K1106" s="2" t="s">
        <v>24</v>
      </c>
      <c r="L1106" s="7">
        <v>45940.0</v>
      </c>
      <c r="M1106" s="2" t="s">
        <v>48</v>
      </c>
      <c r="N1106" s="2" t="s">
        <v>35</v>
      </c>
      <c r="O1106" s="2" t="s">
        <v>27</v>
      </c>
      <c r="P1106" s="2" t="s">
        <v>28</v>
      </c>
    </row>
    <row r="1107" ht="14.25" customHeight="1">
      <c r="A1107" s="6">
        <v>8689680.0</v>
      </c>
      <c r="B1107" s="2" t="s">
        <v>4176</v>
      </c>
      <c r="C1107" s="2" t="s">
        <v>17</v>
      </c>
      <c r="D1107" s="2" t="s">
        <v>167</v>
      </c>
      <c r="E1107" s="2" t="s">
        <v>4177</v>
      </c>
      <c r="F1107" s="2" t="s">
        <v>4177</v>
      </c>
      <c r="G1107" s="2" t="s">
        <v>4178</v>
      </c>
      <c r="H1107" s="2" t="s">
        <v>127</v>
      </c>
      <c r="I1107" s="2" t="s">
        <v>2599</v>
      </c>
      <c r="J1107" s="2" t="s">
        <v>62</v>
      </c>
      <c r="K1107" s="2" t="s">
        <v>24</v>
      </c>
      <c r="L1107" s="7">
        <v>45940.0</v>
      </c>
      <c r="M1107" s="2" t="s">
        <v>48</v>
      </c>
      <c r="N1107" s="2" t="s">
        <v>35</v>
      </c>
      <c r="O1107" s="2" t="s">
        <v>27</v>
      </c>
      <c r="P1107" s="2" t="s">
        <v>28</v>
      </c>
    </row>
    <row r="1108" ht="14.25" customHeight="1">
      <c r="A1108" s="6">
        <v>2.1585125E7</v>
      </c>
      <c r="B1108" s="2" t="s">
        <v>4179</v>
      </c>
      <c r="C1108" s="2" t="s">
        <v>17</v>
      </c>
      <c r="D1108" s="2" t="s">
        <v>38</v>
      </c>
      <c r="E1108" s="2" t="s">
        <v>4180</v>
      </c>
      <c r="F1108" s="2" t="s">
        <v>4180</v>
      </c>
      <c r="G1108" s="2" t="s">
        <v>4181</v>
      </c>
      <c r="H1108" s="2" t="s">
        <v>127</v>
      </c>
      <c r="I1108" s="2" t="s">
        <v>2591</v>
      </c>
      <c r="J1108" s="2" t="s">
        <v>62</v>
      </c>
      <c r="K1108" s="2" t="s">
        <v>24</v>
      </c>
      <c r="L1108" s="7">
        <v>45940.0</v>
      </c>
      <c r="M1108" s="2" t="s">
        <v>48</v>
      </c>
      <c r="N1108" s="2" t="s">
        <v>35</v>
      </c>
      <c r="O1108" s="2" t="s">
        <v>27</v>
      </c>
      <c r="P1108" s="2" t="s">
        <v>28</v>
      </c>
    </row>
    <row r="1109" ht="14.25" customHeight="1">
      <c r="A1109" s="6">
        <v>8933324.0</v>
      </c>
      <c r="B1109" s="2" t="s">
        <v>4182</v>
      </c>
      <c r="C1109" s="2" t="s">
        <v>17</v>
      </c>
      <c r="D1109" s="2" t="s">
        <v>167</v>
      </c>
      <c r="E1109" s="2" t="s">
        <v>4183</v>
      </c>
      <c r="F1109" s="2" t="s">
        <v>4183</v>
      </c>
      <c r="G1109" s="2" t="s">
        <v>4184</v>
      </c>
      <c r="H1109" s="2" t="s">
        <v>127</v>
      </c>
      <c r="I1109" s="2" t="s">
        <v>2608</v>
      </c>
      <c r="J1109" s="2" t="s">
        <v>62</v>
      </c>
      <c r="K1109" s="2" t="s">
        <v>24</v>
      </c>
      <c r="L1109" s="7">
        <v>45940.0</v>
      </c>
      <c r="M1109" s="2" t="s">
        <v>48</v>
      </c>
      <c r="N1109" s="2" t="s">
        <v>35</v>
      </c>
      <c r="O1109" s="2" t="s">
        <v>27</v>
      </c>
      <c r="P1109" s="2" t="s">
        <v>28</v>
      </c>
    </row>
    <row r="1110" ht="14.25" customHeight="1">
      <c r="A1110" s="6">
        <v>1.8137808E7</v>
      </c>
      <c r="B1110" s="2" t="s">
        <v>4185</v>
      </c>
      <c r="C1110" s="2" t="s">
        <v>17</v>
      </c>
      <c r="D1110" s="2" t="s">
        <v>167</v>
      </c>
      <c r="E1110" s="2" t="s">
        <v>4186</v>
      </c>
      <c r="F1110" s="2" t="s">
        <v>4186</v>
      </c>
      <c r="G1110" s="2" t="s">
        <v>4187</v>
      </c>
      <c r="H1110" s="2" t="s">
        <v>127</v>
      </c>
      <c r="I1110" s="2" t="s">
        <v>2608</v>
      </c>
      <c r="J1110" s="2" t="s">
        <v>62</v>
      </c>
      <c r="K1110" s="2" t="s">
        <v>24</v>
      </c>
      <c r="L1110" s="7">
        <v>45940.0</v>
      </c>
      <c r="M1110" s="2" t="s">
        <v>48</v>
      </c>
      <c r="N1110" s="2" t="s">
        <v>35</v>
      </c>
      <c r="O1110" s="2" t="s">
        <v>27</v>
      </c>
      <c r="P1110" s="2" t="s">
        <v>28</v>
      </c>
    </row>
    <row r="1111" ht="14.25" customHeight="1">
      <c r="A1111" s="6">
        <v>1.7955412E7</v>
      </c>
      <c r="B1111" s="2" t="s">
        <v>4188</v>
      </c>
      <c r="C1111" s="2" t="s">
        <v>17</v>
      </c>
      <c r="D1111" s="2" t="s">
        <v>38</v>
      </c>
      <c r="E1111" s="2" t="s">
        <v>4189</v>
      </c>
      <c r="F1111" s="2" t="s">
        <v>4189</v>
      </c>
      <c r="G1111" s="2" t="s">
        <v>4190</v>
      </c>
      <c r="H1111" s="2" t="s">
        <v>127</v>
      </c>
      <c r="I1111" s="2" t="s">
        <v>2591</v>
      </c>
      <c r="J1111" s="2" t="s">
        <v>62</v>
      </c>
      <c r="K1111" s="2" t="s">
        <v>24</v>
      </c>
      <c r="L1111" s="7">
        <v>45940.0</v>
      </c>
      <c r="M1111" s="2" t="s">
        <v>48</v>
      </c>
      <c r="N1111" s="2" t="s">
        <v>35</v>
      </c>
      <c r="O1111" s="2" t="s">
        <v>27</v>
      </c>
      <c r="P1111" s="2" t="s">
        <v>28</v>
      </c>
    </row>
    <row r="1112" ht="14.25" customHeight="1">
      <c r="A1112" s="6">
        <v>1.3861618E7</v>
      </c>
      <c r="B1112" s="2" t="s">
        <v>4191</v>
      </c>
      <c r="C1112" s="2" t="s">
        <v>17</v>
      </c>
      <c r="D1112" s="2" t="s">
        <v>38</v>
      </c>
      <c r="E1112" s="2" t="s">
        <v>4192</v>
      </c>
      <c r="F1112" s="2" t="s">
        <v>4192</v>
      </c>
      <c r="G1112" s="2" t="s">
        <v>4193</v>
      </c>
      <c r="H1112" s="2" t="s">
        <v>127</v>
      </c>
      <c r="I1112" s="2" t="s">
        <v>2591</v>
      </c>
      <c r="J1112" s="2" t="s">
        <v>62</v>
      </c>
      <c r="K1112" s="2" t="s">
        <v>24</v>
      </c>
      <c r="L1112" s="7">
        <v>45940.0</v>
      </c>
      <c r="M1112" s="2" t="s">
        <v>48</v>
      </c>
      <c r="N1112" s="2" t="s">
        <v>35</v>
      </c>
      <c r="O1112" s="2" t="s">
        <v>27</v>
      </c>
      <c r="P1112" s="2" t="s">
        <v>28</v>
      </c>
    </row>
    <row r="1113" ht="14.25" customHeight="1">
      <c r="A1113" s="6">
        <v>2.0868608E7</v>
      </c>
      <c r="B1113" s="2" t="s">
        <v>4194</v>
      </c>
      <c r="C1113" s="2" t="s">
        <v>17</v>
      </c>
      <c r="D1113" s="2" t="s">
        <v>88</v>
      </c>
      <c r="E1113" s="2" t="s">
        <v>4195</v>
      </c>
      <c r="F1113" s="2" t="s">
        <v>4195</v>
      </c>
      <c r="G1113" s="2" t="s">
        <v>4196</v>
      </c>
      <c r="H1113" s="2" t="s">
        <v>127</v>
      </c>
      <c r="I1113" s="2" t="s">
        <v>2599</v>
      </c>
      <c r="J1113" s="2" t="s">
        <v>62</v>
      </c>
      <c r="K1113" s="2" t="s">
        <v>24</v>
      </c>
      <c r="L1113" s="7">
        <v>45940.0</v>
      </c>
      <c r="M1113" s="2" t="s">
        <v>48</v>
      </c>
      <c r="N1113" s="2" t="s">
        <v>35</v>
      </c>
      <c r="O1113" s="2" t="s">
        <v>27</v>
      </c>
      <c r="P1113" s="2" t="s">
        <v>28</v>
      </c>
    </row>
    <row r="1114" ht="14.25" customHeight="1">
      <c r="A1114" s="6">
        <v>1.519389E7</v>
      </c>
      <c r="B1114" s="2" t="s">
        <v>4197</v>
      </c>
      <c r="C1114" s="2" t="s">
        <v>17</v>
      </c>
      <c r="D1114" s="2" t="s">
        <v>167</v>
      </c>
      <c r="E1114" s="2" t="s">
        <v>4198</v>
      </c>
      <c r="F1114" s="2" t="s">
        <v>4198</v>
      </c>
      <c r="G1114" s="2" t="s">
        <v>4199</v>
      </c>
      <c r="H1114" s="2" t="s">
        <v>127</v>
      </c>
      <c r="I1114" s="2" t="s">
        <v>2599</v>
      </c>
      <c r="J1114" s="2" t="s">
        <v>62</v>
      </c>
      <c r="K1114" s="2" t="s">
        <v>24</v>
      </c>
      <c r="L1114" s="7">
        <v>45940.0</v>
      </c>
      <c r="M1114" s="2" t="s">
        <v>48</v>
      </c>
      <c r="N1114" s="2" t="s">
        <v>35</v>
      </c>
      <c r="O1114" s="2" t="s">
        <v>27</v>
      </c>
      <c r="P1114" s="2" t="s">
        <v>28</v>
      </c>
    </row>
    <row r="1115" ht="14.25" customHeight="1">
      <c r="A1115" s="6">
        <v>1.044642E7</v>
      </c>
      <c r="B1115" s="2" t="s">
        <v>4200</v>
      </c>
      <c r="C1115" s="2" t="s">
        <v>17</v>
      </c>
      <c r="D1115" s="2" t="s">
        <v>167</v>
      </c>
      <c r="E1115" s="2" t="s">
        <v>4201</v>
      </c>
      <c r="F1115" s="2" t="s">
        <v>4201</v>
      </c>
      <c r="G1115" s="2" t="s">
        <v>4202</v>
      </c>
      <c r="H1115" s="2" t="s">
        <v>127</v>
      </c>
      <c r="I1115" s="2" t="s">
        <v>2608</v>
      </c>
      <c r="J1115" s="2" t="s">
        <v>62</v>
      </c>
      <c r="K1115" s="2" t="s">
        <v>24</v>
      </c>
      <c r="L1115" s="7">
        <v>45940.0</v>
      </c>
      <c r="M1115" s="2" t="s">
        <v>48</v>
      </c>
      <c r="N1115" s="2" t="s">
        <v>35</v>
      </c>
      <c r="O1115" s="2" t="s">
        <v>27</v>
      </c>
      <c r="P1115" s="2" t="s">
        <v>28</v>
      </c>
    </row>
    <row r="1116" ht="14.25" customHeight="1">
      <c r="A1116" s="6">
        <v>2.0362325E7</v>
      </c>
      <c r="B1116" s="2" t="s">
        <v>4203</v>
      </c>
      <c r="C1116" s="2" t="s">
        <v>17</v>
      </c>
      <c r="D1116" s="2" t="s">
        <v>38</v>
      </c>
      <c r="E1116" s="2" t="s">
        <v>4204</v>
      </c>
      <c r="F1116" s="2" t="s">
        <v>4204</v>
      </c>
      <c r="G1116" s="2" t="s">
        <v>4205</v>
      </c>
      <c r="H1116" s="2" t="s">
        <v>127</v>
      </c>
      <c r="I1116" s="2" t="s">
        <v>2608</v>
      </c>
      <c r="J1116" s="2" t="s">
        <v>62</v>
      </c>
      <c r="K1116" s="2" t="s">
        <v>24</v>
      </c>
      <c r="L1116" s="7">
        <v>45940.0</v>
      </c>
      <c r="M1116" s="2" t="s">
        <v>48</v>
      </c>
      <c r="N1116" s="2" t="s">
        <v>35</v>
      </c>
      <c r="O1116" s="2" t="s">
        <v>27</v>
      </c>
      <c r="P1116" s="2" t="s">
        <v>28</v>
      </c>
    </row>
    <row r="1117" ht="14.25" customHeight="1">
      <c r="A1117" s="6">
        <v>1.8135147E7</v>
      </c>
      <c r="B1117" s="2" t="s">
        <v>4206</v>
      </c>
      <c r="C1117" s="2" t="s">
        <v>17</v>
      </c>
      <c r="D1117" s="2" t="s">
        <v>167</v>
      </c>
      <c r="E1117" s="2" t="s">
        <v>4207</v>
      </c>
      <c r="F1117" s="2" t="s">
        <v>4207</v>
      </c>
      <c r="G1117" s="2" t="s">
        <v>4208</v>
      </c>
      <c r="H1117" s="2" t="s">
        <v>127</v>
      </c>
      <c r="I1117" s="2" t="s">
        <v>2608</v>
      </c>
      <c r="J1117" s="2" t="s">
        <v>62</v>
      </c>
      <c r="K1117" s="2" t="s">
        <v>24</v>
      </c>
      <c r="L1117" s="7">
        <v>45940.0</v>
      </c>
      <c r="M1117" s="2" t="s">
        <v>48</v>
      </c>
      <c r="N1117" s="2" t="s">
        <v>35</v>
      </c>
      <c r="O1117" s="2" t="s">
        <v>27</v>
      </c>
      <c r="P1117" s="2" t="s">
        <v>28</v>
      </c>
    </row>
    <row r="1118" ht="14.25" customHeight="1">
      <c r="A1118" s="6">
        <v>9731535.0</v>
      </c>
      <c r="B1118" s="2" t="s">
        <v>4209</v>
      </c>
      <c r="C1118" s="2" t="s">
        <v>17</v>
      </c>
      <c r="D1118" s="2" t="s">
        <v>57</v>
      </c>
      <c r="E1118" s="2" t="s">
        <v>4210</v>
      </c>
      <c r="F1118" s="2" t="s">
        <v>4210</v>
      </c>
      <c r="G1118" s="2" t="s">
        <v>4211</v>
      </c>
      <c r="H1118" s="2" t="s">
        <v>127</v>
      </c>
      <c r="I1118" s="2" t="s">
        <v>2591</v>
      </c>
      <c r="J1118" s="2" t="s">
        <v>62</v>
      </c>
      <c r="K1118" s="2" t="s">
        <v>24</v>
      </c>
      <c r="L1118" s="7">
        <v>45940.0</v>
      </c>
      <c r="M1118" s="2" t="s">
        <v>48</v>
      </c>
      <c r="N1118" s="2" t="s">
        <v>35</v>
      </c>
      <c r="O1118" s="2" t="s">
        <v>27</v>
      </c>
      <c r="P1118" s="2" t="s">
        <v>28</v>
      </c>
    </row>
    <row r="1119" ht="14.25" customHeight="1">
      <c r="A1119" s="6">
        <v>2.0613279E7</v>
      </c>
      <c r="B1119" s="2" t="s">
        <v>4212</v>
      </c>
      <c r="C1119" s="2" t="s">
        <v>17</v>
      </c>
      <c r="D1119" s="2" t="s">
        <v>88</v>
      </c>
      <c r="E1119" s="2" t="s">
        <v>4213</v>
      </c>
      <c r="F1119" s="2" t="s">
        <v>4213</v>
      </c>
      <c r="G1119" s="2" t="s">
        <v>4214</v>
      </c>
      <c r="H1119" s="2" t="s">
        <v>127</v>
      </c>
      <c r="I1119" s="2" t="s">
        <v>2599</v>
      </c>
      <c r="J1119" s="2" t="s">
        <v>62</v>
      </c>
      <c r="K1119" s="2" t="s">
        <v>24</v>
      </c>
      <c r="L1119" s="7">
        <v>45940.0</v>
      </c>
      <c r="M1119" s="2" t="s">
        <v>48</v>
      </c>
      <c r="N1119" s="2" t="s">
        <v>35</v>
      </c>
      <c r="O1119" s="2" t="s">
        <v>27</v>
      </c>
      <c r="P1119" s="2" t="s">
        <v>28</v>
      </c>
    </row>
    <row r="1120" ht="14.25" customHeight="1">
      <c r="A1120" s="6">
        <v>9562217.0</v>
      </c>
      <c r="B1120" s="2" t="s">
        <v>4215</v>
      </c>
      <c r="C1120" s="2" t="s">
        <v>17</v>
      </c>
      <c r="D1120" s="2" t="s">
        <v>167</v>
      </c>
      <c r="E1120" s="2" t="s">
        <v>4216</v>
      </c>
      <c r="F1120" s="2" t="s">
        <v>4216</v>
      </c>
      <c r="G1120" s="2" t="s">
        <v>4217</v>
      </c>
      <c r="H1120" s="2" t="s">
        <v>127</v>
      </c>
      <c r="I1120" s="2" t="s">
        <v>2599</v>
      </c>
      <c r="J1120" s="2" t="s">
        <v>62</v>
      </c>
      <c r="K1120" s="2" t="s">
        <v>24</v>
      </c>
      <c r="L1120" s="7">
        <v>45940.0</v>
      </c>
      <c r="M1120" s="2" t="s">
        <v>48</v>
      </c>
      <c r="N1120" s="2" t="s">
        <v>35</v>
      </c>
      <c r="O1120" s="2" t="s">
        <v>27</v>
      </c>
      <c r="P1120" s="2" t="s">
        <v>28</v>
      </c>
    </row>
    <row r="1121" ht="14.25" customHeight="1">
      <c r="A1121" s="6">
        <v>2.117104E7</v>
      </c>
      <c r="B1121" s="2" t="s">
        <v>4218</v>
      </c>
      <c r="C1121" s="2" t="s">
        <v>17</v>
      </c>
      <c r="D1121" s="2" t="s">
        <v>38</v>
      </c>
      <c r="E1121" s="2" t="s">
        <v>4219</v>
      </c>
      <c r="F1121" s="2" t="s">
        <v>4219</v>
      </c>
      <c r="G1121" s="2" t="s">
        <v>4220</v>
      </c>
      <c r="H1121" s="2" t="s">
        <v>127</v>
      </c>
      <c r="I1121" s="2" t="s">
        <v>2591</v>
      </c>
      <c r="J1121" s="2" t="s">
        <v>62</v>
      </c>
      <c r="K1121" s="2" t="s">
        <v>24</v>
      </c>
      <c r="L1121" s="7">
        <v>45940.0</v>
      </c>
      <c r="M1121" s="2" t="s">
        <v>48</v>
      </c>
      <c r="N1121" s="2" t="s">
        <v>35</v>
      </c>
      <c r="O1121" s="2" t="s">
        <v>27</v>
      </c>
      <c r="P1121" s="2" t="s">
        <v>28</v>
      </c>
    </row>
    <row r="1122" ht="14.25" customHeight="1">
      <c r="A1122" s="6">
        <v>1.0402945E7</v>
      </c>
      <c r="B1122" s="2" t="s">
        <v>4221</v>
      </c>
      <c r="C1122" s="2" t="s">
        <v>17</v>
      </c>
      <c r="D1122" s="2" t="s">
        <v>57</v>
      </c>
      <c r="E1122" s="2" t="s">
        <v>4222</v>
      </c>
      <c r="F1122" s="2" t="s">
        <v>4222</v>
      </c>
      <c r="G1122" s="2" t="s">
        <v>4223</v>
      </c>
      <c r="H1122" s="2" t="s">
        <v>127</v>
      </c>
      <c r="I1122" s="2" t="s">
        <v>2608</v>
      </c>
      <c r="J1122" s="2" t="s">
        <v>62</v>
      </c>
      <c r="K1122" s="2" t="s">
        <v>24</v>
      </c>
      <c r="L1122" s="7">
        <v>45940.0</v>
      </c>
      <c r="M1122" s="2" t="s">
        <v>48</v>
      </c>
      <c r="N1122" s="2" t="s">
        <v>35</v>
      </c>
      <c r="O1122" s="2" t="s">
        <v>27</v>
      </c>
      <c r="P1122" s="2" t="s">
        <v>28</v>
      </c>
    </row>
    <row r="1123" ht="14.25" customHeight="1">
      <c r="A1123" s="6">
        <v>6571748.0</v>
      </c>
      <c r="B1123" s="2" t="s">
        <v>4224</v>
      </c>
      <c r="C1123" s="2" t="s">
        <v>17</v>
      </c>
      <c r="D1123" s="2" t="s">
        <v>167</v>
      </c>
      <c r="E1123" s="2" t="s">
        <v>4225</v>
      </c>
      <c r="F1123" s="2" t="s">
        <v>4225</v>
      </c>
      <c r="G1123" s="2" t="s">
        <v>4226</v>
      </c>
      <c r="H1123" s="2" t="s">
        <v>127</v>
      </c>
      <c r="I1123" s="2" t="s">
        <v>2608</v>
      </c>
      <c r="J1123" s="2" t="s">
        <v>62</v>
      </c>
      <c r="K1123" s="2" t="s">
        <v>24</v>
      </c>
      <c r="L1123" s="7">
        <v>45940.0</v>
      </c>
      <c r="M1123" s="2" t="s">
        <v>48</v>
      </c>
      <c r="N1123" s="2" t="s">
        <v>35</v>
      </c>
      <c r="O1123" s="2" t="s">
        <v>27</v>
      </c>
      <c r="P1123" s="2" t="s">
        <v>28</v>
      </c>
    </row>
    <row r="1124" ht="14.25" customHeight="1">
      <c r="A1124" s="6">
        <v>1.9121599E7</v>
      </c>
      <c r="B1124" s="2" t="s">
        <v>4227</v>
      </c>
      <c r="C1124" s="2" t="s">
        <v>17</v>
      </c>
      <c r="D1124" s="2" t="s">
        <v>57</v>
      </c>
      <c r="E1124" s="2" t="s">
        <v>4228</v>
      </c>
      <c r="F1124" s="2" t="s">
        <v>4228</v>
      </c>
      <c r="G1124" s="2" t="s">
        <v>4229</v>
      </c>
      <c r="H1124" s="2" t="s">
        <v>127</v>
      </c>
      <c r="I1124" s="2" t="s">
        <v>2608</v>
      </c>
      <c r="J1124" s="2" t="s">
        <v>62</v>
      </c>
      <c r="K1124" s="2" t="s">
        <v>24</v>
      </c>
      <c r="L1124" s="7">
        <v>45940.0</v>
      </c>
      <c r="M1124" s="2" t="s">
        <v>48</v>
      </c>
      <c r="N1124" s="2" t="s">
        <v>35</v>
      </c>
      <c r="O1124" s="2" t="s">
        <v>27</v>
      </c>
      <c r="P1124" s="2" t="s">
        <v>28</v>
      </c>
    </row>
    <row r="1125" ht="14.25" customHeight="1">
      <c r="A1125" s="6">
        <v>1.8068877E7</v>
      </c>
      <c r="B1125" s="2" t="s">
        <v>4230</v>
      </c>
      <c r="C1125" s="2" t="s">
        <v>17</v>
      </c>
      <c r="D1125" s="2" t="s">
        <v>167</v>
      </c>
      <c r="E1125" s="2" t="s">
        <v>4231</v>
      </c>
      <c r="F1125" s="2" t="s">
        <v>4231</v>
      </c>
      <c r="G1125" s="2" t="s">
        <v>4232</v>
      </c>
      <c r="H1125" s="2" t="s">
        <v>127</v>
      </c>
      <c r="I1125" s="2" t="s">
        <v>2608</v>
      </c>
      <c r="J1125" s="2" t="s">
        <v>62</v>
      </c>
      <c r="K1125" s="2" t="s">
        <v>24</v>
      </c>
      <c r="L1125" s="7">
        <v>45940.0</v>
      </c>
      <c r="M1125" s="2" t="s">
        <v>48</v>
      </c>
      <c r="N1125" s="2" t="s">
        <v>35</v>
      </c>
      <c r="O1125" s="2" t="s">
        <v>27</v>
      </c>
      <c r="P1125" s="2" t="s">
        <v>28</v>
      </c>
    </row>
    <row r="1126" ht="14.25" customHeight="1">
      <c r="A1126" s="6">
        <v>1.5809203E7</v>
      </c>
      <c r="B1126" s="2" t="s">
        <v>4233</v>
      </c>
      <c r="C1126" s="2" t="s">
        <v>17</v>
      </c>
      <c r="D1126" s="2" t="s">
        <v>167</v>
      </c>
      <c r="E1126" s="2" t="s">
        <v>4234</v>
      </c>
      <c r="F1126" s="2" t="s">
        <v>4234</v>
      </c>
      <c r="G1126" s="2" t="s">
        <v>4235</v>
      </c>
      <c r="H1126" s="2" t="s">
        <v>127</v>
      </c>
      <c r="I1126" s="2" t="s">
        <v>2608</v>
      </c>
      <c r="J1126" s="2" t="s">
        <v>62</v>
      </c>
      <c r="K1126" s="2" t="s">
        <v>24</v>
      </c>
      <c r="L1126" s="7">
        <v>45940.0</v>
      </c>
      <c r="M1126" s="2" t="s">
        <v>48</v>
      </c>
      <c r="N1126" s="2" t="s">
        <v>35</v>
      </c>
      <c r="O1126" s="2" t="s">
        <v>27</v>
      </c>
      <c r="P1126" s="2" t="s">
        <v>28</v>
      </c>
    </row>
    <row r="1127" ht="14.25" customHeight="1">
      <c r="A1127" s="6">
        <v>2.6578941E7</v>
      </c>
      <c r="B1127" s="2" t="s">
        <v>4236</v>
      </c>
      <c r="C1127" s="2" t="s">
        <v>17</v>
      </c>
      <c r="D1127" s="2" t="s">
        <v>167</v>
      </c>
      <c r="E1127" s="2" t="s">
        <v>4237</v>
      </c>
      <c r="F1127" s="2" t="s">
        <v>4237</v>
      </c>
      <c r="G1127" s="2" t="s">
        <v>4238</v>
      </c>
      <c r="H1127" s="2" t="s">
        <v>127</v>
      </c>
      <c r="I1127" s="2" t="s">
        <v>2591</v>
      </c>
      <c r="J1127" s="2" t="s">
        <v>62</v>
      </c>
      <c r="K1127" s="2" t="s">
        <v>24</v>
      </c>
      <c r="L1127" s="7">
        <v>45940.0</v>
      </c>
      <c r="M1127" s="2" t="s">
        <v>48</v>
      </c>
      <c r="N1127" s="2" t="s">
        <v>35</v>
      </c>
      <c r="O1127" s="2" t="s">
        <v>27</v>
      </c>
      <c r="P1127" s="2" t="s">
        <v>28</v>
      </c>
    </row>
    <row r="1128" ht="14.25" customHeight="1">
      <c r="A1128" s="6">
        <v>1.5853842E7</v>
      </c>
      <c r="B1128" s="2" t="s">
        <v>4239</v>
      </c>
      <c r="C1128" s="2" t="s">
        <v>17</v>
      </c>
      <c r="D1128" s="2" t="s">
        <v>167</v>
      </c>
      <c r="E1128" s="2" t="s">
        <v>4240</v>
      </c>
      <c r="F1128" s="2" t="s">
        <v>4240</v>
      </c>
      <c r="G1128" s="2" t="s">
        <v>4241</v>
      </c>
      <c r="H1128" s="2" t="s">
        <v>127</v>
      </c>
      <c r="I1128" s="2" t="s">
        <v>2608</v>
      </c>
      <c r="J1128" s="2" t="s">
        <v>62</v>
      </c>
      <c r="K1128" s="2" t="s">
        <v>24</v>
      </c>
      <c r="L1128" s="7">
        <v>45940.0</v>
      </c>
      <c r="M1128" s="2" t="s">
        <v>48</v>
      </c>
      <c r="N1128" s="2" t="s">
        <v>35</v>
      </c>
      <c r="O1128" s="2" t="s">
        <v>27</v>
      </c>
      <c r="P1128" s="2" t="s">
        <v>28</v>
      </c>
    </row>
    <row r="1129" ht="14.25" customHeight="1">
      <c r="A1129" s="6">
        <v>2.1150652E7</v>
      </c>
      <c r="B1129" s="2" t="s">
        <v>4242</v>
      </c>
      <c r="C1129" s="2" t="s">
        <v>17</v>
      </c>
      <c r="D1129" s="2" t="s">
        <v>38</v>
      </c>
      <c r="E1129" s="2" t="s">
        <v>4243</v>
      </c>
      <c r="F1129" s="2" t="s">
        <v>4243</v>
      </c>
      <c r="G1129" s="2" t="s">
        <v>4244</v>
      </c>
      <c r="H1129" s="2" t="s">
        <v>127</v>
      </c>
      <c r="I1129" s="2" t="s">
        <v>2591</v>
      </c>
      <c r="J1129" s="2" t="s">
        <v>62</v>
      </c>
      <c r="K1129" s="2" t="s">
        <v>24</v>
      </c>
      <c r="L1129" s="7">
        <v>45940.0</v>
      </c>
      <c r="M1129" s="2" t="s">
        <v>48</v>
      </c>
      <c r="N1129" s="2" t="s">
        <v>35</v>
      </c>
      <c r="O1129" s="2" t="s">
        <v>27</v>
      </c>
      <c r="P1129" s="2" t="s">
        <v>28</v>
      </c>
    </row>
    <row r="1130" ht="14.25" customHeight="1">
      <c r="A1130" s="6">
        <v>2.0868756E7</v>
      </c>
      <c r="B1130" s="2" t="s">
        <v>4245</v>
      </c>
      <c r="C1130" s="2" t="s">
        <v>17</v>
      </c>
      <c r="D1130" s="2" t="s">
        <v>88</v>
      </c>
      <c r="E1130" s="2" t="s">
        <v>4246</v>
      </c>
      <c r="F1130" s="2" t="s">
        <v>4246</v>
      </c>
      <c r="G1130" s="2" t="s">
        <v>4247</v>
      </c>
      <c r="H1130" s="2" t="s">
        <v>127</v>
      </c>
      <c r="I1130" s="2" t="s">
        <v>2608</v>
      </c>
      <c r="J1130" s="2" t="s">
        <v>62</v>
      </c>
      <c r="K1130" s="2" t="s">
        <v>24</v>
      </c>
      <c r="L1130" s="7">
        <v>45940.0</v>
      </c>
      <c r="M1130" s="2" t="s">
        <v>48</v>
      </c>
      <c r="N1130" s="2" t="s">
        <v>35</v>
      </c>
      <c r="O1130" s="2" t="s">
        <v>27</v>
      </c>
      <c r="P1130" s="2" t="s">
        <v>28</v>
      </c>
    </row>
    <row r="1131" ht="14.25" customHeight="1">
      <c r="A1131" s="6">
        <v>1.7320484E7</v>
      </c>
      <c r="B1131" s="2" t="s">
        <v>4248</v>
      </c>
      <c r="C1131" s="2" t="s">
        <v>17</v>
      </c>
      <c r="D1131" s="2" t="s">
        <v>38</v>
      </c>
      <c r="E1131" s="2" t="s">
        <v>4249</v>
      </c>
      <c r="F1131" s="2" t="s">
        <v>4249</v>
      </c>
      <c r="G1131" s="2" t="s">
        <v>4250</v>
      </c>
      <c r="H1131" s="2" t="s">
        <v>127</v>
      </c>
      <c r="I1131" s="2" t="s">
        <v>2599</v>
      </c>
      <c r="J1131" s="2" t="s">
        <v>62</v>
      </c>
      <c r="K1131" s="2" t="s">
        <v>24</v>
      </c>
      <c r="L1131" s="7">
        <v>45940.0</v>
      </c>
      <c r="M1131" s="2" t="s">
        <v>48</v>
      </c>
      <c r="N1131" s="2" t="s">
        <v>35</v>
      </c>
      <c r="O1131" s="2" t="s">
        <v>27</v>
      </c>
      <c r="P1131" s="2" t="s">
        <v>28</v>
      </c>
    </row>
    <row r="1132" ht="14.25" customHeight="1">
      <c r="A1132" s="6">
        <v>1.990901E7</v>
      </c>
      <c r="B1132" s="2" t="s">
        <v>4251</v>
      </c>
      <c r="C1132" s="2" t="s">
        <v>17</v>
      </c>
      <c r="D1132" s="2" t="s">
        <v>167</v>
      </c>
      <c r="E1132" s="2" t="s">
        <v>4252</v>
      </c>
      <c r="F1132" s="2" t="s">
        <v>4252</v>
      </c>
      <c r="G1132" s="2" t="s">
        <v>4253</v>
      </c>
      <c r="H1132" s="2" t="s">
        <v>127</v>
      </c>
      <c r="I1132" s="2" t="s">
        <v>2599</v>
      </c>
      <c r="J1132" s="2" t="s">
        <v>62</v>
      </c>
      <c r="K1132" s="2" t="s">
        <v>24</v>
      </c>
      <c r="L1132" s="7">
        <v>45940.0</v>
      </c>
      <c r="M1132" s="2" t="s">
        <v>48</v>
      </c>
      <c r="N1132" s="2" t="s">
        <v>35</v>
      </c>
      <c r="O1132" s="2" t="s">
        <v>27</v>
      </c>
      <c r="P1132" s="2" t="s">
        <v>28</v>
      </c>
    </row>
    <row r="1133" ht="14.25" customHeight="1">
      <c r="A1133" s="6">
        <v>1.3726075E7</v>
      </c>
      <c r="B1133" s="2" t="s">
        <v>4254</v>
      </c>
      <c r="C1133" s="2" t="s">
        <v>17</v>
      </c>
      <c r="D1133" s="2" t="s">
        <v>167</v>
      </c>
      <c r="E1133" s="2" t="s">
        <v>4255</v>
      </c>
      <c r="F1133" s="2" t="s">
        <v>4255</v>
      </c>
      <c r="G1133" s="2" t="s">
        <v>4256</v>
      </c>
      <c r="H1133" s="2" t="s">
        <v>127</v>
      </c>
      <c r="I1133" s="2" t="s">
        <v>2608</v>
      </c>
      <c r="J1133" s="2" t="s">
        <v>62</v>
      </c>
      <c r="K1133" s="2" t="s">
        <v>24</v>
      </c>
      <c r="L1133" s="7">
        <v>45940.0</v>
      </c>
      <c r="M1133" s="2" t="s">
        <v>48</v>
      </c>
      <c r="N1133" s="2" t="s">
        <v>35</v>
      </c>
      <c r="O1133" s="2" t="s">
        <v>27</v>
      </c>
      <c r="P1133" s="2" t="s">
        <v>28</v>
      </c>
    </row>
    <row r="1134" ht="14.25" customHeight="1">
      <c r="A1134" s="6">
        <v>1.8822151E7</v>
      </c>
      <c r="B1134" s="2" t="s">
        <v>4257</v>
      </c>
      <c r="C1134" s="2" t="s">
        <v>17</v>
      </c>
      <c r="D1134" s="2" t="s">
        <v>167</v>
      </c>
      <c r="E1134" s="2" t="s">
        <v>4258</v>
      </c>
      <c r="F1134" s="2" t="s">
        <v>4258</v>
      </c>
      <c r="G1134" s="2" t="s">
        <v>4259</v>
      </c>
      <c r="H1134" s="2" t="s">
        <v>127</v>
      </c>
      <c r="I1134" s="2" t="s">
        <v>2599</v>
      </c>
      <c r="J1134" s="2" t="s">
        <v>62</v>
      </c>
      <c r="K1134" s="2" t="s">
        <v>24</v>
      </c>
      <c r="L1134" s="7">
        <v>45940.0</v>
      </c>
      <c r="M1134" s="2" t="s">
        <v>48</v>
      </c>
      <c r="N1134" s="2" t="s">
        <v>35</v>
      </c>
      <c r="O1134" s="2" t="s">
        <v>27</v>
      </c>
      <c r="P1134" s="2" t="s">
        <v>28</v>
      </c>
    </row>
    <row r="1135" ht="14.25" customHeight="1">
      <c r="A1135" s="6">
        <v>1.4273004E7</v>
      </c>
      <c r="B1135" s="2" t="s">
        <v>4260</v>
      </c>
      <c r="C1135" s="2" t="s">
        <v>17</v>
      </c>
      <c r="D1135" s="2" t="s">
        <v>167</v>
      </c>
      <c r="E1135" s="2" t="s">
        <v>4261</v>
      </c>
      <c r="F1135" s="2" t="s">
        <v>4261</v>
      </c>
      <c r="G1135" s="2" t="s">
        <v>4262</v>
      </c>
      <c r="H1135" s="2" t="s">
        <v>127</v>
      </c>
      <c r="I1135" s="2" t="s">
        <v>2599</v>
      </c>
      <c r="J1135" s="2" t="s">
        <v>62</v>
      </c>
      <c r="K1135" s="2" t="s">
        <v>24</v>
      </c>
      <c r="L1135" s="7">
        <v>45940.0</v>
      </c>
      <c r="M1135" s="2" t="s">
        <v>48</v>
      </c>
      <c r="N1135" s="2" t="s">
        <v>35</v>
      </c>
      <c r="O1135" s="2" t="s">
        <v>27</v>
      </c>
      <c r="P1135" s="2" t="s">
        <v>28</v>
      </c>
    </row>
    <row r="1136" ht="14.25" customHeight="1">
      <c r="A1136" s="6">
        <v>1.6230168E7</v>
      </c>
      <c r="B1136" s="2" t="s">
        <v>4263</v>
      </c>
      <c r="C1136" s="2" t="s">
        <v>17</v>
      </c>
      <c r="D1136" s="2" t="s">
        <v>38</v>
      </c>
      <c r="E1136" s="2" t="s">
        <v>4264</v>
      </c>
      <c r="F1136" s="2" t="s">
        <v>4264</v>
      </c>
      <c r="G1136" s="2" t="s">
        <v>4265</v>
      </c>
      <c r="H1136" s="2" t="s">
        <v>127</v>
      </c>
      <c r="I1136" s="2" t="s">
        <v>2608</v>
      </c>
      <c r="J1136" s="2" t="s">
        <v>62</v>
      </c>
      <c r="K1136" s="2" t="s">
        <v>24</v>
      </c>
      <c r="L1136" s="7">
        <v>45940.0</v>
      </c>
      <c r="M1136" s="2" t="s">
        <v>48</v>
      </c>
      <c r="N1136" s="2" t="s">
        <v>35</v>
      </c>
      <c r="O1136" s="2" t="s">
        <v>27</v>
      </c>
      <c r="P1136" s="2" t="s">
        <v>28</v>
      </c>
    </row>
    <row r="1137" ht="14.25" customHeight="1">
      <c r="A1137" s="6">
        <v>1.3958545E7</v>
      </c>
      <c r="B1137" s="2" t="s">
        <v>4266</v>
      </c>
      <c r="C1137" s="2" t="s">
        <v>17</v>
      </c>
      <c r="D1137" s="2" t="s">
        <v>57</v>
      </c>
      <c r="E1137" s="2" t="s">
        <v>4267</v>
      </c>
      <c r="F1137" s="2" t="s">
        <v>4267</v>
      </c>
      <c r="G1137" s="2" t="s">
        <v>4268</v>
      </c>
      <c r="H1137" s="2" t="s">
        <v>127</v>
      </c>
      <c r="I1137" s="2" t="s">
        <v>2608</v>
      </c>
      <c r="J1137" s="2" t="s">
        <v>62</v>
      </c>
      <c r="K1137" s="2" t="s">
        <v>24</v>
      </c>
      <c r="L1137" s="7">
        <v>45940.0</v>
      </c>
      <c r="M1137" s="2" t="s">
        <v>48</v>
      </c>
      <c r="N1137" s="2" t="s">
        <v>35</v>
      </c>
      <c r="O1137" s="2" t="s">
        <v>27</v>
      </c>
      <c r="P1137" s="2" t="s">
        <v>28</v>
      </c>
    </row>
    <row r="1138" ht="14.25" customHeight="1">
      <c r="A1138" s="6">
        <v>1.843323E7</v>
      </c>
      <c r="B1138" s="2" t="s">
        <v>4269</v>
      </c>
      <c r="C1138" s="2" t="s">
        <v>17</v>
      </c>
      <c r="D1138" s="2" t="s">
        <v>38</v>
      </c>
      <c r="E1138" s="2" t="s">
        <v>4270</v>
      </c>
      <c r="F1138" s="2" t="s">
        <v>4270</v>
      </c>
      <c r="G1138" s="2" t="s">
        <v>4271</v>
      </c>
      <c r="H1138" s="2" t="s">
        <v>127</v>
      </c>
      <c r="I1138" s="2" t="s">
        <v>2591</v>
      </c>
      <c r="J1138" s="2" t="s">
        <v>62</v>
      </c>
      <c r="K1138" s="2" t="s">
        <v>24</v>
      </c>
      <c r="L1138" s="7">
        <v>45940.0</v>
      </c>
      <c r="M1138" s="2" t="s">
        <v>48</v>
      </c>
      <c r="N1138" s="2" t="s">
        <v>35</v>
      </c>
      <c r="O1138" s="2" t="s">
        <v>27</v>
      </c>
      <c r="P1138" s="2" t="s">
        <v>28</v>
      </c>
    </row>
    <row r="1139" ht="14.25" customHeight="1">
      <c r="A1139" s="6">
        <v>8353379.0</v>
      </c>
      <c r="B1139" s="2" t="s">
        <v>4272</v>
      </c>
      <c r="C1139" s="2" t="s">
        <v>17</v>
      </c>
      <c r="D1139" s="2" t="s">
        <v>167</v>
      </c>
      <c r="E1139" s="2" t="s">
        <v>4273</v>
      </c>
      <c r="F1139" s="2" t="s">
        <v>4273</v>
      </c>
      <c r="G1139" s="2" t="s">
        <v>4274</v>
      </c>
      <c r="H1139" s="2" t="s">
        <v>127</v>
      </c>
      <c r="I1139" s="2" t="s">
        <v>2608</v>
      </c>
      <c r="J1139" s="2" t="s">
        <v>62</v>
      </c>
      <c r="K1139" s="2" t="s">
        <v>24</v>
      </c>
      <c r="L1139" s="7">
        <v>45940.0</v>
      </c>
      <c r="M1139" s="2" t="s">
        <v>48</v>
      </c>
      <c r="N1139" s="2" t="s">
        <v>35</v>
      </c>
      <c r="O1139" s="2" t="s">
        <v>27</v>
      </c>
      <c r="P1139" s="2" t="s">
        <v>28</v>
      </c>
    </row>
    <row r="1140" ht="14.25" customHeight="1">
      <c r="A1140" s="6">
        <v>1.2073915E7</v>
      </c>
      <c r="B1140" s="2" t="s">
        <v>4275</v>
      </c>
      <c r="C1140" s="2" t="s">
        <v>17</v>
      </c>
      <c r="D1140" s="2" t="s">
        <v>57</v>
      </c>
      <c r="E1140" s="2" t="s">
        <v>4276</v>
      </c>
      <c r="F1140" s="2" t="s">
        <v>4276</v>
      </c>
      <c r="G1140" s="2" t="s">
        <v>4277</v>
      </c>
      <c r="H1140" s="2" t="s">
        <v>127</v>
      </c>
      <c r="I1140" s="2" t="s">
        <v>2591</v>
      </c>
      <c r="J1140" s="2" t="s">
        <v>62</v>
      </c>
      <c r="K1140" s="2" t="s">
        <v>24</v>
      </c>
      <c r="L1140" s="7">
        <v>45940.0</v>
      </c>
      <c r="M1140" s="2" t="s">
        <v>48</v>
      </c>
      <c r="N1140" s="2" t="s">
        <v>35</v>
      </c>
      <c r="O1140" s="2" t="s">
        <v>27</v>
      </c>
      <c r="P1140" s="2" t="s">
        <v>28</v>
      </c>
    </row>
    <row r="1141" ht="14.25" customHeight="1">
      <c r="A1141" s="6">
        <v>2.0866864E7</v>
      </c>
      <c r="B1141" s="2" t="s">
        <v>4278</v>
      </c>
      <c r="C1141" s="2" t="s">
        <v>17</v>
      </c>
      <c r="D1141" s="2" t="s">
        <v>57</v>
      </c>
      <c r="E1141" s="2" t="s">
        <v>4279</v>
      </c>
      <c r="F1141" s="2" t="s">
        <v>4279</v>
      </c>
      <c r="G1141" s="2" t="s">
        <v>4280</v>
      </c>
      <c r="H1141" s="2" t="s">
        <v>127</v>
      </c>
      <c r="I1141" s="2" t="s">
        <v>2591</v>
      </c>
      <c r="J1141" s="2" t="s">
        <v>62</v>
      </c>
      <c r="K1141" s="2" t="s">
        <v>24</v>
      </c>
      <c r="L1141" s="7">
        <v>45940.0</v>
      </c>
      <c r="M1141" s="2" t="s">
        <v>48</v>
      </c>
      <c r="N1141" s="2" t="s">
        <v>35</v>
      </c>
      <c r="O1141" s="2" t="s">
        <v>27</v>
      </c>
      <c r="P1141" s="2" t="s">
        <v>28</v>
      </c>
    </row>
    <row r="1142" ht="14.25" customHeight="1">
      <c r="A1142" s="6">
        <v>9753986.0</v>
      </c>
      <c r="B1142" s="2" t="s">
        <v>4281</v>
      </c>
      <c r="C1142" s="2" t="s">
        <v>17</v>
      </c>
      <c r="D1142" s="2" t="s">
        <v>167</v>
      </c>
      <c r="E1142" s="2" t="s">
        <v>4282</v>
      </c>
      <c r="F1142" s="2" t="s">
        <v>4282</v>
      </c>
      <c r="G1142" s="2" t="s">
        <v>4283</v>
      </c>
      <c r="H1142" s="2" t="s">
        <v>127</v>
      </c>
      <c r="I1142" s="2" t="s">
        <v>2608</v>
      </c>
      <c r="J1142" s="2" t="s">
        <v>62</v>
      </c>
      <c r="K1142" s="2" t="s">
        <v>24</v>
      </c>
      <c r="L1142" s="7">
        <v>45940.0</v>
      </c>
      <c r="M1142" s="2" t="s">
        <v>48</v>
      </c>
      <c r="N1142" s="2" t="s">
        <v>35</v>
      </c>
      <c r="O1142" s="2" t="s">
        <v>27</v>
      </c>
      <c r="P1142" s="2" t="s">
        <v>28</v>
      </c>
    </row>
    <row r="1143" ht="14.25" customHeight="1">
      <c r="A1143" s="6">
        <v>1.0719292E7</v>
      </c>
      <c r="B1143" s="2" t="s">
        <v>4284</v>
      </c>
      <c r="C1143" s="2" t="s">
        <v>17</v>
      </c>
      <c r="D1143" s="2" t="s">
        <v>167</v>
      </c>
      <c r="E1143" s="2" t="s">
        <v>4285</v>
      </c>
      <c r="F1143" s="2" t="s">
        <v>4285</v>
      </c>
      <c r="G1143" s="2" t="s">
        <v>4286</v>
      </c>
      <c r="H1143" s="2" t="s">
        <v>127</v>
      </c>
      <c r="I1143" s="2" t="s">
        <v>2599</v>
      </c>
      <c r="J1143" s="2" t="s">
        <v>62</v>
      </c>
      <c r="K1143" s="2" t="s">
        <v>24</v>
      </c>
      <c r="L1143" s="7">
        <v>45940.0</v>
      </c>
      <c r="M1143" s="2" t="s">
        <v>48</v>
      </c>
      <c r="N1143" s="2" t="s">
        <v>35</v>
      </c>
      <c r="O1143" s="2" t="s">
        <v>27</v>
      </c>
      <c r="P1143" s="2" t="s">
        <v>28</v>
      </c>
    </row>
    <row r="1144" ht="14.25" customHeight="1">
      <c r="A1144" s="6">
        <v>1.3139688E7</v>
      </c>
      <c r="B1144" s="2" t="s">
        <v>4287</v>
      </c>
      <c r="C1144" s="2" t="s">
        <v>17</v>
      </c>
      <c r="D1144" s="2" t="s">
        <v>57</v>
      </c>
      <c r="E1144" s="2" t="s">
        <v>4288</v>
      </c>
      <c r="F1144" s="2" t="s">
        <v>4288</v>
      </c>
      <c r="G1144" s="2" t="s">
        <v>4289</v>
      </c>
      <c r="H1144" s="2" t="s">
        <v>127</v>
      </c>
      <c r="I1144" s="2" t="s">
        <v>2599</v>
      </c>
      <c r="J1144" s="2" t="s">
        <v>62</v>
      </c>
      <c r="K1144" s="2" t="s">
        <v>24</v>
      </c>
      <c r="L1144" s="7">
        <v>45940.0</v>
      </c>
      <c r="M1144" s="2" t="s">
        <v>48</v>
      </c>
      <c r="N1144" s="2" t="s">
        <v>35</v>
      </c>
      <c r="O1144" s="2" t="s">
        <v>27</v>
      </c>
      <c r="P1144" s="2" t="s">
        <v>28</v>
      </c>
    </row>
    <row r="1145" ht="14.25" customHeight="1">
      <c r="A1145" s="6">
        <v>1.4580404E7</v>
      </c>
      <c r="B1145" s="2" t="s">
        <v>4290</v>
      </c>
      <c r="C1145" s="2" t="s">
        <v>17</v>
      </c>
      <c r="D1145" s="2" t="s">
        <v>57</v>
      </c>
      <c r="E1145" s="2" t="s">
        <v>4291</v>
      </c>
      <c r="F1145" s="2" t="s">
        <v>4291</v>
      </c>
      <c r="G1145" s="2" t="s">
        <v>4292</v>
      </c>
      <c r="H1145" s="2" t="s">
        <v>127</v>
      </c>
      <c r="I1145" s="2" t="s">
        <v>2599</v>
      </c>
      <c r="J1145" s="2" t="s">
        <v>62</v>
      </c>
      <c r="K1145" s="2" t="s">
        <v>24</v>
      </c>
      <c r="L1145" s="7">
        <v>45940.0</v>
      </c>
      <c r="M1145" s="2" t="s">
        <v>48</v>
      </c>
      <c r="N1145" s="2" t="s">
        <v>35</v>
      </c>
      <c r="O1145" s="2" t="s">
        <v>27</v>
      </c>
      <c r="P1145" s="2" t="s">
        <v>28</v>
      </c>
    </row>
    <row r="1146" ht="14.25" customHeight="1">
      <c r="A1146" s="6">
        <v>1.6890016E7</v>
      </c>
      <c r="B1146" s="2" t="s">
        <v>4293</v>
      </c>
      <c r="C1146" s="2" t="s">
        <v>17</v>
      </c>
      <c r="D1146" s="2" t="s">
        <v>167</v>
      </c>
      <c r="E1146" s="2" t="s">
        <v>4294</v>
      </c>
      <c r="F1146" s="2" t="s">
        <v>4294</v>
      </c>
      <c r="G1146" s="2" t="s">
        <v>4295</v>
      </c>
      <c r="H1146" s="2" t="s">
        <v>127</v>
      </c>
      <c r="I1146" s="2" t="s">
        <v>2608</v>
      </c>
      <c r="J1146" s="2" t="s">
        <v>62</v>
      </c>
      <c r="K1146" s="2" t="s">
        <v>24</v>
      </c>
      <c r="L1146" s="7">
        <v>45940.0</v>
      </c>
      <c r="M1146" s="2" t="s">
        <v>48</v>
      </c>
      <c r="N1146" s="2" t="s">
        <v>35</v>
      </c>
      <c r="O1146" s="2" t="s">
        <v>27</v>
      </c>
      <c r="P1146" s="2" t="s">
        <v>28</v>
      </c>
    </row>
    <row r="1147" ht="14.25" customHeight="1">
      <c r="A1147" s="6">
        <v>2.1072998E7</v>
      </c>
      <c r="B1147" s="2" t="s">
        <v>4296</v>
      </c>
      <c r="C1147" s="2" t="s">
        <v>17</v>
      </c>
      <c r="D1147" s="2" t="s">
        <v>38</v>
      </c>
      <c r="E1147" s="2" t="s">
        <v>4297</v>
      </c>
      <c r="F1147" s="2" t="s">
        <v>4297</v>
      </c>
      <c r="G1147" s="2" t="s">
        <v>4298</v>
      </c>
      <c r="H1147" s="2" t="s">
        <v>127</v>
      </c>
      <c r="I1147" s="2" t="s">
        <v>2608</v>
      </c>
      <c r="J1147" s="2" t="s">
        <v>62</v>
      </c>
      <c r="K1147" s="2" t="s">
        <v>24</v>
      </c>
      <c r="L1147" s="7">
        <v>45940.0</v>
      </c>
      <c r="M1147" s="2" t="s">
        <v>48</v>
      </c>
      <c r="N1147" s="2" t="s">
        <v>35</v>
      </c>
      <c r="O1147" s="2" t="s">
        <v>27</v>
      </c>
      <c r="P1147" s="2" t="s">
        <v>28</v>
      </c>
    </row>
    <row r="1148" ht="14.25" customHeight="1">
      <c r="A1148" s="6">
        <v>2.2300944E7</v>
      </c>
      <c r="B1148" s="2" t="s">
        <v>4299</v>
      </c>
      <c r="C1148" s="2" t="s">
        <v>17</v>
      </c>
      <c r="D1148" s="2" t="s">
        <v>88</v>
      </c>
      <c r="E1148" s="2" t="s">
        <v>4300</v>
      </c>
      <c r="F1148" s="2" t="s">
        <v>4300</v>
      </c>
      <c r="G1148" s="2" t="s">
        <v>4301</v>
      </c>
      <c r="H1148" s="2" t="s">
        <v>127</v>
      </c>
      <c r="I1148" s="2" t="s">
        <v>2608</v>
      </c>
      <c r="J1148" s="2" t="s">
        <v>62</v>
      </c>
      <c r="K1148" s="2" t="s">
        <v>24</v>
      </c>
      <c r="L1148" s="7">
        <v>45940.0</v>
      </c>
      <c r="M1148" s="2" t="s">
        <v>48</v>
      </c>
      <c r="N1148" s="2" t="s">
        <v>35</v>
      </c>
      <c r="O1148" s="2" t="s">
        <v>27</v>
      </c>
      <c r="P1148" s="2" t="s">
        <v>28</v>
      </c>
    </row>
    <row r="1149" ht="14.25" customHeight="1">
      <c r="A1149" s="6">
        <v>1.8821353E7</v>
      </c>
      <c r="B1149" s="2" t="s">
        <v>4302</v>
      </c>
      <c r="C1149" s="2" t="s">
        <v>17</v>
      </c>
      <c r="D1149" s="2" t="s">
        <v>88</v>
      </c>
      <c r="E1149" s="2" t="s">
        <v>4303</v>
      </c>
      <c r="F1149" s="2" t="s">
        <v>4303</v>
      </c>
      <c r="G1149" s="2" t="s">
        <v>4304</v>
      </c>
      <c r="H1149" s="2" t="s">
        <v>127</v>
      </c>
      <c r="I1149" s="2" t="s">
        <v>2591</v>
      </c>
      <c r="J1149" s="2" t="s">
        <v>62</v>
      </c>
      <c r="K1149" s="2" t="s">
        <v>24</v>
      </c>
      <c r="L1149" s="7">
        <v>45940.0</v>
      </c>
      <c r="M1149" s="2" t="s">
        <v>48</v>
      </c>
      <c r="N1149" s="2" t="s">
        <v>35</v>
      </c>
      <c r="O1149" s="2" t="s">
        <v>27</v>
      </c>
      <c r="P1149" s="2" t="s">
        <v>28</v>
      </c>
    </row>
    <row r="1150" ht="14.25" customHeight="1">
      <c r="A1150" s="6">
        <v>2.0124975E7</v>
      </c>
      <c r="B1150" s="2" t="s">
        <v>4305</v>
      </c>
      <c r="C1150" s="2" t="s">
        <v>17</v>
      </c>
      <c r="D1150" s="2" t="s">
        <v>88</v>
      </c>
      <c r="E1150" s="2" t="s">
        <v>4306</v>
      </c>
      <c r="F1150" s="2" t="s">
        <v>4306</v>
      </c>
      <c r="G1150" s="2" t="s">
        <v>4307</v>
      </c>
      <c r="H1150" s="2" t="s">
        <v>127</v>
      </c>
      <c r="I1150" s="2" t="s">
        <v>2591</v>
      </c>
      <c r="J1150" s="2" t="s">
        <v>62</v>
      </c>
      <c r="K1150" s="2" t="s">
        <v>24</v>
      </c>
      <c r="L1150" s="7">
        <v>45940.0</v>
      </c>
      <c r="M1150" s="2" t="s">
        <v>48</v>
      </c>
      <c r="N1150" s="2" t="s">
        <v>35</v>
      </c>
      <c r="O1150" s="2" t="s">
        <v>27</v>
      </c>
      <c r="P1150" s="2" t="s">
        <v>28</v>
      </c>
    </row>
    <row r="1151" ht="14.25" customHeight="1">
      <c r="A1151" s="6">
        <v>2.051325E7</v>
      </c>
      <c r="B1151" s="2" t="s">
        <v>4308</v>
      </c>
      <c r="C1151" s="2" t="s">
        <v>17</v>
      </c>
      <c r="D1151" s="2" t="s">
        <v>57</v>
      </c>
      <c r="E1151" s="2" t="s">
        <v>4309</v>
      </c>
      <c r="F1151" s="2" t="s">
        <v>4309</v>
      </c>
      <c r="G1151" s="2" t="s">
        <v>4310</v>
      </c>
      <c r="H1151" s="2" t="s">
        <v>127</v>
      </c>
      <c r="I1151" s="2" t="s">
        <v>2591</v>
      </c>
      <c r="J1151" s="2" t="s">
        <v>62</v>
      </c>
      <c r="K1151" s="2" t="s">
        <v>24</v>
      </c>
      <c r="L1151" s="7">
        <v>45940.0</v>
      </c>
      <c r="M1151" s="2" t="s">
        <v>48</v>
      </c>
      <c r="N1151" s="2" t="s">
        <v>35</v>
      </c>
      <c r="O1151" s="2" t="s">
        <v>27</v>
      </c>
      <c r="P1151" s="2" t="s">
        <v>28</v>
      </c>
    </row>
    <row r="1152" ht="14.25" customHeight="1">
      <c r="A1152" s="6">
        <v>1.1103767E7</v>
      </c>
      <c r="B1152" s="2" t="s">
        <v>4311</v>
      </c>
      <c r="C1152" s="2" t="s">
        <v>17</v>
      </c>
      <c r="D1152" s="2" t="s">
        <v>167</v>
      </c>
      <c r="E1152" s="2" t="s">
        <v>4312</v>
      </c>
      <c r="F1152" s="2" t="s">
        <v>4312</v>
      </c>
      <c r="G1152" s="2" t="s">
        <v>4313</v>
      </c>
      <c r="H1152" s="2" t="s">
        <v>127</v>
      </c>
      <c r="I1152" s="2" t="s">
        <v>2608</v>
      </c>
      <c r="J1152" s="2" t="s">
        <v>62</v>
      </c>
      <c r="K1152" s="2" t="s">
        <v>24</v>
      </c>
      <c r="L1152" s="7">
        <v>45940.0</v>
      </c>
      <c r="M1152" s="2" t="s">
        <v>48</v>
      </c>
      <c r="N1152" s="2" t="s">
        <v>35</v>
      </c>
      <c r="O1152" s="2" t="s">
        <v>27</v>
      </c>
      <c r="P1152" s="2" t="s">
        <v>28</v>
      </c>
    </row>
    <row r="1153" ht="14.25" customHeight="1">
      <c r="A1153" s="6">
        <v>2.1808009E7</v>
      </c>
      <c r="B1153" s="2" t="s">
        <v>4314</v>
      </c>
      <c r="C1153" s="2" t="s">
        <v>17</v>
      </c>
      <c r="D1153" s="2" t="s">
        <v>88</v>
      </c>
      <c r="E1153" s="2" t="s">
        <v>4315</v>
      </c>
      <c r="F1153" s="2" t="s">
        <v>4315</v>
      </c>
      <c r="G1153" s="2" t="s">
        <v>4316</v>
      </c>
      <c r="H1153" s="2" t="s">
        <v>127</v>
      </c>
      <c r="I1153" s="2" t="s">
        <v>2591</v>
      </c>
      <c r="J1153" s="2" t="s">
        <v>62</v>
      </c>
      <c r="K1153" s="2" t="s">
        <v>24</v>
      </c>
      <c r="L1153" s="7">
        <v>45940.0</v>
      </c>
      <c r="M1153" s="2" t="s">
        <v>48</v>
      </c>
      <c r="N1153" s="2" t="s">
        <v>35</v>
      </c>
      <c r="O1153" s="2" t="s">
        <v>27</v>
      </c>
      <c r="P1153" s="2" t="s">
        <v>28</v>
      </c>
    </row>
    <row r="1154" ht="14.25" customHeight="1">
      <c r="A1154" s="6">
        <v>7263920.0</v>
      </c>
      <c r="B1154" s="2" t="s">
        <v>4317</v>
      </c>
      <c r="C1154" s="2" t="s">
        <v>17</v>
      </c>
      <c r="D1154" s="2" t="s">
        <v>167</v>
      </c>
      <c r="E1154" s="2" t="s">
        <v>4318</v>
      </c>
      <c r="F1154" s="2" t="s">
        <v>4318</v>
      </c>
      <c r="G1154" s="2" t="s">
        <v>4319</v>
      </c>
      <c r="H1154" s="2" t="s">
        <v>127</v>
      </c>
      <c r="I1154" s="2" t="s">
        <v>2599</v>
      </c>
      <c r="J1154" s="2" t="s">
        <v>62</v>
      </c>
      <c r="K1154" s="2" t="s">
        <v>24</v>
      </c>
      <c r="L1154" s="7">
        <v>45940.0</v>
      </c>
      <c r="M1154" s="2" t="s">
        <v>48</v>
      </c>
      <c r="N1154" s="2" t="s">
        <v>35</v>
      </c>
      <c r="O1154" s="2" t="s">
        <v>27</v>
      </c>
      <c r="P1154" s="2" t="s">
        <v>28</v>
      </c>
    </row>
    <row r="1155" ht="14.25" customHeight="1">
      <c r="A1155" s="6">
        <v>2.0150122E7</v>
      </c>
      <c r="B1155" s="2" t="s">
        <v>4320</v>
      </c>
      <c r="C1155" s="2" t="s">
        <v>17</v>
      </c>
      <c r="D1155" s="2" t="s">
        <v>38</v>
      </c>
      <c r="E1155" s="2" t="s">
        <v>4321</v>
      </c>
      <c r="F1155" s="2" t="s">
        <v>4321</v>
      </c>
      <c r="G1155" s="2" t="s">
        <v>4322</v>
      </c>
      <c r="H1155" s="2" t="s">
        <v>127</v>
      </c>
      <c r="I1155" s="2" t="s">
        <v>2608</v>
      </c>
      <c r="J1155" s="2" t="s">
        <v>62</v>
      </c>
      <c r="K1155" s="2" t="s">
        <v>24</v>
      </c>
      <c r="L1155" s="7">
        <v>45940.0</v>
      </c>
      <c r="M1155" s="2" t="s">
        <v>48</v>
      </c>
      <c r="N1155" s="2" t="s">
        <v>35</v>
      </c>
      <c r="O1155" s="2" t="s">
        <v>27</v>
      </c>
      <c r="P1155" s="2" t="s">
        <v>28</v>
      </c>
    </row>
    <row r="1156" ht="14.25" customHeight="1">
      <c r="A1156" s="6">
        <v>1.3606549E7</v>
      </c>
      <c r="B1156" s="2" t="s">
        <v>4323</v>
      </c>
      <c r="C1156" s="2" t="s">
        <v>17</v>
      </c>
      <c r="D1156" s="2" t="s">
        <v>88</v>
      </c>
      <c r="E1156" s="2" t="s">
        <v>4324</v>
      </c>
      <c r="F1156" s="2" t="s">
        <v>4324</v>
      </c>
      <c r="G1156" s="2" t="s">
        <v>4325</v>
      </c>
      <c r="H1156" s="2" t="s">
        <v>127</v>
      </c>
      <c r="I1156" s="2" t="s">
        <v>2591</v>
      </c>
      <c r="J1156" s="2" t="s">
        <v>62</v>
      </c>
      <c r="K1156" s="2" t="s">
        <v>24</v>
      </c>
      <c r="L1156" s="7">
        <v>45940.0</v>
      </c>
      <c r="M1156" s="2" t="s">
        <v>48</v>
      </c>
      <c r="N1156" s="2" t="s">
        <v>35</v>
      </c>
      <c r="O1156" s="2" t="s">
        <v>27</v>
      </c>
      <c r="P1156" s="2" t="s">
        <v>28</v>
      </c>
    </row>
    <row r="1157" ht="14.25" customHeight="1">
      <c r="A1157" s="6">
        <v>1.8434162E7</v>
      </c>
      <c r="B1157" s="2" t="s">
        <v>4326</v>
      </c>
      <c r="C1157" s="2" t="s">
        <v>17</v>
      </c>
      <c r="D1157" s="2" t="s">
        <v>38</v>
      </c>
      <c r="E1157" s="2" t="s">
        <v>4327</v>
      </c>
      <c r="F1157" s="2" t="s">
        <v>4327</v>
      </c>
      <c r="G1157" s="2" t="s">
        <v>4328</v>
      </c>
      <c r="H1157" s="2" t="s">
        <v>127</v>
      </c>
      <c r="I1157" s="2" t="s">
        <v>2608</v>
      </c>
      <c r="J1157" s="2" t="s">
        <v>62</v>
      </c>
      <c r="K1157" s="2" t="s">
        <v>24</v>
      </c>
      <c r="L1157" s="7">
        <v>45940.0</v>
      </c>
      <c r="M1157" s="2" t="s">
        <v>48</v>
      </c>
      <c r="N1157" s="2" t="s">
        <v>35</v>
      </c>
      <c r="O1157" s="2" t="s">
        <v>27</v>
      </c>
      <c r="P1157" s="2" t="s">
        <v>28</v>
      </c>
    </row>
    <row r="1158" ht="14.25" customHeight="1">
      <c r="A1158" s="6">
        <v>2.1115075E7</v>
      </c>
      <c r="B1158" s="2" t="s">
        <v>4329</v>
      </c>
      <c r="C1158" s="2" t="s">
        <v>17</v>
      </c>
      <c r="D1158" s="2" t="s">
        <v>38</v>
      </c>
      <c r="E1158" s="2" t="s">
        <v>4330</v>
      </c>
      <c r="F1158" s="2" t="s">
        <v>4330</v>
      </c>
      <c r="G1158" s="2" t="s">
        <v>4331</v>
      </c>
      <c r="H1158" s="2" t="s">
        <v>127</v>
      </c>
      <c r="I1158" s="2" t="s">
        <v>2608</v>
      </c>
      <c r="J1158" s="2" t="s">
        <v>62</v>
      </c>
      <c r="K1158" s="2" t="s">
        <v>24</v>
      </c>
      <c r="L1158" s="7">
        <v>45940.0</v>
      </c>
      <c r="M1158" s="2" t="s">
        <v>48</v>
      </c>
      <c r="N1158" s="2" t="s">
        <v>35</v>
      </c>
      <c r="O1158" s="2" t="s">
        <v>27</v>
      </c>
      <c r="P1158" s="2" t="s">
        <v>28</v>
      </c>
    </row>
    <row r="1159" ht="14.25" customHeight="1">
      <c r="A1159" s="6">
        <v>1.7843072E7</v>
      </c>
      <c r="B1159" s="2" t="s">
        <v>4332</v>
      </c>
      <c r="C1159" s="2" t="s">
        <v>17</v>
      </c>
      <c r="D1159" s="2" t="s">
        <v>57</v>
      </c>
      <c r="E1159" s="2" t="s">
        <v>4333</v>
      </c>
      <c r="F1159" s="2" t="s">
        <v>4333</v>
      </c>
      <c r="G1159" s="2" t="s">
        <v>4334</v>
      </c>
      <c r="H1159" s="2" t="s">
        <v>127</v>
      </c>
      <c r="I1159" s="2" t="s">
        <v>2599</v>
      </c>
      <c r="J1159" s="2" t="s">
        <v>62</v>
      </c>
      <c r="K1159" s="2" t="s">
        <v>24</v>
      </c>
      <c r="L1159" s="7">
        <v>45940.0</v>
      </c>
      <c r="M1159" s="2" t="s">
        <v>48</v>
      </c>
      <c r="N1159" s="2" t="s">
        <v>35</v>
      </c>
      <c r="O1159" s="2" t="s">
        <v>27</v>
      </c>
      <c r="P1159" s="2" t="s">
        <v>28</v>
      </c>
    </row>
    <row r="1160" ht="14.25" customHeight="1">
      <c r="A1160" s="6">
        <v>2.0149755E7</v>
      </c>
      <c r="B1160" s="2" t="s">
        <v>4335</v>
      </c>
      <c r="C1160" s="2" t="s">
        <v>17</v>
      </c>
      <c r="D1160" s="2" t="s">
        <v>167</v>
      </c>
      <c r="E1160" s="2" t="s">
        <v>4336</v>
      </c>
      <c r="F1160" s="2" t="s">
        <v>4336</v>
      </c>
      <c r="G1160" s="2" t="s">
        <v>4337</v>
      </c>
      <c r="H1160" s="2" t="s">
        <v>127</v>
      </c>
      <c r="I1160" s="2" t="s">
        <v>2599</v>
      </c>
      <c r="J1160" s="2" t="s">
        <v>62</v>
      </c>
      <c r="K1160" s="2" t="s">
        <v>24</v>
      </c>
      <c r="L1160" s="7">
        <v>45940.0</v>
      </c>
      <c r="M1160" s="2" t="s">
        <v>48</v>
      </c>
      <c r="N1160" s="2" t="s">
        <v>35</v>
      </c>
      <c r="O1160" s="2" t="s">
        <v>27</v>
      </c>
      <c r="P1160" s="2" t="s">
        <v>28</v>
      </c>
    </row>
    <row r="1161" ht="14.25" customHeight="1">
      <c r="A1161" s="6">
        <v>1.3312042E7</v>
      </c>
      <c r="B1161" s="2" t="s">
        <v>4338</v>
      </c>
      <c r="C1161" s="2" t="s">
        <v>17</v>
      </c>
      <c r="D1161" s="2" t="s">
        <v>57</v>
      </c>
      <c r="E1161" s="2" t="s">
        <v>4339</v>
      </c>
      <c r="F1161" s="2" t="s">
        <v>4339</v>
      </c>
      <c r="G1161" s="2" t="s">
        <v>4340</v>
      </c>
      <c r="H1161" s="2" t="s">
        <v>127</v>
      </c>
      <c r="I1161" s="2" t="s">
        <v>2608</v>
      </c>
      <c r="J1161" s="2" t="s">
        <v>62</v>
      </c>
      <c r="K1161" s="2" t="s">
        <v>24</v>
      </c>
      <c r="L1161" s="7">
        <v>45940.0</v>
      </c>
      <c r="M1161" s="2" t="s">
        <v>48</v>
      </c>
      <c r="N1161" s="2" t="s">
        <v>35</v>
      </c>
      <c r="O1161" s="2" t="s">
        <v>27</v>
      </c>
      <c r="P1161" s="2" t="s">
        <v>28</v>
      </c>
    </row>
    <row r="1162" ht="14.25" customHeight="1">
      <c r="A1162" s="6">
        <v>1.135336E7</v>
      </c>
      <c r="B1162" s="2" t="s">
        <v>4341</v>
      </c>
      <c r="C1162" s="2" t="s">
        <v>17</v>
      </c>
      <c r="D1162" s="2" t="s">
        <v>57</v>
      </c>
      <c r="E1162" s="2" t="s">
        <v>4342</v>
      </c>
      <c r="F1162" s="2" t="s">
        <v>4342</v>
      </c>
      <c r="G1162" s="2" t="s">
        <v>4343</v>
      </c>
      <c r="H1162" s="2" t="s">
        <v>127</v>
      </c>
      <c r="I1162" s="2" t="s">
        <v>2599</v>
      </c>
      <c r="J1162" s="2" t="s">
        <v>62</v>
      </c>
      <c r="K1162" s="2" t="s">
        <v>24</v>
      </c>
      <c r="L1162" s="7">
        <v>45940.0</v>
      </c>
      <c r="M1162" s="2" t="s">
        <v>48</v>
      </c>
      <c r="N1162" s="2" t="s">
        <v>35</v>
      </c>
      <c r="O1162" s="2" t="s">
        <v>27</v>
      </c>
      <c r="P1162" s="2" t="s">
        <v>28</v>
      </c>
    </row>
    <row r="1163" ht="14.25" customHeight="1">
      <c r="A1163" s="6">
        <v>2.1396571E7</v>
      </c>
      <c r="B1163" s="2" t="s">
        <v>4344</v>
      </c>
      <c r="C1163" s="2" t="s">
        <v>17</v>
      </c>
      <c r="D1163" s="2" t="s">
        <v>38</v>
      </c>
      <c r="E1163" s="2" t="s">
        <v>4345</v>
      </c>
      <c r="F1163" s="2" t="s">
        <v>4345</v>
      </c>
      <c r="G1163" s="2" t="s">
        <v>4346</v>
      </c>
      <c r="H1163" s="2" t="s">
        <v>127</v>
      </c>
      <c r="I1163" s="2" t="s">
        <v>2591</v>
      </c>
      <c r="J1163" s="2" t="s">
        <v>62</v>
      </c>
      <c r="K1163" s="2" t="s">
        <v>24</v>
      </c>
      <c r="L1163" s="7">
        <v>45940.0</v>
      </c>
      <c r="M1163" s="2" t="s">
        <v>48</v>
      </c>
      <c r="N1163" s="2" t="s">
        <v>35</v>
      </c>
      <c r="O1163" s="2" t="s">
        <v>27</v>
      </c>
      <c r="P1163" s="2" t="s">
        <v>28</v>
      </c>
    </row>
    <row r="1164" ht="14.25" customHeight="1">
      <c r="A1164" s="6">
        <v>1.6979813E7</v>
      </c>
      <c r="B1164" s="2" t="s">
        <v>4347</v>
      </c>
      <c r="C1164" s="2" t="s">
        <v>17</v>
      </c>
      <c r="D1164" s="2" t="s">
        <v>38</v>
      </c>
      <c r="E1164" s="2" t="s">
        <v>4348</v>
      </c>
      <c r="F1164" s="2" t="s">
        <v>4348</v>
      </c>
      <c r="G1164" s="2" t="s">
        <v>4349</v>
      </c>
      <c r="H1164" s="2" t="s">
        <v>127</v>
      </c>
      <c r="I1164" s="2" t="s">
        <v>2591</v>
      </c>
      <c r="J1164" s="2" t="s">
        <v>62</v>
      </c>
      <c r="K1164" s="2" t="s">
        <v>24</v>
      </c>
      <c r="L1164" s="7">
        <v>45940.0</v>
      </c>
      <c r="M1164" s="2" t="s">
        <v>48</v>
      </c>
      <c r="N1164" s="2" t="s">
        <v>35</v>
      </c>
      <c r="O1164" s="2" t="s">
        <v>27</v>
      </c>
      <c r="P1164" s="2" t="s">
        <v>28</v>
      </c>
    </row>
    <row r="1165" ht="14.25" customHeight="1">
      <c r="A1165" s="6">
        <v>1.88262E7</v>
      </c>
      <c r="B1165" s="2" t="s">
        <v>4350</v>
      </c>
      <c r="C1165" s="2" t="s">
        <v>17</v>
      </c>
      <c r="D1165" s="2" t="s">
        <v>831</v>
      </c>
      <c r="E1165" s="2" t="s">
        <v>4351</v>
      </c>
      <c r="F1165" s="2" t="s">
        <v>4351</v>
      </c>
      <c r="G1165" s="2" t="s">
        <v>4352</v>
      </c>
      <c r="H1165" s="2" t="s">
        <v>127</v>
      </c>
      <c r="I1165" s="2" t="s">
        <v>2591</v>
      </c>
      <c r="J1165" s="2" t="s">
        <v>62</v>
      </c>
      <c r="K1165" s="2" t="s">
        <v>24</v>
      </c>
      <c r="L1165" s="7">
        <v>45940.0</v>
      </c>
      <c r="M1165" s="2" t="s">
        <v>48</v>
      </c>
      <c r="N1165" s="2" t="s">
        <v>35</v>
      </c>
      <c r="O1165" s="2" t="s">
        <v>27</v>
      </c>
      <c r="P1165" s="2" t="s">
        <v>28</v>
      </c>
    </row>
    <row r="1166" ht="14.25" customHeight="1">
      <c r="A1166" s="6">
        <v>1.7332696E7</v>
      </c>
      <c r="B1166" s="2" t="s">
        <v>4353</v>
      </c>
      <c r="C1166" s="2" t="s">
        <v>17</v>
      </c>
      <c r="D1166" s="2" t="s">
        <v>57</v>
      </c>
      <c r="E1166" s="2" t="s">
        <v>4354</v>
      </c>
      <c r="F1166" s="2" t="s">
        <v>4354</v>
      </c>
      <c r="G1166" s="2" t="s">
        <v>4355</v>
      </c>
      <c r="H1166" s="2" t="s">
        <v>127</v>
      </c>
      <c r="I1166" s="2" t="s">
        <v>2591</v>
      </c>
      <c r="J1166" s="2" t="s">
        <v>62</v>
      </c>
      <c r="K1166" s="2" t="s">
        <v>24</v>
      </c>
      <c r="L1166" s="7">
        <v>45940.0</v>
      </c>
      <c r="M1166" s="2" t="s">
        <v>48</v>
      </c>
      <c r="N1166" s="2" t="s">
        <v>35</v>
      </c>
      <c r="O1166" s="2" t="s">
        <v>27</v>
      </c>
      <c r="P1166" s="2" t="s">
        <v>28</v>
      </c>
    </row>
    <row r="1167" ht="14.25" customHeight="1">
      <c r="A1167" s="6">
        <v>1.3109045E7</v>
      </c>
      <c r="B1167" s="2" t="s">
        <v>4356</v>
      </c>
      <c r="C1167" s="2" t="s">
        <v>17</v>
      </c>
      <c r="D1167" s="2" t="s">
        <v>167</v>
      </c>
      <c r="E1167" s="2" t="s">
        <v>4357</v>
      </c>
      <c r="F1167" s="2" t="s">
        <v>4357</v>
      </c>
      <c r="G1167" s="2" t="s">
        <v>4358</v>
      </c>
      <c r="H1167" s="2" t="s">
        <v>127</v>
      </c>
      <c r="I1167" s="2" t="s">
        <v>2599</v>
      </c>
      <c r="J1167" s="2" t="s">
        <v>62</v>
      </c>
      <c r="K1167" s="2" t="s">
        <v>24</v>
      </c>
      <c r="L1167" s="7">
        <v>45940.0</v>
      </c>
      <c r="M1167" s="2" t="s">
        <v>48</v>
      </c>
      <c r="N1167" s="2" t="s">
        <v>35</v>
      </c>
      <c r="O1167" s="2" t="s">
        <v>27</v>
      </c>
      <c r="P1167" s="2" t="s">
        <v>28</v>
      </c>
    </row>
    <row r="1168" ht="14.25" customHeight="1">
      <c r="A1168" s="6">
        <v>1.4060987E7</v>
      </c>
      <c r="B1168" s="2" t="s">
        <v>4359</v>
      </c>
      <c r="C1168" s="2" t="s">
        <v>17</v>
      </c>
      <c r="D1168" s="2" t="s">
        <v>167</v>
      </c>
      <c r="E1168" s="2" t="s">
        <v>4360</v>
      </c>
      <c r="F1168" s="2" t="s">
        <v>4360</v>
      </c>
      <c r="G1168" s="2" t="s">
        <v>4361</v>
      </c>
      <c r="H1168" s="2" t="s">
        <v>127</v>
      </c>
      <c r="I1168" s="2" t="s">
        <v>2599</v>
      </c>
      <c r="J1168" s="2" t="s">
        <v>62</v>
      </c>
      <c r="K1168" s="2" t="s">
        <v>24</v>
      </c>
      <c r="L1168" s="7">
        <v>45940.0</v>
      </c>
      <c r="M1168" s="2" t="s">
        <v>48</v>
      </c>
      <c r="N1168" s="2" t="s">
        <v>35</v>
      </c>
      <c r="O1168" s="2" t="s">
        <v>27</v>
      </c>
      <c r="P1168" s="2" t="s">
        <v>28</v>
      </c>
    </row>
    <row r="1169" ht="14.25" customHeight="1">
      <c r="A1169" s="6">
        <v>1.800534E7</v>
      </c>
      <c r="B1169" s="2" t="s">
        <v>4362</v>
      </c>
      <c r="C1169" s="2" t="s">
        <v>17</v>
      </c>
      <c r="D1169" s="2" t="s">
        <v>38</v>
      </c>
      <c r="E1169" s="2" t="s">
        <v>4363</v>
      </c>
      <c r="F1169" s="2" t="s">
        <v>4363</v>
      </c>
      <c r="G1169" s="2" t="s">
        <v>4364</v>
      </c>
      <c r="H1169" s="2" t="s">
        <v>127</v>
      </c>
      <c r="I1169" s="2" t="s">
        <v>2608</v>
      </c>
      <c r="J1169" s="2" t="s">
        <v>62</v>
      </c>
      <c r="K1169" s="2" t="s">
        <v>24</v>
      </c>
      <c r="L1169" s="7">
        <v>45940.0</v>
      </c>
      <c r="M1169" s="2" t="s">
        <v>48</v>
      </c>
      <c r="N1169" s="2" t="s">
        <v>35</v>
      </c>
      <c r="O1169" s="2" t="s">
        <v>27</v>
      </c>
      <c r="P1169" s="2" t="s">
        <v>28</v>
      </c>
    </row>
    <row r="1170" ht="14.25" customHeight="1">
      <c r="A1170" s="6">
        <v>1.9521351E7</v>
      </c>
      <c r="B1170" s="2" t="s">
        <v>4365</v>
      </c>
      <c r="C1170" s="2" t="s">
        <v>17</v>
      </c>
      <c r="D1170" s="2" t="s">
        <v>88</v>
      </c>
      <c r="E1170" s="2" t="s">
        <v>4366</v>
      </c>
      <c r="F1170" s="2" t="s">
        <v>4366</v>
      </c>
      <c r="G1170" s="2" t="s">
        <v>4367</v>
      </c>
      <c r="H1170" s="2" t="s">
        <v>127</v>
      </c>
      <c r="I1170" s="2" t="s">
        <v>2591</v>
      </c>
      <c r="J1170" s="2" t="s">
        <v>62</v>
      </c>
      <c r="K1170" s="2" t="s">
        <v>24</v>
      </c>
      <c r="L1170" s="7">
        <v>45940.0</v>
      </c>
      <c r="M1170" s="2" t="s">
        <v>48</v>
      </c>
      <c r="N1170" s="2" t="s">
        <v>35</v>
      </c>
      <c r="O1170" s="2" t="s">
        <v>27</v>
      </c>
      <c r="P1170" s="2" t="s">
        <v>28</v>
      </c>
    </row>
    <row r="1171" ht="14.25" customHeight="1">
      <c r="A1171" s="6">
        <v>1.0323461E7</v>
      </c>
      <c r="B1171" s="2" t="s">
        <v>4368</v>
      </c>
      <c r="C1171" s="2" t="s">
        <v>17</v>
      </c>
      <c r="D1171" s="2" t="s">
        <v>167</v>
      </c>
      <c r="E1171" s="2" t="s">
        <v>4369</v>
      </c>
      <c r="F1171" s="2" t="s">
        <v>4370</v>
      </c>
      <c r="G1171" s="2" t="s">
        <v>4371</v>
      </c>
      <c r="H1171" s="2" t="s">
        <v>127</v>
      </c>
      <c r="I1171" s="2" t="s">
        <v>135</v>
      </c>
      <c r="J1171" s="2" t="s">
        <v>62</v>
      </c>
      <c r="K1171" s="2" t="s">
        <v>24</v>
      </c>
      <c r="L1171" s="7">
        <v>45939.0</v>
      </c>
      <c r="M1171" s="2" t="s">
        <v>48</v>
      </c>
      <c r="N1171" s="2" t="s">
        <v>35</v>
      </c>
      <c r="O1171" s="2" t="s">
        <v>27</v>
      </c>
      <c r="P1171" s="2" t="s">
        <v>28</v>
      </c>
    </row>
    <row r="1172" ht="14.25" customHeight="1">
      <c r="A1172" s="6">
        <v>1.6503717E7</v>
      </c>
      <c r="B1172" s="2" t="s">
        <v>4372</v>
      </c>
      <c r="C1172" s="2" t="s">
        <v>17</v>
      </c>
      <c r="D1172" s="2" t="s">
        <v>18</v>
      </c>
      <c r="E1172" s="2" t="s">
        <v>4373</v>
      </c>
      <c r="F1172" s="2" t="s">
        <v>4373</v>
      </c>
      <c r="G1172" s="2" t="s">
        <v>4374</v>
      </c>
      <c r="H1172" s="2" t="s">
        <v>127</v>
      </c>
      <c r="I1172" s="2" t="s">
        <v>2599</v>
      </c>
      <c r="J1172" s="2" t="s">
        <v>62</v>
      </c>
      <c r="K1172" s="2" t="s">
        <v>24</v>
      </c>
      <c r="L1172" s="7">
        <v>45940.0</v>
      </c>
      <c r="M1172" s="2" t="s">
        <v>48</v>
      </c>
      <c r="N1172" s="2" t="s">
        <v>35</v>
      </c>
      <c r="O1172" s="2" t="s">
        <v>27</v>
      </c>
      <c r="P1172" s="2" t="s">
        <v>28</v>
      </c>
    </row>
    <row r="1173" ht="14.25" customHeight="1">
      <c r="A1173" s="6">
        <v>2.0837134E7</v>
      </c>
      <c r="B1173" s="2" t="s">
        <v>4375</v>
      </c>
      <c r="C1173" s="2" t="s">
        <v>17</v>
      </c>
      <c r="D1173" s="2" t="s">
        <v>18</v>
      </c>
      <c r="E1173" s="2" t="s">
        <v>4376</v>
      </c>
      <c r="F1173" s="2" t="s">
        <v>4376</v>
      </c>
      <c r="G1173" s="2" t="s">
        <v>4377</v>
      </c>
      <c r="H1173" s="2" t="s">
        <v>127</v>
      </c>
      <c r="I1173" s="2" t="s">
        <v>2591</v>
      </c>
      <c r="J1173" s="2" t="s">
        <v>62</v>
      </c>
      <c r="K1173" s="2" t="s">
        <v>24</v>
      </c>
      <c r="L1173" s="7">
        <v>45939.0</v>
      </c>
      <c r="M1173" s="2" t="s">
        <v>48</v>
      </c>
      <c r="N1173" s="2" t="s">
        <v>35</v>
      </c>
      <c r="O1173" s="2" t="s">
        <v>27</v>
      </c>
      <c r="P1173" s="2" t="s">
        <v>28</v>
      </c>
    </row>
    <row r="1174" ht="14.25" customHeight="1">
      <c r="A1174" s="6">
        <v>1.6990945E7</v>
      </c>
      <c r="B1174" s="2" t="s">
        <v>4378</v>
      </c>
      <c r="C1174" s="2" t="s">
        <v>17</v>
      </c>
      <c r="D1174" s="2" t="s">
        <v>18</v>
      </c>
      <c r="E1174" s="2" t="s">
        <v>4379</v>
      </c>
      <c r="F1174" s="2" t="s">
        <v>4379</v>
      </c>
      <c r="G1174" s="2" t="s">
        <v>4380</v>
      </c>
      <c r="H1174" s="2" t="s">
        <v>127</v>
      </c>
      <c r="I1174" s="2" t="s">
        <v>2591</v>
      </c>
      <c r="J1174" s="2" t="s">
        <v>62</v>
      </c>
      <c r="K1174" s="2" t="s">
        <v>24</v>
      </c>
      <c r="L1174" s="7">
        <v>45940.0</v>
      </c>
      <c r="M1174" s="2" t="s">
        <v>48</v>
      </c>
      <c r="N1174" s="2" t="s">
        <v>35</v>
      </c>
      <c r="O1174" s="2" t="s">
        <v>27</v>
      </c>
      <c r="P1174" s="2" t="s">
        <v>28</v>
      </c>
    </row>
    <row r="1175" ht="14.25" customHeight="1">
      <c r="A1175" s="6">
        <v>2.0630583E7</v>
      </c>
      <c r="B1175" s="2" t="s">
        <v>4381</v>
      </c>
      <c r="C1175" s="2" t="s">
        <v>17</v>
      </c>
      <c r="D1175" s="2" t="s">
        <v>38</v>
      </c>
      <c r="E1175" s="2" t="s">
        <v>4382</v>
      </c>
      <c r="F1175" s="2" t="s">
        <v>4382</v>
      </c>
      <c r="G1175" s="2" t="s">
        <v>4383</v>
      </c>
      <c r="H1175" s="2" t="s">
        <v>127</v>
      </c>
      <c r="I1175" s="2" t="s">
        <v>2599</v>
      </c>
      <c r="J1175" s="2" t="s">
        <v>62</v>
      </c>
      <c r="K1175" s="2" t="s">
        <v>24</v>
      </c>
      <c r="L1175" s="7">
        <v>45940.0</v>
      </c>
      <c r="M1175" s="2" t="s">
        <v>48</v>
      </c>
      <c r="N1175" s="2" t="s">
        <v>35</v>
      </c>
      <c r="O1175" s="2" t="s">
        <v>27</v>
      </c>
      <c r="P1175" s="2" t="s">
        <v>28</v>
      </c>
    </row>
    <row r="1176" ht="14.25" customHeight="1">
      <c r="A1176" s="6">
        <v>1.7214403E7</v>
      </c>
      <c r="B1176" s="2" t="s">
        <v>4384</v>
      </c>
      <c r="C1176" s="2" t="s">
        <v>17</v>
      </c>
      <c r="D1176" s="2" t="s">
        <v>18</v>
      </c>
      <c r="E1176" s="2" t="s">
        <v>4385</v>
      </c>
      <c r="F1176" s="2" t="s">
        <v>4385</v>
      </c>
      <c r="G1176" s="2" t="s">
        <v>4386</v>
      </c>
      <c r="H1176" s="2" t="s">
        <v>127</v>
      </c>
      <c r="I1176" s="2" t="s">
        <v>2718</v>
      </c>
      <c r="J1176" s="2" t="s">
        <v>62</v>
      </c>
      <c r="K1176" s="2" t="s">
        <v>24</v>
      </c>
      <c r="L1176" s="7">
        <v>45941.0</v>
      </c>
      <c r="M1176" s="2" t="s">
        <v>48</v>
      </c>
      <c r="N1176" s="2" t="s">
        <v>35</v>
      </c>
      <c r="O1176" s="2" t="s">
        <v>27</v>
      </c>
      <c r="P1176" s="2" t="s">
        <v>28</v>
      </c>
    </row>
    <row r="1177" ht="14.25" customHeight="1">
      <c r="A1177" s="6">
        <v>1.9907946E7</v>
      </c>
      <c r="B1177" s="2" t="s">
        <v>4387</v>
      </c>
      <c r="C1177" s="2" t="s">
        <v>17</v>
      </c>
      <c r="D1177" s="2" t="s">
        <v>18</v>
      </c>
      <c r="E1177" s="2" t="s">
        <v>4388</v>
      </c>
      <c r="F1177" s="2" t="s">
        <v>4388</v>
      </c>
      <c r="G1177" s="2" t="s">
        <v>4389</v>
      </c>
      <c r="H1177" s="2" t="s">
        <v>127</v>
      </c>
      <c r="I1177" s="2" t="s">
        <v>2718</v>
      </c>
      <c r="J1177" s="2" t="s">
        <v>62</v>
      </c>
      <c r="K1177" s="2" t="s">
        <v>24</v>
      </c>
      <c r="L1177" s="7">
        <v>45941.0</v>
      </c>
      <c r="M1177" s="2" t="s">
        <v>48</v>
      </c>
      <c r="N1177" s="2" t="s">
        <v>35</v>
      </c>
      <c r="O1177" s="2" t="s">
        <v>27</v>
      </c>
      <c r="P1177" s="2" t="s">
        <v>28</v>
      </c>
    </row>
    <row r="1178" ht="14.25" customHeight="1">
      <c r="A1178" s="6">
        <v>1.1183191E7</v>
      </c>
      <c r="B1178" s="2" t="s">
        <v>4390</v>
      </c>
      <c r="C1178" s="2" t="s">
        <v>17</v>
      </c>
      <c r="D1178" s="2" t="s">
        <v>18</v>
      </c>
      <c r="E1178" s="2" t="s">
        <v>4391</v>
      </c>
      <c r="F1178" s="2" t="s">
        <v>4391</v>
      </c>
      <c r="G1178" s="2" t="s">
        <v>4392</v>
      </c>
      <c r="H1178" s="2" t="s">
        <v>127</v>
      </c>
      <c r="I1178" s="2" t="s">
        <v>2718</v>
      </c>
      <c r="J1178" s="2" t="s">
        <v>62</v>
      </c>
      <c r="K1178" s="2" t="s">
        <v>24</v>
      </c>
      <c r="L1178" s="7">
        <v>45943.0</v>
      </c>
      <c r="M1178" s="2" t="s">
        <v>48</v>
      </c>
      <c r="N1178" s="2" t="s">
        <v>35</v>
      </c>
      <c r="O1178" s="2" t="s">
        <v>27</v>
      </c>
      <c r="P1178" s="2" t="s">
        <v>28</v>
      </c>
    </row>
    <row r="1179" ht="14.25" customHeight="1">
      <c r="A1179" s="6">
        <v>1.2531108E7</v>
      </c>
      <c r="B1179" s="2" t="s">
        <v>4393</v>
      </c>
      <c r="C1179" s="2" t="s">
        <v>17</v>
      </c>
      <c r="D1179" s="2" t="s">
        <v>18</v>
      </c>
      <c r="E1179" s="2" t="s">
        <v>4394</v>
      </c>
      <c r="F1179" s="2" t="s">
        <v>4394</v>
      </c>
      <c r="G1179" s="2" t="s">
        <v>4395</v>
      </c>
      <c r="H1179" s="2" t="s">
        <v>127</v>
      </c>
      <c r="I1179" s="2" t="s">
        <v>2718</v>
      </c>
      <c r="J1179" s="2" t="s">
        <v>62</v>
      </c>
      <c r="K1179" s="2" t="s">
        <v>24</v>
      </c>
      <c r="L1179" s="7">
        <v>45941.0</v>
      </c>
      <c r="M1179" s="2" t="s">
        <v>48</v>
      </c>
      <c r="N1179" s="2" t="s">
        <v>35</v>
      </c>
      <c r="O1179" s="2" t="s">
        <v>27</v>
      </c>
      <c r="P1179" s="2" t="s">
        <v>28</v>
      </c>
    </row>
    <row r="1180" ht="14.25" customHeight="1">
      <c r="A1180" s="6">
        <v>1.5196579E7</v>
      </c>
      <c r="B1180" s="2" t="s">
        <v>4396</v>
      </c>
      <c r="C1180" s="2" t="s">
        <v>17</v>
      </c>
      <c r="D1180" s="2" t="s">
        <v>18</v>
      </c>
      <c r="E1180" s="2" t="s">
        <v>4397</v>
      </c>
      <c r="F1180" s="2" t="s">
        <v>4397</v>
      </c>
      <c r="G1180" s="2" t="s">
        <v>4398</v>
      </c>
      <c r="H1180" s="2" t="s">
        <v>127</v>
      </c>
      <c r="I1180" s="2" t="s">
        <v>2718</v>
      </c>
      <c r="J1180" s="2" t="s">
        <v>62</v>
      </c>
      <c r="K1180" s="2" t="s">
        <v>24</v>
      </c>
      <c r="L1180" s="7">
        <v>45941.0</v>
      </c>
      <c r="M1180" s="2" t="s">
        <v>48</v>
      </c>
      <c r="N1180" s="2" t="s">
        <v>35</v>
      </c>
      <c r="O1180" s="2" t="s">
        <v>27</v>
      </c>
      <c r="P1180" s="2" t="s">
        <v>28</v>
      </c>
    </row>
    <row r="1181" ht="14.25" customHeight="1">
      <c r="A1181" s="6">
        <v>1.8490587E7</v>
      </c>
      <c r="B1181" s="2" t="s">
        <v>4399</v>
      </c>
      <c r="C1181" s="2" t="s">
        <v>17</v>
      </c>
      <c r="D1181" s="2" t="s">
        <v>18</v>
      </c>
      <c r="E1181" s="2" t="s">
        <v>4400</v>
      </c>
      <c r="F1181" s="2" t="s">
        <v>4400</v>
      </c>
      <c r="G1181" s="2" t="s">
        <v>4401</v>
      </c>
      <c r="H1181" s="2" t="s">
        <v>127</v>
      </c>
      <c r="I1181" s="2" t="s">
        <v>2718</v>
      </c>
      <c r="J1181" s="2" t="s">
        <v>62</v>
      </c>
      <c r="K1181" s="2" t="s">
        <v>24</v>
      </c>
      <c r="L1181" s="7">
        <v>45941.0</v>
      </c>
      <c r="M1181" s="2" t="s">
        <v>48</v>
      </c>
      <c r="N1181" s="2" t="s">
        <v>35</v>
      </c>
      <c r="O1181" s="2" t="s">
        <v>27</v>
      </c>
      <c r="P1181" s="2" t="s">
        <v>28</v>
      </c>
    </row>
    <row r="1182" ht="14.25" customHeight="1">
      <c r="A1182" s="6">
        <v>1.8442627E7</v>
      </c>
      <c r="B1182" s="2" t="s">
        <v>4402</v>
      </c>
      <c r="C1182" s="2" t="s">
        <v>17</v>
      </c>
      <c r="D1182" s="2" t="s">
        <v>18</v>
      </c>
      <c r="E1182" s="2" t="s">
        <v>4403</v>
      </c>
      <c r="F1182" s="2" t="s">
        <v>4403</v>
      </c>
      <c r="G1182" s="2" t="s">
        <v>4404</v>
      </c>
      <c r="H1182" s="2" t="s">
        <v>127</v>
      </c>
      <c r="I1182" s="2" t="s">
        <v>2718</v>
      </c>
      <c r="J1182" s="2" t="s">
        <v>62</v>
      </c>
      <c r="K1182" s="2" t="s">
        <v>24</v>
      </c>
      <c r="L1182" s="7">
        <v>45941.0</v>
      </c>
      <c r="M1182" s="2" t="s">
        <v>48</v>
      </c>
      <c r="N1182" s="2" t="s">
        <v>35</v>
      </c>
      <c r="O1182" s="2" t="s">
        <v>27</v>
      </c>
      <c r="P1182" s="2" t="s">
        <v>28</v>
      </c>
    </row>
    <row r="1183" ht="14.25" customHeight="1">
      <c r="A1183" s="6">
        <v>1.5589906E7</v>
      </c>
      <c r="B1183" s="2" t="s">
        <v>4405</v>
      </c>
      <c r="C1183" s="2" t="s">
        <v>17</v>
      </c>
      <c r="D1183" s="2" t="s">
        <v>18</v>
      </c>
      <c r="E1183" s="2" t="s">
        <v>4406</v>
      </c>
      <c r="F1183" s="2" t="s">
        <v>4406</v>
      </c>
      <c r="G1183" s="2" t="s">
        <v>4407</v>
      </c>
      <c r="H1183" s="2" t="s">
        <v>127</v>
      </c>
      <c r="I1183" s="2" t="s">
        <v>2718</v>
      </c>
      <c r="J1183" s="2" t="s">
        <v>62</v>
      </c>
      <c r="K1183" s="2" t="s">
        <v>24</v>
      </c>
      <c r="L1183" s="7">
        <v>45941.0</v>
      </c>
      <c r="M1183" s="2" t="s">
        <v>48</v>
      </c>
      <c r="N1183" s="2" t="s">
        <v>35</v>
      </c>
      <c r="O1183" s="2" t="s">
        <v>27</v>
      </c>
      <c r="P1183" s="2" t="s">
        <v>28</v>
      </c>
    </row>
    <row r="1184" ht="14.25" customHeight="1">
      <c r="A1184" s="6">
        <v>1.9800216E7</v>
      </c>
      <c r="B1184" s="2" t="s">
        <v>4408</v>
      </c>
      <c r="C1184" s="2" t="s">
        <v>17</v>
      </c>
      <c r="D1184" s="2" t="s">
        <v>18</v>
      </c>
      <c r="E1184" s="2" t="s">
        <v>4409</v>
      </c>
      <c r="F1184" s="2" t="s">
        <v>4409</v>
      </c>
      <c r="G1184" s="2" t="s">
        <v>4410</v>
      </c>
      <c r="H1184" s="2" t="s">
        <v>127</v>
      </c>
      <c r="I1184" s="2" t="s">
        <v>2718</v>
      </c>
      <c r="J1184" s="2" t="s">
        <v>62</v>
      </c>
      <c r="K1184" s="2" t="s">
        <v>24</v>
      </c>
      <c r="L1184" s="7">
        <v>45941.0</v>
      </c>
      <c r="M1184" s="2" t="s">
        <v>48</v>
      </c>
      <c r="N1184" s="2" t="s">
        <v>35</v>
      </c>
      <c r="O1184" s="2" t="s">
        <v>27</v>
      </c>
      <c r="P1184" s="2" t="s">
        <v>28</v>
      </c>
    </row>
    <row r="1185" ht="14.25" customHeight="1">
      <c r="A1185" s="6">
        <v>2.0361671E7</v>
      </c>
      <c r="B1185" s="2" t="s">
        <v>4411</v>
      </c>
      <c r="C1185" s="2" t="s">
        <v>17</v>
      </c>
      <c r="D1185" s="2" t="s">
        <v>18</v>
      </c>
      <c r="E1185" s="2" t="s">
        <v>4412</v>
      </c>
      <c r="F1185" s="2" t="s">
        <v>4412</v>
      </c>
      <c r="G1185" s="2" t="s">
        <v>4413</v>
      </c>
      <c r="H1185" s="2" t="s">
        <v>127</v>
      </c>
      <c r="I1185" s="2" t="s">
        <v>2718</v>
      </c>
      <c r="J1185" s="2" t="s">
        <v>62</v>
      </c>
      <c r="K1185" s="2" t="s">
        <v>24</v>
      </c>
      <c r="L1185" s="7">
        <v>45941.0</v>
      </c>
      <c r="M1185" s="2" t="s">
        <v>48</v>
      </c>
      <c r="N1185" s="2" t="s">
        <v>35</v>
      </c>
      <c r="O1185" s="2" t="s">
        <v>27</v>
      </c>
      <c r="P1185" s="2" t="s">
        <v>28</v>
      </c>
    </row>
    <row r="1186" ht="14.25" customHeight="1">
      <c r="A1186" s="6">
        <v>1.6689806E7</v>
      </c>
      <c r="B1186" s="2" t="s">
        <v>4414</v>
      </c>
      <c r="C1186" s="2" t="s">
        <v>17</v>
      </c>
      <c r="D1186" s="2" t="s">
        <v>18</v>
      </c>
      <c r="E1186" s="2" t="s">
        <v>4415</v>
      </c>
      <c r="F1186" s="2" t="s">
        <v>4415</v>
      </c>
      <c r="G1186" s="2" t="s">
        <v>4416</v>
      </c>
      <c r="H1186" s="2" t="s">
        <v>127</v>
      </c>
      <c r="I1186" s="2" t="s">
        <v>2591</v>
      </c>
      <c r="J1186" s="2" t="s">
        <v>62</v>
      </c>
      <c r="K1186" s="2" t="s">
        <v>24</v>
      </c>
      <c r="L1186" s="7">
        <v>45941.0</v>
      </c>
      <c r="M1186" s="2" t="s">
        <v>48</v>
      </c>
      <c r="N1186" s="2" t="s">
        <v>35</v>
      </c>
      <c r="O1186" s="2" t="s">
        <v>27</v>
      </c>
      <c r="P1186" s="2" t="s">
        <v>28</v>
      </c>
    </row>
    <row r="1187" ht="14.25" customHeight="1">
      <c r="A1187" s="6">
        <v>1.8817077E7</v>
      </c>
      <c r="B1187" s="2" t="s">
        <v>4417</v>
      </c>
      <c r="C1187" s="2" t="s">
        <v>17</v>
      </c>
      <c r="D1187" s="2" t="s">
        <v>18</v>
      </c>
      <c r="E1187" s="2" t="s">
        <v>4418</v>
      </c>
      <c r="F1187" s="2" t="s">
        <v>4418</v>
      </c>
      <c r="G1187" s="2" t="s">
        <v>4419</v>
      </c>
      <c r="H1187" s="2" t="s">
        <v>127</v>
      </c>
      <c r="I1187" s="2" t="s">
        <v>2591</v>
      </c>
      <c r="J1187" s="2" t="s">
        <v>62</v>
      </c>
      <c r="K1187" s="2" t="s">
        <v>24</v>
      </c>
      <c r="L1187" s="7">
        <v>45941.0</v>
      </c>
      <c r="M1187" s="2" t="s">
        <v>48</v>
      </c>
      <c r="N1187" s="2" t="s">
        <v>35</v>
      </c>
      <c r="O1187" s="2" t="s">
        <v>27</v>
      </c>
      <c r="P1187" s="2" t="s">
        <v>28</v>
      </c>
    </row>
    <row r="1188" ht="14.25" customHeight="1">
      <c r="A1188" s="6">
        <v>1.6513924E7</v>
      </c>
      <c r="B1188" s="2" t="s">
        <v>4420</v>
      </c>
      <c r="C1188" s="2" t="s">
        <v>17</v>
      </c>
      <c r="D1188" s="2" t="s">
        <v>18</v>
      </c>
      <c r="E1188" s="2" t="s">
        <v>4421</v>
      </c>
      <c r="F1188" s="2" t="s">
        <v>4421</v>
      </c>
      <c r="G1188" s="2" t="s">
        <v>4422</v>
      </c>
      <c r="H1188" s="2" t="s">
        <v>127</v>
      </c>
      <c r="I1188" s="2" t="s">
        <v>2591</v>
      </c>
      <c r="J1188" s="2" t="s">
        <v>62</v>
      </c>
      <c r="K1188" s="2" t="s">
        <v>24</v>
      </c>
      <c r="L1188" s="7">
        <v>45940.0</v>
      </c>
      <c r="M1188" s="2" t="s">
        <v>48</v>
      </c>
      <c r="N1188" s="2" t="s">
        <v>35</v>
      </c>
      <c r="O1188" s="2" t="s">
        <v>27</v>
      </c>
      <c r="P1188" s="2" t="s">
        <v>28</v>
      </c>
    </row>
    <row r="1189" ht="14.25" customHeight="1">
      <c r="A1189" s="6">
        <v>2.8448903E7</v>
      </c>
      <c r="B1189" s="2" t="s">
        <v>4423</v>
      </c>
      <c r="C1189" s="2" t="s">
        <v>17</v>
      </c>
      <c r="D1189" s="2" t="s">
        <v>18</v>
      </c>
      <c r="E1189" s="2" t="s">
        <v>4424</v>
      </c>
      <c r="F1189" s="2" t="s">
        <v>4424</v>
      </c>
      <c r="G1189" s="2" t="s">
        <v>4425</v>
      </c>
      <c r="H1189" s="2" t="s">
        <v>127</v>
      </c>
      <c r="I1189" s="2" t="s">
        <v>2591</v>
      </c>
      <c r="J1189" s="2" t="s">
        <v>62</v>
      </c>
      <c r="K1189" s="2" t="s">
        <v>24</v>
      </c>
      <c r="L1189" s="7">
        <v>45940.0</v>
      </c>
      <c r="M1189" s="2" t="s">
        <v>48</v>
      </c>
      <c r="N1189" s="2" t="s">
        <v>35</v>
      </c>
      <c r="O1189" s="2" t="s">
        <v>27</v>
      </c>
      <c r="P1189" s="2" t="s">
        <v>28</v>
      </c>
    </row>
    <row r="1190" ht="14.25" customHeight="1">
      <c r="A1190" s="6">
        <v>1.9270988E7</v>
      </c>
      <c r="B1190" s="2" t="s">
        <v>4426</v>
      </c>
      <c r="C1190" s="2" t="s">
        <v>17</v>
      </c>
      <c r="D1190" s="2" t="s">
        <v>18</v>
      </c>
      <c r="E1190" s="2" t="s">
        <v>4427</v>
      </c>
      <c r="F1190" s="2" t="s">
        <v>4427</v>
      </c>
      <c r="G1190" s="2" t="s">
        <v>4428</v>
      </c>
      <c r="H1190" s="2" t="s">
        <v>127</v>
      </c>
      <c r="I1190" s="2" t="s">
        <v>2591</v>
      </c>
      <c r="J1190" s="2" t="s">
        <v>62</v>
      </c>
      <c r="K1190" s="2" t="s">
        <v>24</v>
      </c>
      <c r="L1190" s="7">
        <v>45940.0</v>
      </c>
      <c r="M1190" s="2" t="s">
        <v>48</v>
      </c>
      <c r="N1190" s="2" t="s">
        <v>35</v>
      </c>
      <c r="O1190" s="2" t="s">
        <v>27</v>
      </c>
      <c r="P1190" s="2" t="s">
        <v>28</v>
      </c>
    </row>
    <row r="1191" ht="14.25" customHeight="1">
      <c r="A1191" s="6">
        <v>2.0512923E7</v>
      </c>
      <c r="B1191" s="2" t="s">
        <v>4429</v>
      </c>
      <c r="C1191" s="2" t="s">
        <v>17</v>
      </c>
      <c r="D1191" s="2" t="s">
        <v>88</v>
      </c>
      <c r="E1191" s="2" t="s">
        <v>4430</v>
      </c>
      <c r="F1191" s="2" t="s">
        <v>4430</v>
      </c>
      <c r="G1191" s="2" t="s">
        <v>4431</v>
      </c>
      <c r="H1191" s="2" t="s">
        <v>127</v>
      </c>
      <c r="I1191" s="2" t="s">
        <v>2599</v>
      </c>
      <c r="J1191" s="2" t="s">
        <v>62</v>
      </c>
      <c r="K1191" s="2" t="s">
        <v>24</v>
      </c>
      <c r="L1191" s="7">
        <v>45940.0</v>
      </c>
      <c r="M1191" s="2" t="s">
        <v>48</v>
      </c>
      <c r="N1191" s="2" t="s">
        <v>35</v>
      </c>
      <c r="O1191" s="2" t="s">
        <v>27</v>
      </c>
      <c r="P1191" s="2" t="s">
        <v>28</v>
      </c>
    </row>
    <row r="1192" ht="14.25" customHeight="1">
      <c r="A1192" s="6">
        <v>2.0868858E7</v>
      </c>
      <c r="B1192" s="2" t="s">
        <v>4432</v>
      </c>
      <c r="C1192" s="2" t="s">
        <v>17</v>
      </c>
      <c r="D1192" s="2" t="s">
        <v>18</v>
      </c>
      <c r="E1192" s="2" t="s">
        <v>4433</v>
      </c>
      <c r="F1192" s="2" t="s">
        <v>4433</v>
      </c>
      <c r="G1192" s="2" t="s">
        <v>4434</v>
      </c>
      <c r="H1192" s="2" t="s">
        <v>127</v>
      </c>
      <c r="I1192" s="2" t="s">
        <v>2591</v>
      </c>
      <c r="J1192" s="2" t="s">
        <v>62</v>
      </c>
      <c r="K1192" s="2" t="s">
        <v>24</v>
      </c>
      <c r="L1192" s="7">
        <v>45940.0</v>
      </c>
      <c r="M1192" s="2" t="s">
        <v>48</v>
      </c>
      <c r="N1192" s="2" t="s">
        <v>35</v>
      </c>
      <c r="O1192" s="2" t="s">
        <v>27</v>
      </c>
      <c r="P1192" s="2" t="s">
        <v>28</v>
      </c>
    </row>
    <row r="1193" ht="14.25" customHeight="1">
      <c r="A1193" s="6">
        <v>1.0852652E7</v>
      </c>
      <c r="B1193" s="2" t="s">
        <v>4435</v>
      </c>
      <c r="C1193" s="2" t="s">
        <v>17</v>
      </c>
      <c r="D1193" s="2" t="s">
        <v>18</v>
      </c>
      <c r="E1193" s="2" t="s">
        <v>4436</v>
      </c>
      <c r="F1193" s="2" t="s">
        <v>4436</v>
      </c>
      <c r="G1193" s="2" t="s">
        <v>4437</v>
      </c>
      <c r="H1193" s="2" t="s">
        <v>127</v>
      </c>
      <c r="I1193" s="2" t="s">
        <v>2599</v>
      </c>
      <c r="J1193" s="2" t="s">
        <v>62</v>
      </c>
      <c r="K1193" s="2" t="s">
        <v>24</v>
      </c>
      <c r="L1193" s="7">
        <v>45940.0</v>
      </c>
      <c r="M1193" s="2" t="s">
        <v>48</v>
      </c>
      <c r="N1193" s="2" t="s">
        <v>35</v>
      </c>
      <c r="O1193" s="2" t="s">
        <v>27</v>
      </c>
      <c r="P1193" s="2" t="s">
        <v>28</v>
      </c>
    </row>
    <row r="1194" ht="14.25" customHeight="1">
      <c r="A1194" s="6">
        <v>1.1241045E7</v>
      </c>
      <c r="B1194" s="2" t="s">
        <v>4438</v>
      </c>
      <c r="C1194" s="2" t="s">
        <v>17</v>
      </c>
      <c r="D1194" s="2" t="s">
        <v>18</v>
      </c>
      <c r="E1194" s="2" t="s">
        <v>4439</v>
      </c>
      <c r="F1194" s="2" t="s">
        <v>4439</v>
      </c>
      <c r="G1194" s="2" t="s">
        <v>4440</v>
      </c>
      <c r="H1194" s="2" t="s">
        <v>127</v>
      </c>
      <c r="I1194" s="2" t="s">
        <v>2591</v>
      </c>
      <c r="J1194" s="2" t="s">
        <v>62</v>
      </c>
      <c r="K1194" s="2" t="s">
        <v>24</v>
      </c>
      <c r="L1194" s="7">
        <v>45940.0</v>
      </c>
      <c r="M1194" s="2" t="s">
        <v>48</v>
      </c>
      <c r="N1194" s="2" t="s">
        <v>35</v>
      </c>
      <c r="O1194" s="2" t="s">
        <v>27</v>
      </c>
      <c r="P1194" s="2" t="s">
        <v>28</v>
      </c>
    </row>
    <row r="1195" ht="14.25" customHeight="1">
      <c r="A1195" s="6">
        <v>2.0995723E7</v>
      </c>
      <c r="B1195" s="2" t="s">
        <v>4441</v>
      </c>
      <c r="C1195" s="2" t="s">
        <v>17</v>
      </c>
      <c r="D1195" s="2" t="s">
        <v>18</v>
      </c>
      <c r="E1195" s="2" t="s">
        <v>4442</v>
      </c>
      <c r="F1195" s="2" t="s">
        <v>4442</v>
      </c>
      <c r="G1195" s="2" t="s">
        <v>4443</v>
      </c>
      <c r="H1195" s="2" t="s">
        <v>127</v>
      </c>
      <c r="I1195" s="2" t="s">
        <v>2599</v>
      </c>
      <c r="J1195" s="2" t="s">
        <v>62</v>
      </c>
      <c r="K1195" s="2" t="s">
        <v>24</v>
      </c>
      <c r="L1195" s="7">
        <v>45940.0</v>
      </c>
      <c r="M1195" s="2" t="s">
        <v>48</v>
      </c>
      <c r="N1195" s="2" t="s">
        <v>35</v>
      </c>
      <c r="O1195" s="2" t="s">
        <v>27</v>
      </c>
      <c r="P1195" s="2" t="s">
        <v>28</v>
      </c>
    </row>
    <row r="1196" ht="14.25" customHeight="1">
      <c r="A1196" s="6">
        <v>1.8822075E7</v>
      </c>
      <c r="B1196" s="2" t="s">
        <v>4444</v>
      </c>
      <c r="C1196" s="2" t="s">
        <v>17</v>
      </c>
      <c r="D1196" s="2" t="s">
        <v>18</v>
      </c>
      <c r="E1196" s="2" t="s">
        <v>4445</v>
      </c>
      <c r="F1196" s="2" t="s">
        <v>4445</v>
      </c>
      <c r="G1196" s="2" t="s">
        <v>4446</v>
      </c>
      <c r="H1196" s="2" t="s">
        <v>127</v>
      </c>
      <c r="I1196" s="2" t="s">
        <v>2599</v>
      </c>
      <c r="J1196" s="2" t="s">
        <v>62</v>
      </c>
      <c r="K1196" s="2" t="s">
        <v>24</v>
      </c>
      <c r="L1196" s="7">
        <v>45940.0</v>
      </c>
      <c r="M1196" s="2" t="s">
        <v>48</v>
      </c>
      <c r="N1196" s="2" t="s">
        <v>35</v>
      </c>
      <c r="O1196" s="2" t="s">
        <v>27</v>
      </c>
      <c r="P1196" s="2" t="s">
        <v>28</v>
      </c>
    </row>
    <row r="1197" ht="14.25" customHeight="1">
      <c r="A1197" s="6">
        <v>2.2269254E7</v>
      </c>
      <c r="B1197" s="2" t="s">
        <v>4447</v>
      </c>
      <c r="C1197" s="2" t="s">
        <v>17</v>
      </c>
      <c r="D1197" s="2" t="s">
        <v>18</v>
      </c>
      <c r="E1197" s="2" t="s">
        <v>4448</v>
      </c>
      <c r="F1197" s="2" t="s">
        <v>4448</v>
      </c>
      <c r="G1197" s="2" t="s">
        <v>4449</v>
      </c>
      <c r="H1197" s="2" t="s">
        <v>127</v>
      </c>
      <c r="I1197" s="2" t="s">
        <v>2591</v>
      </c>
      <c r="J1197" s="2" t="s">
        <v>62</v>
      </c>
      <c r="K1197" s="2" t="s">
        <v>24</v>
      </c>
      <c r="L1197" s="7">
        <v>45941.0</v>
      </c>
      <c r="M1197" s="2" t="s">
        <v>48</v>
      </c>
      <c r="N1197" s="2" t="s">
        <v>35</v>
      </c>
      <c r="O1197" s="2" t="s">
        <v>27</v>
      </c>
      <c r="P1197" s="2" t="s">
        <v>28</v>
      </c>
    </row>
    <row r="1198" ht="14.25" customHeight="1">
      <c r="A1198" s="6">
        <v>1.7641534E7</v>
      </c>
      <c r="B1198" s="2" t="s">
        <v>4450</v>
      </c>
      <c r="C1198" s="2" t="s">
        <v>17</v>
      </c>
      <c r="D1198" s="2" t="s">
        <v>18</v>
      </c>
      <c r="E1198" s="2" t="s">
        <v>4451</v>
      </c>
      <c r="F1198" s="2" t="s">
        <v>4451</v>
      </c>
      <c r="G1198" s="2" t="s">
        <v>4452</v>
      </c>
      <c r="H1198" s="2" t="s">
        <v>127</v>
      </c>
      <c r="I1198" s="2" t="s">
        <v>2591</v>
      </c>
      <c r="J1198" s="2" t="s">
        <v>62</v>
      </c>
      <c r="K1198" s="2" t="s">
        <v>24</v>
      </c>
      <c r="L1198" s="7">
        <v>45941.0</v>
      </c>
      <c r="M1198" s="2" t="s">
        <v>48</v>
      </c>
      <c r="N1198" s="2" t="s">
        <v>35</v>
      </c>
      <c r="O1198" s="2" t="s">
        <v>27</v>
      </c>
      <c r="P1198" s="2" t="s">
        <v>28</v>
      </c>
    </row>
    <row r="1199" ht="14.25" customHeight="1">
      <c r="A1199" s="6">
        <v>1.9139402E7</v>
      </c>
      <c r="B1199" s="2" t="s">
        <v>4453</v>
      </c>
      <c r="C1199" s="2" t="s">
        <v>17</v>
      </c>
      <c r="D1199" s="2" t="s">
        <v>18</v>
      </c>
      <c r="E1199" s="2" t="s">
        <v>4454</v>
      </c>
      <c r="F1199" s="2" t="s">
        <v>4454</v>
      </c>
      <c r="G1199" s="2" t="s">
        <v>4455</v>
      </c>
      <c r="H1199" s="2" t="s">
        <v>127</v>
      </c>
      <c r="I1199" s="2" t="s">
        <v>2608</v>
      </c>
      <c r="J1199" s="2" t="s">
        <v>62</v>
      </c>
      <c r="K1199" s="2" t="s">
        <v>24</v>
      </c>
      <c r="L1199" s="7">
        <v>45941.0</v>
      </c>
      <c r="M1199" s="2" t="s">
        <v>48</v>
      </c>
      <c r="N1199" s="2" t="s">
        <v>35</v>
      </c>
      <c r="O1199" s="2" t="s">
        <v>27</v>
      </c>
      <c r="P1199" s="2" t="s">
        <v>28</v>
      </c>
    </row>
    <row r="1200" ht="14.25" customHeight="1">
      <c r="A1200" s="6">
        <v>1.965923E7</v>
      </c>
      <c r="B1200" s="2" t="s">
        <v>4456</v>
      </c>
      <c r="C1200" s="2" t="s">
        <v>17</v>
      </c>
      <c r="D1200" s="2" t="s">
        <v>18</v>
      </c>
      <c r="E1200" s="2" t="s">
        <v>4457</v>
      </c>
      <c r="F1200" s="2" t="s">
        <v>4457</v>
      </c>
      <c r="G1200" s="2" t="s">
        <v>4458</v>
      </c>
      <c r="H1200" s="2" t="s">
        <v>127</v>
      </c>
      <c r="I1200" s="2" t="s">
        <v>2591</v>
      </c>
      <c r="J1200" s="2" t="s">
        <v>62</v>
      </c>
      <c r="K1200" s="2" t="s">
        <v>24</v>
      </c>
      <c r="L1200" s="7">
        <v>45941.0</v>
      </c>
      <c r="M1200" s="2" t="s">
        <v>48</v>
      </c>
      <c r="N1200" s="2" t="s">
        <v>35</v>
      </c>
      <c r="O1200" s="2" t="s">
        <v>27</v>
      </c>
      <c r="P1200" s="2" t="s">
        <v>28</v>
      </c>
    </row>
    <row r="1201" ht="14.25" customHeight="1">
      <c r="A1201" s="6">
        <v>1.5193397E7</v>
      </c>
      <c r="B1201" s="2" t="s">
        <v>4459</v>
      </c>
      <c r="C1201" s="2" t="s">
        <v>17</v>
      </c>
      <c r="D1201" s="2" t="s">
        <v>18</v>
      </c>
      <c r="E1201" s="2" t="s">
        <v>4460</v>
      </c>
      <c r="F1201" s="2" t="s">
        <v>4460</v>
      </c>
      <c r="G1201" s="2" t="s">
        <v>4461</v>
      </c>
      <c r="H1201" s="2" t="s">
        <v>127</v>
      </c>
      <c r="I1201" s="2" t="s">
        <v>2608</v>
      </c>
      <c r="J1201" s="2" t="s">
        <v>62</v>
      </c>
      <c r="K1201" s="2" t="s">
        <v>24</v>
      </c>
      <c r="L1201" s="7">
        <v>45941.0</v>
      </c>
      <c r="M1201" s="2" t="s">
        <v>48</v>
      </c>
      <c r="N1201" s="2" t="s">
        <v>35</v>
      </c>
      <c r="O1201" s="2" t="s">
        <v>27</v>
      </c>
      <c r="P1201" s="2" t="s">
        <v>28</v>
      </c>
    </row>
    <row r="1202" ht="14.25" customHeight="1">
      <c r="A1202" s="6">
        <v>2.1246836E7</v>
      </c>
      <c r="B1202" s="2" t="s">
        <v>4462</v>
      </c>
      <c r="C1202" s="2" t="s">
        <v>17</v>
      </c>
      <c r="D1202" s="2" t="s">
        <v>18</v>
      </c>
      <c r="E1202" s="2" t="s">
        <v>4463</v>
      </c>
      <c r="F1202" s="2" t="s">
        <v>4463</v>
      </c>
      <c r="G1202" s="2" t="s">
        <v>4464</v>
      </c>
      <c r="H1202" s="2" t="s">
        <v>127</v>
      </c>
      <c r="I1202" s="2" t="s">
        <v>2599</v>
      </c>
      <c r="J1202" s="2" t="s">
        <v>62</v>
      </c>
      <c r="K1202" s="2" t="s">
        <v>24</v>
      </c>
      <c r="L1202" s="7">
        <v>45941.0</v>
      </c>
      <c r="M1202" s="2" t="s">
        <v>48</v>
      </c>
      <c r="N1202" s="2" t="s">
        <v>35</v>
      </c>
      <c r="O1202" s="2" t="s">
        <v>27</v>
      </c>
      <c r="P1202" s="2" t="s">
        <v>28</v>
      </c>
    </row>
    <row r="1203" ht="14.25" customHeight="1">
      <c r="A1203" s="6">
        <v>1.8433681E7</v>
      </c>
      <c r="B1203" s="2" t="s">
        <v>4465</v>
      </c>
      <c r="C1203" s="2" t="s">
        <v>17</v>
      </c>
      <c r="D1203" s="2" t="s">
        <v>88</v>
      </c>
      <c r="E1203" s="2" t="s">
        <v>4466</v>
      </c>
      <c r="F1203" s="2" t="s">
        <v>4466</v>
      </c>
      <c r="G1203" s="2" t="s">
        <v>4467</v>
      </c>
      <c r="H1203" s="2" t="s">
        <v>127</v>
      </c>
      <c r="I1203" s="2" t="s">
        <v>2608</v>
      </c>
      <c r="J1203" s="2" t="s">
        <v>62</v>
      </c>
      <c r="K1203" s="2" t="s">
        <v>24</v>
      </c>
      <c r="L1203" s="7">
        <v>45941.0</v>
      </c>
      <c r="M1203" s="2" t="s">
        <v>48</v>
      </c>
      <c r="N1203" s="2" t="s">
        <v>35</v>
      </c>
      <c r="O1203" s="2" t="s">
        <v>27</v>
      </c>
      <c r="P1203" s="2" t="s">
        <v>28</v>
      </c>
    </row>
    <row r="1204" ht="14.25" customHeight="1">
      <c r="A1204" s="6">
        <v>1.8821604E7</v>
      </c>
      <c r="B1204" s="2" t="s">
        <v>4468</v>
      </c>
      <c r="C1204" s="2" t="s">
        <v>17</v>
      </c>
      <c r="D1204" s="2" t="s">
        <v>18</v>
      </c>
      <c r="E1204" s="2" t="s">
        <v>4469</v>
      </c>
      <c r="F1204" s="2" t="s">
        <v>4469</v>
      </c>
      <c r="G1204" s="2" t="s">
        <v>4470</v>
      </c>
      <c r="H1204" s="2" t="s">
        <v>127</v>
      </c>
      <c r="I1204" s="2" t="s">
        <v>2599</v>
      </c>
      <c r="J1204" s="2" t="s">
        <v>62</v>
      </c>
      <c r="K1204" s="2" t="s">
        <v>24</v>
      </c>
      <c r="L1204" s="7">
        <v>45941.0</v>
      </c>
      <c r="M1204" s="2" t="s">
        <v>48</v>
      </c>
      <c r="N1204" s="2" t="s">
        <v>35</v>
      </c>
      <c r="O1204" s="2" t="s">
        <v>27</v>
      </c>
      <c r="P1204" s="2" t="s">
        <v>28</v>
      </c>
    </row>
    <row r="1205" ht="14.25" customHeight="1">
      <c r="A1205" s="6">
        <v>2.1440092E7</v>
      </c>
      <c r="B1205" s="2" t="s">
        <v>4471</v>
      </c>
      <c r="C1205" s="2" t="s">
        <v>17</v>
      </c>
      <c r="D1205" s="2" t="s">
        <v>88</v>
      </c>
      <c r="E1205" s="2" t="s">
        <v>4472</v>
      </c>
      <c r="F1205" s="2" t="s">
        <v>4472</v>
      </c>
      <c r="G1205" s="2" t="s">
        <v>4473</v>
      </c>
      <c r="H1205" s="2" t="s">
        <v>127</v>
      </c>
      <c r="I1205" s="2" t="s">
        <v>2591</v>
      </c>
      <c r="J1205" s="2" t="s">
        <v>62</v>
      </c>
      <c r="K1205" s="2" t="s">
        <v>24</v>
      </c>
      <c r="L1205" s="7">
        <v>45941.0</v>
      </c>
      <c r="M1205" s="2" t="s">
        <v>48</v>
      </c>
      <c r="N1205" s="2" t="s">
        <v>35</v>
      </c>
      <c r="O1205" s="2" t="s">
        <v>27</v>
      </c>
      <c r="P1205" s="2" t="s">
        <v>28</v>
      </c>
    </row>
    <row r="1206" ht="14.25" customHeight="1">
      <c r="A1206" s="6">
        <v>1.4623407E7</v>
      </c>
      <c r="B1206" s="2" t="s">
        <v>4474</v>
      </c>
      <c r="C1206" s="2" t="s">
        <v>17</v>
      </c>
      <c r="D1206" s="2" t="s">
        <v>18</v>
      </c>
      <c r="E1206" s="2" t="s">
        <v>4475</v>
      </c>
      <c r="F1206" s="2" t="s">
        <v>4475</v>
      </c>
      <c r="G1206" s="2" t="s">
        <v>4476</v>
      </c>
      <c r="H1206" s="2" t="s">
        <v>127</v>
      </c>
      <c r="I1206" s="2" t="s">
        <v>2608</v>
      </c>
      <c r="J1206" s="2" t="s">
        <v>62</v>
      </c>
      <c r="K1206" s="2" t="s">
        <v>24</v>
      </c>
      <c r="L1206" s="7">
        <v>45941.0</v>
      </c>
      <c r="M1206" s="2" t="s">
        <v>48</v>
      </c>
      <c r="N1206" s="2" t="s">
        <v>35</v>
      </c>
      <c r="O1206" s="2" t="s">
        <v>27</v>
      </c>
      <c r="P1206" s="2" t="s">
        <v>28</v>
      </c>
    </row>
    <row r="1207" ht="14.25" customHeight="1">
      <c r="A1207" s="6">
        <v>2.1437214E7</v>
      </c>
      <c r="B1207" s="2" t="s">
        <v>4477</v>
      </c>
      <c r="C1207" s="2" t="s">
        <v>17</v>
      </c>
      <c r="D1207" s="2" t="s">
        <v>88</v>
      </c>
      <c r="E1207" s="2" t="s">
        <v>4478</v>
      </c>
      <c r="F1207" s="2" t="s">
        <v>4478</v>
      </c>
      <c r="G1207" s="2" t="s">
        <v>4479</v>
      </c>
      <c r="H1207" s="2" t="s">
        <v>127</v>
      </c>
      <c r="I1207" s="2" t="s">
        <v>2591</v>
      </c>
      <c r="J1207" s="2" t="s">
        <v>62</v>
      </c>
      <c r="K1207" s="2" t="s">
        <v>24</v>
      </c>
      <c r="L1207" s="7">
        <v>45941.0</v>
      </c>
      <c r="M1207" s="2" t="s">
        <v>48</v>
      </c>
      <c r="N1207" s="2" t="s">
        <v>35</v>
      </c>
      <c r="O1207" s="2" t="s">
        <v>27</v>
      </c>
      <c r="P1207" s="2" t="s">
        <v>28</v>
      </c>
    </row>
    <row r="1208" ht="14.25" customHeight="1">
      <c r="A1208" s="6">
        <v>1.4150686E7</v>
      </c>
      <c r="B1208" s="2" t="s">
        <v>4480</v>
      </c>
      <c r="C1208" s="2" t="s">
        <v>17</v>
      </c>
      <c r="D1208" s="2" t="s">
        <v>38</v>
      </c>
      <c r="E1208" s="2" t="s">
        <v>4481</v>
      </c>
      <c r="F1208" s="2" t="s">
        <v>4481</v>
      </c>
      <c r="G1208" s="2" t="s">
        <v>4482</v>
      </c>
      <c r="H1208" s="2" t="s">
        <v>127</v>
      </c>
      <c r="I1208" s="2" t="s">
        <v>2608</v>
      </c>
      <c r="J1208" s="2" t="s">
        <v>62</v>
      </c>
      <c r="K1208" s="2" t="s">
        <v>24</v>
      </c>
      <c r="L1208" s="7">
        <v>45941.0</v>
      </c>
      <c r="M1208" s="2" t="s">
        <v>48</v>
      </c>
      <c r="N1208" s="2" t="s">
        <v>35</v>
      </c>
      <c r="O1208" s="2" t="s">
        <v>27</v>
      </c>
      <c r="P1208" s="2" t="s">
        <v>28</v>
      </c>
    </row>
    <row r="1209" ht="14.25" customHeight="1">
      <c r="A1209" s="6">
        <v>9279811.0</v>
      </c>
      <c r="B1209" s="2" t="s">
        <v>4483</v>
      </c>
      <c r="C1209" s="2" t="s">
        <v>17</v>
      </c>
      <c r="D1209" s="2" t="s">
        <v>18</v>
      </c>
      <c r="E1209" s="2" t="s">
        <v>4484</v>
      </c>
      <c r="F1209" s="2" t="s">
        <v>4484</v>
      </c>
      <c r="G1209" s="2" t="s">
        <v>4485</v>
      </c>
      <c r="H1209" s="2" t="s">
        <v>127</v>
      </c>
      <c r="I1209" s="2" t="s">
        <v>2591</v>
      </c>
      <c r="J1209" s="2" t="s">
        <v>62</v>
      </c>
      <c r="K1209" s="2" t="s">
        <v>24</v>
      </c>
      <c r="L1209" s="7">
        <v>45941.0</v>
      </c>
      <c r="M1209" s="2" t="s">
        <v>48</v>
      </c>
      <c r="N1209" s="2" t="s">
        <v>35</v>
      </c>
      <c r="O1209" s="2" t="s">
        <v>27</v>
      </c>
      <c r="P1209" s="2" t="s">
        <v>28</v>
      </c>
    </row>
    <row r="1210" ht="14.25" customHeight="1">
      <c r="A1210" s="6">
        <v>2.22377E7</v>
      </c>
      <c r="B1210" s="2" t="s">
        <v>4486</v>
      </c>
      <c r="C1210" s="2" t="s">
        <v>17</v>
      </c>
      <c r="D1210" s="2" t="s">
        <v>18</v>
      </c>
      <c r="E1210" s="2" t="s">
        <v>4487</v>
      </c>
      <c r="F1210" s="2" t="s">
        <v>4487</v>
      </c>
      <c r="G1210" s="2" t="s">
        <v>4488</v>
      </c>
      <c r="H1210" s="2" t="s">
        <v>127</v>
      </c>
      <c r="I1210" s="2" t="s">
        <v>2608</v>
      </c>
      <c r="J1210" s="2" t="s">
        <v>62</v>
      </c>
      <c r="K1210" s="2" t="s">
        <v>24</v>
      </c>
      <c r="L1210" s="7">
        <v>45941.0</v>
      </c>
      <c r="M1210" s="2" t="s">
        <v>48</v>
      </c>
      <c r="N1210" s="2" t="s">
        <v>35</v>
      </c>
      <c r="O1210" s="2" t="s">
        <v>27</v>
      </c>
      <c r="P1210" s="2" t="s">
        <v>28</v>
      </c>
    </row>
    <row r="1211" ht="14.25" customHeight="1">
      <c r="A1211" s="6">
        <v>1.9521638E7</v>
      </c>
      <c r="B1211" s="2" t="s">
        <v>4489</v>
      </c>
      <c r="C1211" s="2" t="s">
        <v>17</v>
      </c>
      <c r="D1211" s="2" t="s">
        <v>18</v>
      </c>
      <c r="E1211" s="2" t="s">
        <v>4490</v>
      </c>
      <c r="F1211" s="2" t="s">
        <v>4490</v>
      </c>
      <c r="G1211" s="2" t="s">
        <v>4491</v>
      </c>
      <c r="H1211" s="2" t="s">
        <v>127</v>
      </c>
      <c r="I1211" s="2" t="s">
        <v>2591</v>
      </c>
      <c r="J1211" s="2" t="s">
        <v>62</v>
      </c>
      <c r="K1211" s="2" t="s">
        <v>24</v>
      </c>
      <c r="L1211" s="7">
        <v>45941.0</v>
      </c>
      <c r="M1211" s="2" t="s">
        <v>48</v>
      </c>
      <c r="N1211" s="2" t="s">
        <v>35</v>
      </c>
      <c r="O1211" s="2" t="s">
        <v>27</v>
      </c>
      <c r="P1211" s="2" t="s">
        <v>28</v>
      </c>
    </row>
    <row r="1212" ht="14.25" customHeight="1">
      <c r="A1212" s="6">
        <v>1.874559E7</v>
      </c>
      <c r="B1212" s="2" t="s">
        <v>4492</v>
      </c>
      <c r="C1212" s="2" t="s">
        <v>17</v>
      </c>
      <c r="D1212" s="2" t="s">
        <v>18</v>
      </c>
      <c r="E1212" s="2" t="s">
        <v>4493</v>
      </c>
      <c r="F1212" s="2" t="s">
        <v>4493</v>
      </c>
      <c r="G1212" s="2" t="s">
        <v>4494</v>
      </c>
      <c r="H1212" s="2" t="s">
        <v>127</v>
      </c>
      <c r="I1212" s="2" t="s">
        <v>2608</v>
      </c>
      <c r="J1212" s="2" t="s">
        <v>62</v>
      </c>
      <c r="K1212" s="2" t="s">
        <v>24</v>
      </c>
      <c r="L1212" s="7">
        <v>45941.0</v>
      </c>
      <c r="M1212" s="2" t="s">
        <v>48</v>
      </c>
      <c r="N1212" s="2" t="s">
        <v>35</v>
      </c>
      <c r="O1212" s="2" t="s">
        <v>27</v>
      </c>
      <c r="P1212" s="2" t="s">
        <v>28</v>
      </c>
    </row>
    <row r="1213" ht="14.25" customHeight="1">
      <c r="A1213" s="6">
        <v>9229420.0</v>
      </c>
      <c r="B1213" s="2" t="s">
        <v>4495</v>
      </c>
      <c r="C1213" s="2" t="s">
        <v>17</v>
      </c>
      <c r="D1213" s="2" t="s">
        <v>38</v>
      </c>
      <c r="E1213" s="2" t="s">
        <v>4496</v>
      </c>
      <c r="F1213" s="2" t="s">
        <v>4496</v>
      </c>
      <c r="G1213" s="2" t="s">
        <v>4497</v>
      </c>
      <c r="H1213" s="2" t="s">
        <v>127</v>
      </c>
      <c r="I1213" s="2" t="s">
        <v>2608</v>
      </c>
      <c r="J1213" s="2" t="s">
        <v>62</v>
      </c>
      <c r="K1213" s="2" t="s">
        <v>24</v>
      </c>
      <c r="L1213" s="7">
        <v>45941.0</v>
      </c>
      <c r="M1213" s="2" t="s">
        <v>48</v>
      </c>
      <c r="N1213" s="2" t="s">
        <v>35</v>
      </c>
      <c r="O1213" s="2" t="s">
        <v>27</v>
      </c>
      <c r="P1213" s="2" t="s">
        <v>28</v>
      </c>
    </row>
    <row r="1214" ht="14.25" customHeight="1">
      <c r="A1214" s="6">
        <v>2.05969E7</v>
      </c>
      <c r="B1214" s="2" t="s">
        <v>4498</v>
      </c>
      <c r="C1214" s="2" t="s">
        <v>17</v>
      </c>
      <c r="D1214" s="2" t="s">
        <v>18</v>
      </c>
      <c r="E1214" s="2" t="s">
        <v>4499</v>
      </c>
      <c r="F1214" s="2" t="s">
        <v>4499</v>
      </c>
      <c r="G1214" s="2" t="s">
        <v>4500</v>
      </c>
      <c r="H1214" s="2" t="s">
        <v>127</v>
      </c>
      <c r="I1214" s="2" t="s">
        <v>2591</v>
      </c>
      <c r="J1214" s="2" t="s">
        <v>62</v>
      </c>
      <c r="K1214" s="2" t="s">
        <v>24</v>
      </c>
      <c r="L1214" s="7">
        <v>45941.0</v>
      </c>
      <c r="M1214" s="2" t="s">
        <v>48</v>
      </c>
      <c r="N1214" s="2" t="s">
        <v>35</v>
      </c>
      <c r="O1214" s="2" t="s">
        <v>27</v>
      </c>
      <c r="P1214" s="2" t="s">
        <v>28</v>
      </c>
    </row>
    <row r="1215" ht="14.25" customHeight="1">
      <c r="A1215" s="6">
        <v>2.145666E7</v>
      </c>
      <c r="B1215" s="2" t="s">
        <v>4501</v>
      </c>
      <c r="C1215" s="2" t="s">
        <v>17</v>
      </c>
      <c r="D1215" s="2" t="s">
        <v>18</v>
      </c>
      <c r="E1215" s="2" t="s">
        <v>4502</v>
      </c>
      <c r="F1215" s="2" t="s">
        <v>4502</v>
      </c>
      <c r="G1215" s="2" t="s">
        <v>4503</v>
      </c>
      <c r="H1215" s="2" t="s">
        <v>127</v>
      </c>
      <c r="I1215" s="2" t="s">
        <v>2608</v>
      </c>
      <c r="J1215" s="2" t="s">
        <v>62</v>
      </c>
      <c r="K1215" s="2" t="s">
        <v>24</v>
      </c>
      <c r="L1215" s="7">
        <v>45941.0</v>
      </c>
      <c r="M1215" s="2" t="s">
        <v>48</v>
      </c>
      <c r="N1215" s="2" t="s">
        <v>35</v>
      </c>
      <c r="O1215" s="2" t="s">
        <v>27</v>
      </c>
      <c r="P1215" s="2" t="s">
        <v>28</v>
      </c>
    </row>
    <row r="1216" ht="14.25" customHeight="1">
      <c r="A1216" s="6">
        <v>1.7228845E7</v>
      </c>
      <c r="B1216" s="2" t="s">
        <v>4504</v>
      </c>
      <c r="C1216" s="2" t="s">
        <v>17</v>
      </c>
      <c r="D1216" s="2" t="s">
        <v>18</v>
      </c>
      <c r="E1216" s="2" t="s">
        <v>4505</v>
      </c>
      <c r="F1216" s="2" t="s">
        <v>4505</v>
      </c>
      <c r="G1216" s="2" t="s">
        <v>4506</v>
      </c>
      <c r="H1216" s="2" t="s">
        <v>127</v>
      </c>
      <c r="I1216" s="2" t="s">
        <v>2608</v>
      </c>
      <c r="J1216" s="2" t="s">
        <v>62</v>
      </c>
      <c r="K1216" s="2" t="s">
        <v>24</v>
      </c>
      <c r="L1216" s="7">
        <v>45941.0</v>
      </c>
      <c r="M1216" s="2" t="s">
        <v>48</v>
      </c>
      <c r="N1216" s="2" t="s">
        <v>35</v>
      </c>
      <c r="O1216" s="2" t="s">
        <v>27</v>
      </c>
      <c r="P1216" s="2" t="s">
        <v>28</v>
      </c>
    </row>
    <row r="1217" ht="14.25" customHeight="1">
      <c r="A1217" s="6">
        <v>2.0149831E7</v>
      </c>
      <c r="B1217" s="2" t="s">
        <v>4507</v>
      </c>
      <c r="C1217" s="2" t="s">
        <v>17</v>
      </c>
      <c r="D1217" s="2" t="s">
        <v>18</v>
      </c>
      <c r="E1217" s="2" t="s">
        <v>4508</v>
      </c>
      <c r="F1217" s="2" t="s">
        <v>4508</v>
      </c>
      <c r="G1217" s="2" t="s">
        <v>4509</v>
      </c>
      <c r="H1217" s="2" t="s">
        <v>127</v>
      </c>
      <c r="I1217" s="2" t="s">
        <v>2591</v>
      </c>
      <c r="J1217" s="2" t="s">
        <v>62</v>
      </c>
      <c r="K1217" s="2" t="s">
        <v>24</v>
      </c>
      <c r="L1217" s="7">
        <v>45941.0</v>
      </c>
      <c r="M1217" s="2" t="s">
        <v>48</v>
      </c>
      <c r="N1217" s="2" t="s">
        <v>35</v>
      </c>
      <c r="O1217" s="2" t="s">
        <v>27</v>
      </c>
      <c r="P1217" s="2" t="s">
        <v>28</v>
      </c>
    </row>
    <row r="1218" ht="14.25" customHeight="1">
      <c r="A1218" s="6">
        <v>2.1802173E7</v>
      </c>
      <c r="B1218" s="2" t="s">
        <v>4510</v>
      </c>
      <c r="C1218" s="2" t="s">
        <v>17</v>
      </c>
      <c r="D1218" s="2" t="s">
        <v>18</v>
      </c>
      <c r="E1218" s="2" t="s">
        <v>4511</v>
      </c>
      <c r="F1218" s="2" t="s">
        <v>4511</v>
      </c>
      <c r="G1218" s="2" t="s">
        <v>4512</v>
      </c>
      <c r="H1218" s="2" t="s">
        <v>127</v>
      </c>
      <c r="I1218" s="2" t="s">
        <v>2608</v>
      </c>
      <c r="J1218" s="2" t="s">
        <v>62</v>
      </c>
      <c r="K1218" s="2" t="s">
        <v>24</v>
      </c>
      <c r="L1218" s="7">
        <v>45941.0</v>
      </c>
      <c r="M1218" s="2" t="s">
        <v>48</v>
      </c>
      <c r="N1218" s="2" t="s">
        <v>35</v>
      </c>
      <c r="O1218" s="2" t="s">
        <v>27</v>
      </c>
      <c r="P1218" s="2" t="s">
        <v>28</v>
      </c>
    </row>
    <row r="1219" ht="14.25" customHeight="1">
      <c r="A1219" s="6">
        <v>2.0868731E7</v>
      </c>
      <c r="B1219" s="2" t="s">
        <v>4513</v>
      </c>
      <c r="C1219" s="2" t="s">
        <v>17</v>
      </c>
      <c r="D1219" s="2" t="s">
        <v>18</v>
      </c>
      <c r="E1219" s="2" t="s">
        <v>4514</v>
      </c>
      <c r="F1219" s="2" t="s">
        <v>4514</v>
      </c>
      <c r="G1219" s="2" t="s">
        <v>4515</v>
      </c>
      <c r="H1219" s="2" t="s">
        <v>127</v>
      </c>
      <c r="I1219" s="2" t="s">
        <v>2591</v>
      </c>
      <c r="J1219" s="2" t="s">
        <v>62</v>
      </c>
      <c r="K1219" s="2" t="s">
        <v>24</v>
      </c>
      <c r="L1219" s="7">
        <v>45941.0</v>
      </c>
      <c r="M1219" s="2" t="s">
        <v>48</v>
      </c>
      <c r="N1219" s="2" t="s">
        <v>35</v>
      </c>
      <c r="O1219" s="2" t="s">
        <v>27</v>
      </c>
      <c r="P1219" s="2" t="s">
        <v>28</v>
      </c>
    </row>
    <row r="1220" ht="14.25" customHeight="1">
      <c r="A1220" s="6">
        <v>1.3525525E7</v>
      </c>
      <c r="B1220" s="2" t="s">
        <v>4516</v>
      </c>
      <c r="C1220" s="2" t="s">
        <v>17</v>
      </c>
      <c r="D1220" s="2" t="s">
        <v>88</v>
      </c>
      <c r="E1220" s="2" t="s">
        <v>4517</v>
      </c>
      <c r="F1220" s="2" t="s">
        <v>4517</v>
      </c>
      <c r="G1220" s="2" t="s">
        <v>4518</v>
      </c>
      <c r="H1220" s="2" t="s">
        <v>127</v>
      </c>
      <c r="I1220" s="2" t="s">
        <v>2591</v>
      </c>
      <c r="J1220" s="2" t="s">
        <v>62</v>
      </c>
      <c r="K1220" s="2" t="s">
        <v>24</v>
      </c>
      <c r="L1220" s="7">
        <v>45941.0</v>
      </c>
      <c r="M1220" s="2" t="s">
        <v>48</v>
      </c>
      <c r="N1220" s="2" t="s">
        <v>35</v>
      </c>
      <c r="O1220" s="2" t="s">
        <v>27</v>
      </c>
      <c r="P1220" s="2" t="s">
        <v>28</v>
      </c>
    </row>
    <row r="1221" ht="14.25" customHeight="1">
      <c r="A1221" s="6">
        <v>2.1498447E7</v>
      </c>
      <c r="B1221" s="2" t="s">
        <v>4519</v>
      </c>
      <c r="C1221" s="2" t="s">
        <v>17</v>
      </c>
      <c r="D1221" s="2" t="s">
        <v>18</v>
      </c>
      <c r="E1221" s="2" t="s">
        <v>4520</v>
      </c>
      <c r="F1221" s="2" t="s">
        <v>4520</v>
      </c>
      <c r="G1221" s="2" t="s">
        <v>4521</v>
      </c>
      <c r="H1221" s="2" t="s">
        <v>127</v>
      </c>
      <c r="I1221" s="2" t="s">
        <v>2608</v>
      </c>
      <c r="J1221" s="2" t="s">
        <v>62</v>
      </c>
      <c r="K1221" s="2" t="s">
        <v>24</v>
      </c>
      <c r="L1221" s="7">
        <v>45941.0</v>
      </c>
      <c r="M1221" s="2" t="s">
        <v>48</v>
      </c>
      <c r="N1221" s="2" t="s">
        <v>35</v>
      </c>
      <c r="O1221" s="2" t="s">
        <v>27</v>
      </c>
      <c r="P1221" s="2" t="s">
        <v>28</v>
      </c>
    </row>
    <row r="1222" ht="14.25" customHeight="1">
      <c r="A1222" s="6">
        <v>1.9139861E7</v>
      </c>
      <c r="B1222" s="2" t="s">
        <v>4522</v>
      </c>
      <c r="C1222" s="2" t="s">
        <v>17</v>
      </c>
      <c r="D1222" s="2" t="s">
        <v>18</v>
      </c>
      <c r="E1222" s="2" t="s">
        <v>4523</v>
      </c>
      <c r="F1222" s="2" t="s">
        <v>4523</v>
      </c>
      <c r="G1222" s="2" t="s">
        <v>4524</v>
      </c>
      <c r="H1222" s="2" t="s">
        <v>127</v>
      </c>
      <c r="I1222" s="2" t="s">
        <v>2608</v>
      </c>
      <c r="J1222" s="2" t="s">
        <v>62</v>
      </c>
      <c r="K1222" s="2" t="s">
        <v>24</v>
      </c>
      <c r="L1222" s="7">
        <v>45941.0</v>
      </c>
      <c r="M1222" s="2" t="s">
        <v>48</v>
      </c>
      <c r="N1222" s="2" t="s">
        <v>35</v>
      </c>
      <c r="O1222" s="2" t="s">
        <v>27</v>
      </c>
      <c r="P1222" s="2" t="s">
        <v>28</v>
      </c>
    </row>
    <row r="1223" ht="14.25" customHeight="1">
      <c r="A1223" s="6">
        <v>2.0761746E7</v>
      </c>
      <c r="B1223" s="2" t="s">
        <v>4525</v>
      </c>
      <c r="C1223" s="2" t="s">
        <v>17</v>
      </c>
      <c r="D1223" s="2" t="s">
        <v>18</v>
      </c>
      <c r="E1223" s="2" t="s">
        <v>4526</v>
      </c>
      <c r="F1223" s="2" t="s">
        <v>4526</v>
      </c>
      <c r="G1223" s="2" t="s">
        <v>4527</v>
      </c>
      <c r="H1223" s="2" t="s">
        <v>127</v>
      </c>
      <c r="I1223" s="2" t="s">
        <v>2591</v>
      </c>
      <c r="J1223" s="2" t="s">
        <v>62</v>
      </c>
      <c r="K1223" s="2" t="s">
        <v>24</v>
      </c>
      <c r="L1223" s="7">
        <v>45941.0</v>
      </c>
      <c r="M1223" s="2" t="s">
        <v>48</v>
      </c>
      <c r="N1223" s="2" t="s">
        <v>35</v>
      </c>
      <c r="O1223" s="2" t="s">
        <v>27</v>
      </c>
      <c r="P1223" s="2" t="s">
        <v>28</v>
      </c>
    </row>
    <row r="1224" ht="14.25" customHeight="1">
      <c r="A1224" s="6">
        <v>2.141627E7</v>
      </c>
      <c r="B1224" s="2" t="s">
        <v>4528</v>
      </c>
      <c r="C1224" s="2" t="s">
        <v>17</v>
      </c>
      <c r="D1224" s="2" t="s">
        <v>18</v>
      </c>
      <c r="E1224" s="2" t="s">
        <v>4529</v>
      </c>
      <c r="F1224" s="2" t="s">
        <v>4529</v>
      </c>
      <c r="G1224" s="2" t="s">
        <v>4530</v>
      </c>
      <c r="H1224" s="2" t="s">
        <v>127</v>
      </c>
      <c r="I1224" s="2" t="s">
        <v>2591</v>
      </c>
      <c r="J1224" s="2" t="s">
        <v>62</v>
      </c>
      <c r="K1224" s="2" t="s">
        <v>24</v>
      </c>
      <c r="L1224" s="7">
        <v>45941.0</v>
      </c>
      <c r="M1224" s="2" t="s">
        <v>48</v>
      </c>
      <c r="N1224" s="2" t="s">
        <v>35</v>
      </c>
      <c r="O1224" s="2" t="s">
        <v>27</v>
      </c>
      <c r="P1224" s="2" t="s">
        <v>28</v>
      </c>
    </row>
    <row r="1225" ht="14.25" customHeight="1">
      <c r="A1225" s="6">
        <v>1.2303375E7</v>
      </c>
      <c r="B1225" s="2" t="s">
        <v>4531</v>
      </c>
      <c r="C1225" s="2" t="s">
        <v>17</v>
      </c>
      <c r="D1225" s="2" t="s">
        <v>18</v>
      </c>
      <c r="E1225" s="2" t="s">
        <v>4532</v>
      </c>
      <c r="F1225" s="2" t="s">
        <v>4532</v>
      </c>
      <c r="G1225" s="2" t="s">
        <v>4533</v>
      </c>
      <c r="H1225" s="2" t="s">
        <v>127</v>
      </c>
      <c r="I1225" s="2" t="s">
        <v>2591</v>
      </c>
      <c r="J1225" s="2" t="s">
        <v>62</v>
      </c>
      <c r="K1225" s="2" t="s">
        <v>24</v>
      </c>
      <c r="L1225" s="7">
        <v>45941.0</v>
      </c>
      <c r="M1225" s="2" t="s">
        <v>48</v>
      </c>
      <c r="N1225" s="2" t="s">
        <v>35</v>
      </c>
      <c r="O1225" s="2" t="s">
        <v>27</v>
      </c>
      <c r="P1225" s="2" t="s">
        <v>28</v>
      </c>
    </row>
    <row r="1226" ht="14.25" customHeight="1">
      <c r="A1226" s="6">
        <v>2.0697802E7</v>
      </c>
      <c r="B1226" s="2" t="s">
        <v>4534</v>
      </c>
      <c r="C1226" s="2" t="s">
        <v>17</v>
      </c>
      <c r="D1226" s="2" t="s">
        <v>88</v>
      </c>
      <c r="E1226" s="2" t="s">
        <v>4535</v>
      </c>
      <c r="F1226" s="2" t="s">
        <v>4535</v>
      </c>
      <c r="G1226" s="2" t="s">
        <v>4536</v>
      </c>
      <c r="H1226" s="2" t="s">
        <v>127</v>
      </c>
      <c r="I1226" s="2" t="s">
        <v>2591</v>
      </c>
      <c r="J1226" s="2" t="s">
        <v>62</v>
      </c>
      <c r="K1226" s="2" t="s">
        <v>24</v>
      </c>
      <c r="L1226" s="7">
        <v>45941.0</v>
      </c>
      <c r="M1226" s="2" t="s">
        <v>48</v>
      </c>
      <c r="N1226" s="2" t="s">
        <v>35</v>
      </c>
      <c r="O1226" s="2" t="s">
        <v>27</v>
      </c>
      <c r="P1226" s="2" t="s">
        <v>28</v>
      </c>
    </row>
    <row r="1227" ht="14.25" customHeight="1">
      <c r="A1227" s="6">
        <v>2.0221157E7</v>
      </c>
      <c r="B1227" s="2" t="s">
        <v>4537</v>
      </c>
      <c r="C1227" s="2" t="s">
        <v>17</v>
      </c>
      <c r="D1227" s="2" t="s">
        <v>18</v>
      </c>
      <c r="E1227" s="2" t="s">
        <v>4538</v>
      </c>
      <c r="F1227" s="2" t="s">
        <v>4538</v>
      </c>
      <c r="G1227" s="2" t="s">
        <v>4539</v>
      </c>
      <c r="H1227" s="2" t="s">
        <v>127</v>
      </c>
      <c r="I1227" s="2" t="s">
        <v>2608</v>
      </c>
      <c r="J1227" s="2" t="s">
        <v>62</v>
      </c>
      <c r="K1227" s="2" t="s">
        <v>24</v>
      </c>
      <c r="L1227" s="7">
        <v>45941.0</v>
      </c>
      <c r="M1227" s="2" t="s">
        <v>48</v>
      </c>
      <c r="N1227" s="2" t="s">
        <v>35</v>
      </c>
      <c r="O1227" s="2" t="s">
        <v>27</v>
      </c>
      <c r="P1227" s="2" t="s">
        <v>28</v>
      </c>
    </row>
    <row r="1228" ht="14.25" customHeight="1">
      <c r="A1228" s="6">
        <v>2.0513561E7</v>
      </c>
      <c r="B1228" s="2" t="s">
        <v>4540</v>
      </c>
      <c r="C1228" s="2" t="s">
        <v>17</v>
      </c>
      <c r="D1228" s="2" t="s">
        <v>18</v>
      </c>
      <c r="E1228" s="2" t="s">
        <v>4541</v>
      </c>
      <c r="F1228" s="2" t="s">
        <v>4541</v>
      </c>
      <c r="G1228" s="2" t="s">
        <v>4542</v>
      </c>
      <c r="H1228" s="2" t="s">
        <v>127</v>
      </c>
      <c r="I1228" s="2" t="s">
        <v>2591</v>
      </c>
      <c r="J1228" s="2" t="s">
        <v>62</v>
      </c>
      <c r="K1228" s="2" t="s">
        <v>24</v>
      </c>
      <c r="L1228" s="7">
        <v>45941.0</v>
      </c>
      <c r="M1228" s="2" t="s">
        <v>48</v>
      </c>
      <c r="N1228" s="2" t="s">
        <v>35</v>
      </c>
      <c r="O1228" s="2" t="s">
        <v>27</v>
      </c>
      <c r="P1228" s="2" t="s">
        <v>28</v>
      </c>
    </row>
    <row r="1229" ht="14.25" customHeight="1">
      <c r="A1229" s="6">
        <v>2.130801E7</v>
      </c>
      <c r="B1229" s="2" t="s">
        <v>4543</v>
      </c>
      <c r="C1229" s="2" t="s">
        <v>17</v>
      </c>
      <c r="D1229" s="2" t="s">
        <v>18</v>
      </c>
      <c r="E1229" s="2" t="s">
        <v>4544</v>
      </c>
      <c r="F1229" s="2" t="s">
        <v>4544</v>
      </c>
      <c r="G1229" s="2" t="s">
        <v>4545</v>
      </c>
      <c r="H1229" s="2" t="s">
        <v>127</v>
      </c>
      <c r="I1229" s="2" t="s">
        <v>2608</v>
      </c>
      <c r="J1229" s="2" t="s">
        <v>62</v>
      </c>
      <c r="K1229" s="2" t="s">
        <v>24</v>
      </c>
      <c r="L1229" s="7">
        <v>45941.0</v>
      </c>
      <c r="M1229" s="2" t="s">
        <v>48</v>
      </c>
      <c r="N1229" s="2" t="s">
        <v>35</v>
      </c>
      <c r="O1229" s="2" t="s">
        <v>27</v>
      </c>
      <c r="P1229" s="2" t="s">
        <v>28</v>
      </c>
    </row>
    <row r="1230" ht="14.25" customHeight="1">
      <c r="A1230" s="6">
        <v>1.3512464E7</v>
      </c>
      <c r="B1230" s="2" t="s">
        <v>4546</v>
      </c>
      <c r="C1230" s="2" t="s">
        <v>17</v>
      </c>
      <c r="D1230" s="2" t="s">
        <v>18</v>
      </c>
      <c r="E1230" s="2" t="s">
        <v>4547</v>
      </c>
      <c r="F1230" s="2" t="s">
        <v>4547</v>
      </c>
      <c r="G1230" s="2" t="s">
        <v>4548</v>
      </c>
      <c r="H1230" s="2" t="s">
        <v>127</v>
      </c>
      <c r="I1230" s="2" t="s">
        <v>2591</v>
      </c>
      <c r="J1230" s="2" t="s">
        <v>62</v>
      </c>
      <c r="K1230" s="2" t="s">
        <v>24</v>
      </c>
      <c r="L1230" s="7">
        <v>45941.0</v>
      </c>
      <c r="M1230" s="2" t="s">
        <v>48</v>
      </c>
      <c r="N1230" s="2" t="s">
        <v>35</v>
      </c>
      <c r="O1230" s="2" t="s">
        <v>27</v>
      </c>
      <c r="P1230" s="2" t="s">
        <v>28</v>
      </c>
    </row>
    <row r="1231" ht="14.25" customHeight="1">
      <c r="A1231" s="6">
        <v>2.1466716E7</v>
      </c>
      <c r="B1231" s="2" t="s">
        <v>4549</v>
      </c>
      <c r="C1231" s="2" t="s">
        <v>17</v>
      </c>
      <c r="D1231" s="2" t="s">
        <v>18</v>
      </c>
      <c r="E1231" s="2" t="s">
        <v>4550</v>
      </c>
      <c r="F1231" s="2" t="s">
        <v>4550</v>
      </c>
      <c r="G1231" s="2" t="s">
        <v>4551</v>
      </c>
      <c r="H1231" s="2" t="s">
        <v>127</v>
      </c>
      <c r="I1231" s="2" t="s">
        <v>2608</v>
      </c>
      <c r="J1231" s="2" t="s">
        <v>62</v>
      </c>
      <c r="K1231" s="2" t="s">
        <v>24</v>
      </c>
      <c r="L1231" s="7">
        <v>45941.0</v>
      </c>
      <c r="M1231" s="2" t="s">
        <v>48</v>
      </c>
      <c r="N1231" s="2" t="s">
        <v>35</v>
      </c>
      <c r="O1231" s="2" t="s">
        <v>27</v>
      </c>
      <c r="P1231" s="2" t="s">
        <v>28</v>
      </c>
    </row>
    <row r="1232" ht="14.25" customHeight="1">
      <c r="A1232" s="6">
        <v>1.4353416E7</v>
      </c>
      <c r="B1232" s="2" t="s">
        <v>4552</v>
      </c>
      <c r="C1232" s="2" t="s">
        <v>17</v>
      </c>
      <c r="D1232" s="2" t="s">
        <v>167</v>
      </c>
      <c r="E1232" s="2" t="s">
        <v>4553</v>
      </c>
      <c r="F1232" s="2" t="s">
        <v>4553</v>
      </c>
      <c r="G1232" s="2" t="s">
        <v>4554</v>
      </c>
      <c r="H1232" s="2" t="s">
        <v>127</v>
      </c>
      <c r="I1232" s="2" t="s">
        <v>2591</v>
      </c>
      <c r="J1232" s="2" t="s">
        <v>62</v>
      </c>
      <c r="K1232" s="2" t="s">
        <v>24</v>
      </c>
      <c r="L1232" s="7">
        <v>45944.0</v>
      </c>
      <c r="M1232" s="2" t="s">
        <v>48</v>
      </c>
      <c r="N1232" s="2" t="s">
        <v>35</v>
      </c>
      <c r="O1232" s="2" t="s">
        <v>27</v>
      </c>
      <c r="P1232" s="2" t="s">
        <v>28</v>
      </c>
    </row>
    <row r="1233" ht="14.25" customHeight="1">
      <c r="A1233" s="6">
        <v>2.1036776E7</v>
      </c>
      <c r="B1233" s="2" t="s">
        <v>4555</v>
      </c>
      <c r="C1233" s="2" t="s">
        <v>17</v>
      </c>
      <c r="D1233" s="2" t="s">
        <v>38</v>
      </c>
      <c r="E1233" s="2" t="s">
        <v>4556</v>
      </c>
      <c r="F1233" s="2" t="s">
        <v>4556</v>
      </c>
      <c r="G1233" s="2" t="s">
        <v>4557</v>
      </c>
      <c r="H1233" s="2" t="s">
        <v>127</v>
      </c>
      <c r="I1233" s="2" t="s">
        <v>2599</v>
      </c>
      <c r="J1233" s="2" t="s">
        <v>62</v>
      </c>
      <c r="K1233" s="2" t="s">
        <v>24</v>
      </c>
      <c r="L1233" s="7">
        <v>45945.0</v>
      </c>
      <c r="M1233" s="2" t="s">
        <v>48</v>
      </c>
      <c r="N1233" s="2" t="s">
        <v>35</v>
      </c>
      <c r="O1233" s="2" t="s">
        <v>27</v>
      </c>
      <c r="P1233" s="2" t="s">
        <v>28</v>
      </c>
    </row>
    <row r="1234" ht="14.25" customHeight="1">
      <c r="A1234" s="6">
        <v>2.0438205E7</v>
      </c>
      <c r="B1234" s="2" t="s">
        <v>4558</v>
      </c>
      <c r="C1234" s="2" t="s">
        <v>17</v>
      </c>
      <c r="D1234" s="2" t="s">
        <v>38</v>
      </c>
      <c r="E1234" s="2" t="s">
        <v>4559</v>
      </c>
      <c r="F1234" s="2" t="s">
        <v>4559</v>
      </c>
      <c r="G1234" s="2" t="s">
        <v>4560</v>
      </c>
      <c r="H1234" s="2" t="s">
        <v>127</v>
      </c>
      <c r="I1234" s="2" t="s">
        <v>2718</v>
      </c>
      <c r="J1234" s="2" t="s">
        <v>62</v>
      </c>
      <c r="K1234" s="2" t="s">
        <v>24</v>
      </c>
      <c r="L1234" s="7">
        <v>45945.0</v>
      </c>
      <c r="M1234" s="2" t="s">
        <v>48</v>
      </c>
      <c r="N1234" s="2" t="s">
        <v>35</v>
      </c>
      <c r="O1234" s="2" t="s">
        <v>27</v>
      </c>
      <c r="P1234" s="2" t="s">
        <v>28</v>
      </c>
    </row>
    <row r="1235" ht="14.25" customHeight="1">
      <c r="A1235" s="6">
        <v>1.6348135E7</v>
      </c>
      <c r="B1235" s="2" t="s">
        <v>4561</v>
      </c>
      <c r="C1235" s="2" t="s">
        <v>17</v>
      </c>
      <c r="D1235" s="2" t="s">
        <v>57</v>
      </c>
      <c r="E1235" s="2" t="s">
        <v>4562</v>
      </c>
      <c r="F1235" s="2" t="s">
        <v>4562</v>
      </c>
      <c r="G1235" s="2" t="s">
        <v>4563</v>
      </c>
      <c r="H1235" s="2" t="s">
        <v>127</v>
      </c>
      <c r="I1235" s="2" t="s">
        <v>2718</v>
      </c>
      <c r="J1235" s="2" t="s">
        <v>62</v>
      </c>
      <c r="K1235" s="2" t="s">
        <v>24</v>
      </c>
      <c r="L1235" s="7">
        <v>45945.0</v>
      </c>
      <c r="M1235" s="2" t="s">
        <v>48</v>
      </c>
      <c r="N1235" s="2" t="s">
        <v>35</v>
      </c>
      <c r="O1235" s="2" t="s">
        <v>27</v>
      </c>
      <c r="P1235" s="2" t="s">
        <v>28</v>
      </c>
    </row>
    <row r="1236" ht="14.25" customHeight="1">
      <c r="A1236" s="6">
        <v>1.7897891E7</v>
      </c>
      <c r="B1236" s="2" t="s">
        <v>4564</v>
      </c>
      <c r="C1236" s="2" t="s">
        <v>17</v>
      </c>
      <c r="D1236" s="2" t="s">
        <v>88</v>
      </c>
      <c r="E1236" s="2" t="s">
        <v>4565</v>
      </c>
      <c r="F1236" s="2" t="s">
        <v>4565</v>
      </c>
      <c r="G1236" s="2" t="s">
        <v>4566</v>
      </c>
      <c r="H1236" s="2" t="s">
        <v>127</v>
      </c>
      <c r="I1236" s="2" t="s">
        <v>2718</v>
      </c>
      <c r="J1236" s="2" t="s">
        <v>62</v>
      </c>
      <c r="K1236" s="2" t="s">
        <v>24</v>
      </c>
      <c r="L1236" s="7">
        <v>45945.0</v>
      </c>
      <c r="M1236" s="2" t="s">
        <v>48</v>
      </c>
      <c r="N1236" s="2" t="s">
        <v>35</v>
      </c>
      <c r="O1236" s="2" t="s">
        <v>27</v>
      </c>
      <c r="P1236" s="2" t="s">
        <v>28</v>
      </c>
    </row>
    <row r="1237" ht="14.25" customHeight="1">
      <c r="A1237" s="6">
        <v>1.9578476E7</v>
      </c>
      <c r="B1237" s="2" t="s">
        <v>4567</v>
      </c>
      <c r="C1237" s="2" t="s">
        <v>17</v>
      </c>
      <c r="D1237" s="2" t="s">
        <v>167</v>
      </c>
      <c r="E1237" s="2" t="s">
        <v>4568</v>
      </c>
      <c r="F1237" s="2" t="s">
        <v>4568</v>
      </c>
      <c r="G1237" s="2" t="s">
        <v>4569</v>
      </c>
      <c r="H1237" s="2" t="s">
        <v>127</v>
      </c>
      <c r="I1237" s="2" t="s">
        <v>2718</v>
      </c>
      <c r="J1237" s="2" t="s">
        <v>62</v>
      </c>
      <c r="K1237" s="2" t="s">
        <v>24</v>
      </c>
      <c r="L1237" s="7">
        <v>45945.0</v>
      </c>
      <c r="M1237" s="2" t="s">
        <v>48</v>
      </c>
      <c r="N1237" s="2" t="s">
        <v>35</v>
      </c>
      <c r="O1237" s="2" t="s">
        <v>27</v>
      </c>
      <c r="P1237" s="2" t="s">
        <v>28</v>
      </c>
    </row>
    <row r="1238" ht="14.25" customHeight="1">
      <c r="A1238" s="6">
        <v>1.2094118E7</v>
      </c>
      <c r="B1238" s="2" t="s">
        <v>4570</v>
      </c>
      <c r="C1238" s="2" t="s">
        <v>17</v>
      </c>
      <c r="D1238" s="2" t="s">
        <v>167</v>
      </c>
      <c r="E1238" s="2" t="s">
        <v>4571</v>
      </c>
      <c r="F1238" s="2" t="s">
        <v>4571</v>
      </c>
      <c r="G1238" s="2" t="s">
        <v>4572</v>
      </c>
      <c r="H1238" s="2" t="s">
        <v>127</v>
      </c>
      <c r="I1238" s="2" t="s">
        <v>2718</v>
      </c>
      <c r="J1238" s="2" t="s">
        <v>62</v>
      </c>
      <c r="K1238" s="2" t="s">
        <v>24</v>
      </c>
      <c r="L1238" s="7">
        <v>45946.0</v>
      </c>
      <c r="M1238" s="2" t="s">
        <v>48</v>
      </c>
      <c r="N1238" s="2" t="s">
        <v>35</v>
      </c>
      <c r="O1238" s="2" t="s">
        <v>27</v>
      </c>
      <c r="P1238" s="2" t="s">
        <v>28</v>
      </c>
    </row>
    <row r="1239" ht="14.25" customHeight="1">
      <c r="A1239" s="6">
        <v>1.7041739E7</v>
      </c>
      <c r="B1239" s="2" t="s">
        <v>4573</v>
      </c>
      <c r="C1239" s="2" t="s">
        <v>17</v>
      </c>
      <c r="D1239" s="2" t="s">
        <v>38</v>
      </c>
      <c r="E1239" s="2" t="s">
        <v>4574</v>
      </c>
      <c r="F1239" s="2" t="s">
        <v>4574</v>
      </c>
      <c r="G1239" s="2" t="s">
        <v>4575</v>
      </c>
      <c r="H1239" s="2" t="s">
        <v>127</v>
      </c>
      <c r="I1239" s="2" t="s">
        <v>2718</v>
      </c>
      <c r="J1239" s="2" t="s">
        <v>62</v>
      </c>
      <c r="K1239" s="2" t="s">
        <v>24</v>
      </c>
      <c r="L1239" s="7">
        <v>45945.0</v>
      </c>
      <c r="M1239" s="2" t="s">
        <v>48</v>
      </c>
      <c r="N1239" s="2" t="s">
        <v>35</v>
      </c>
      <c r="O1239" s="2" t="s">
        <v>27</v>
      </c>
      <c r="P1239" s="2" t="s">
        <v>28</v>
      </c>
    </row>
    <row r="1240" ht="14.25" customHeight="1">
      <c r="A1240" s="6">
        <v>1.8106541E7</v>
      </c>
      <c r="B1240" s="2" t="s">
        <v>4576</v>
      </c>
      <c r="C1240" s="2" t="s">
        <v>17</v>
      </c>
      <c r="D1240" s="2" t="s">
        <v>167</v>
      </c>
      <c r="E1240" s="2" t="s">
        <v>4577</v>
      </c>
      <c r="F1240" s="2" t="s">
        <v>4577</v>
      </c>
      <c r="G1240" s="2" t="s">
        <v>4578</v>
      </c>
      <c r="H1240" s="2" t="s">
        <v>127</v>
      </c>
      <c r="I1240" s="2" t="s">
        <v>2718</v>
      </c>
      <c r="J1240" s="2" t="s">
        <v>62</v>
      </c>
      <c r="K1240" s="2" t="s">
        <v>24</v>
      </c>
      <c r="L1240" s="7">
        <v>45945.0</v>
      </c>
      <c r="M1240" s="2" t="s">
        <v>48</v>
      </c>
      <c r="N1240" s="2" t="s">
        <v>35</v>
      </c>
      <c r="O1240" s="2" t="s">
        <v>27</v>
      </c>
      <c r="P1240" s="2" t="s">
        <v>28</v>
      </c>
    </row>
    <row r="1241" ht="14.25" customHeight="1">
      <c r="A1241" s="6">
        <v>1.980028E7</v>
      </c>
      <c r="B1241" s="2" t="s">
        <v>4579</v>
      </c>
      <c r="C1241" s="2" t="s">
        <v>17</v>
      </c>
      <c r="D1241" s="2" t="s">
        <v>167</v>
      </c>
      <c r="E1241" s="2" t="s">
        <v>4580</v>
      </c>
      <c r="F1241" s="2" t="s">
        <v>4580</v>
      </c>
      <c r="G1241" s="2" t="s">
        <v>4581</v>
      </c>
      <c r="H1241" s="2" t="s">
        <v>127</v>
      </c>
      <c r="I1241" s="2" t="s">
        <v>2718</v>
      </c>
      <c r="J1241" s="2" t="s">
        <v>62</v>
      </c>
      <c r="K1241" s="2" t="s">
        <v>24</v>
      </c>
      <c r="L1241" s="7">
        <v>45945.0</v>
      </c>
      <c r="M1241" s="2" t="s">
        <v>48</v>
      </c>
      <c r="N1241" s="2" t="s">
        <v>35</v>
      </c>
      <c r="O1241" s="2" t="s">
        <v>27</v>
      </c>
      <c r="P1241" s="2" t="s">
        <v>28</v>
      </c>
    </row>
    <row r="1242" ht="14.25" customHeight="1">
      <c r="A1242" s="6">
        <v>1.6897933E7</v>
      </c>
      <c r="B1242" s="2" t="s">
        <v>4582</v>
      </c>
      <c r="C1242" s="2" t="s">
        <v>17</v>
      </c>
      <c r="D1242" s="2" t="s">
        <v>38</v>
      </c>
      <c r="E1242" s="2" t="s">
        <v>4583</v>
      </c>
      <c r="F1242" s="2" t="s">
        <v>4583</v>
      </c>
      <c r="G1242" s="2" t="s">
        <v>4584</v>
      </c>
      <c r="H1242" s="2" t="s">
        <v>127</v>
      </c>
      <c r="I1242" s="2" t="s">
        <v>2718</v>
      </c>
      <c r="J1242" s="2" t="s">
        <v>62</v>
      </c>
      <c r="K1242" s="2" t="s">
        <v>24</v>
      </c>
      <c r="L1242" s="7">
        <v>45945.0</v>
      </c>
      <c r="M1242" s="2" t="s">
        <v>48</v>
      </c>
      <c r="N1242" s="2" t="s">
        <v>35</v>
      </c>
      <c r="O1242" s="2" t="s">
        <v>27</v>
      </c>
      <c r="P1242" s="2" t="s">
        <v>28</v>
      </c>
    </row>
    <row r="1243" ht="14.25" customHeight="1">
      <c r="A1243" s="6">
        <v>8438821.0</v>
      </c>
      <c r="B1243" s="2" t="s">
        <v>4585</v>
      </c>
      <c r="C1243" s="2" t="s">
        <v>17</v>
      </c>
      <c r="D1243" s="2" t="s">
        <v>57</v>
      </c>
      <c r="E1243" s="2" t="s">
        <v>4586</v>
      </c>
      <c r="F1243" s="2" t="s">
        <v>4586</v>
      </c>
      <c r="G1243" s="2" t="s">
        <v>4587</v>
      </c>
      <c r="H1243" s="2" t="s">
        <v>127</v>
      </c>
      <c r="I1243" s="2" t="s">
        <v>2718</v>
      </c>
      <c r="J1243" s="2" t="s">
        <v>62</v>
      </c>
      <c r="K1243" s="2" t="s">
        <v>24</v>
      </c>
      <c r="L1243" s="7">
        <v>45945.0</v>
      </c>
      <c r="M1243" s="2" t="s">
        <v>48</v>
      </c>
      <c r="N1243" s="2" t="s">
        <v>35</v>
      </c>
      <c r="O1243" s="2" t="s">
        <v>27</v>
      </c>
      <c r="P1243" s="2" t="s">
        <v>28</v>
      </c>
    </row>
    <row r="1244" ht="14.25" customHeight="1">
      <c r="A1244" s="6">
        <v>1.3255568E7</v>
      </c>
      <c r="B1244" s="2" t="s">
        <v>4588</v>
      </c>
      <c r="C1244" s="2" t="s">
        <v>17</v>
      </c>
      <c r="D1244" s="2" t="s">
        <v>18</v>
      </c>
      <c r="E1244" s="2" t="s">
        <v>4589</v>
      </c>
      <c r="F1244" s="2" t="s">
        <v>4589</v>
      </c>
      <c r="G1244" s="2" t="s">
        <v>4590</v>
      </c>
      <c r="H1244" s="2" t="s">
        <v>127</v>
      </c>
      <c r="I1244" s="2" t="s">
        <v>2718</v>
      </c>
      <c r="J1244" s="2" t="s">
        <v>62</v>
      </c>
      <c r="K1244" s="2" t="s">
        <v>24</v>
      </c>
      <c r="L1244" s="7">
        <v>45945.0</v>
      </c>
      <c r="M1244" s="2" t="s">
        <v>48</v>
      </c>
      <c r="N1244" s="2" t="s">
        <v>35</v>
      </c>
      <c r="O1244" s="2" t="s">
        <v>27</v>
      </c>
      <c r="P1244" s="2" t="s">
        <v>28</v>
      </c>
    </row>
    <row r="1245" ht="14.25" customHeight="1">
      <c r="A1245" s="6">
        <v>2.0362414E7</v>
      </c>
      <c r="B1245" s="2" t="s">
        <v>4591</v>
      </c>
      <c r="C1245" s="2" t="s">
        <v>17</v>
      </c>
      <c r="D1245" s="2" t="s">
        <v>18</v>
      </c>
      <c r="E1245" s="2" t="s">
        <v>4592</v>
      </c>
      <c r="F1245" s="2" t="s">
        <v>4592</v>
      </c>
      <c r="G1245" s="2" t="s">
        <v>4593</v>
      </c>
      <c r="H1245" s="2" t="s">
        <v>127</v>
      </c>
      <c r="I1245" s="2" t="s">
        <v>2718</v>
      </c>
      <c r="J1245" s="2" t="s">
        <v>62</v>
      </c>
      <c r="K1245" s="2" t="s">
        <v>24</v>
      </c>
      <c r="L1245" s="7">
        <v>45945.0</v>
      </c>
      <c r="M1245" s="2" t="s">
        <v>48</v>
      </c>
      <c r="N1245" s="2" t="s">
        <v>35</v>
      </c>
      <c r="O1245" s="2" t="s">
        <v>27</v>
      </c>
      <c r="P1245" s="2" t="s">
        <v>28</v>
      </c>
    </row>
    <row r="1246" ht="14.25" customHeight="1">
      <c r="A1246" s="6">
        <v>1.4068724E7</v>
      </c>
      <c r="B1246" s="2" t="s">
        <v>4594</v>
      </c>
      <c r="C1246" s="2" t="s">
        <v>17</v>
      </c>
      <c r="D1246" s="2" t="s">
        <v>88</v>
      </c>
      <c r="E1246" s="2" t="s">
        <v>4595</v>
      </c>
      <c r="F1246" s="2" t="s">
        <v>4595</v>
      </c>
      <c r="G1246" s="2" t="s">
        <v>4596</v>
      </c>
      <c r="H1246" s="2" t="s">
        <v>127</v>
      </c>
      <c r="I1246" s="2" t="s">
        <v>2718</v>
      </c>
      <c r="J1246" s="2" t="s">
        <v>62</v>
      </c>
      <c r="K1246" s="2" t="s">
        <v>24</v>
      </c>
      <c r="L1246" s="7">
        <v>45945.0</v>
      </c>
      <c r="M1246" s="2" t="s">
        <v>48</v>
      </c>
      <c r="N1246" s="2" t="s">
        <v>35</v>
      </c>
      <c r="O1246" s="2" t="s">
        <v>27</v>
      </c>
      <c r="P1246" s="2" t="s">
        <v>28</v>
      </c>
    </row>
    <row r="1247" ht="14.25" customHeight="1">
      <c r="A1247" s="6">
        <v>1.9156246E7</v>
      </c>
      <c r="B1247" s="2" t="s">
        <v>4597</v>
      </c>
      <c r="C1247" s="2" t="s">
        <v>17</v>
      </c>
      <c r="D1247" s="2" t="s">
        <v>18</v>
      </c>
      <c r="E1247" s="2" t="s">
        <v>4598</v>
      </c>
      <c r="F1247" s="2" t="s">
        <v>4598</v>
      </c>
      <c r="G1247" s="2" t="s">
        <v>4599</v>
      </c>
      <c r="H1247" s="2" t="s">
        <v>127</v>
      </c>
      <c r="I1247" s="2" t="s">
        <v>2718</v>
      </c>
      <c r="J1247" s="2" t="s">
        <v>62</v>
      </c>
      <c r="K1247" s="2" t="s">
        <v>24</v>
      </c>
      <c r="L1247" s="7">
        <v>45945.0</v>
      </c>
      <c r="M1247" s="2" t="s">
        <v>48</v>
      </c>
      <c r="N1247" s="2" t="s">
        <v>35</v>
      </c>
      <c r="O1247" s="2" t="s">
        <v>27</v>
      </c>
      <c r="P1247" s="2" t="s">
        <v>28</v>
      </c>
    </row>
    <row r="1248" ht="14.25" customHeight="1">
      <c r="A1248" s="6">
        <v>1.8597375E7</v>
      </c>
      <c r="B1248" s="2" t="s">
        <v>4600</v>
      </c>
      <c r="C1248" s="2" t="s">
        <v>17</v>
      </c>
      <c r="D1248" s="2" t="s">
        <v>167</v>
      </c>
      <c r="E1248" s="2" t="s">
        <v>4601</v>
      </c>
      <c r="F1248" s="2" t="s">
        <v>4601</v>
      </c>
      <c r="G1248" s="2" t="s">
        <v>4602</v>
      </c>
      <c r="H1248" s="2" t="s">
        <v>127</v>
      </c>
      <c r="I1248" s="2" t="s">
        <v>2599</v>
      </c>
      <c r="J1248" s="2" t="s">
        <v>62</v>
      </c>
      <c r="K1248" s="2" t="s">
        <v>24</v>
      </c>
      <c r="L1248" s="7">
        <v>45946.0</v>
      </c>
      <c r="M1248" s="2" t="s">
        <v>48</v>
      </c>
      <c r="N1248" s="2" t="s">
        <v>35</v>
      </c>
      <c r="O1248" s="2" t="s">
        <v>27</v>
      </c>
      <c r="P1248" s="2" t="s">
        <v>28</v>
      </c>
    </row>
    <row r="1249" ht="14.25" customHeight="1">
      <c r="A1249" s="6">
        <v>1.519233E7</v>
      </c>
      <c r="B1249" s="2" t="s">
        <v>4603</v>
      </c>
      <c r="C1249" s="2" t="s">
        <v>17</v>
      </c>
      <c r="D1249" s="2" t="s">
        <v>38</v>
      </c>
      <c r="E1249" s="2" t="s">
        <v>4604</v>
      </c>
      <c r="F1249" s="2" t="s">
        <v>4604</v>
      </c>
      <c r="G1249" s="2" t="s">
        <v>4605</v>
      </c>
      <c r="H1249" s="2" t="s">
        <v>127</v>
      </c>
      <c r="I1249" s="2" t="s">
        <v>2718</v>
      </c>
      <c r="J1249" s="2" t="s">
        <v>62</v>
      </c>
      <c r="K1249" s="2" t="s">
        <v>24</v>
      </c>
      <c r="L1249" s="7">
        <v>45947.0</v>
      </c>
      <c r="M1249" s="2" t="s">
        <v>48</v>
      </c>
      <c r="N1249" s="2" t="s">
        <v>35</v>
      </c>
      <c r="O1249" s="2" t="s">
        <v>27</v>
      </c>
      <c r="P1249" s="2" t="s">
        <v>28</v>
      </c>
    </row>
    <row r="1250" ht="14.25" customHeight="1">
      <c r="A1250" s="6">
        <v>1.8076095E7</v>
      </c>
      <c r="B1250" s="2" t="s">
        <v>4606</v>
      </c>
      <c r="C1250" s="2" t="s">
        <v>17</v>
      </c>
      <c r="D1250" s="2" t="s">
        <v>38</v>
      </c>
      <c r="E1250" s="2" t="s">
        <v>4607</v>
      </c>
      <c r="F1250" s="2" t="s">
        <v>4607</v>
      </c>
      <c r="G1250" s="2" t="s">
        <v>4608</v>
      </c>
      <c r="H1250" s="2" t="s">
        <v>127</v>
      </c>
      <c r="I1250" s="2" t="s">
        <v>2599</v>
      </c>
      <c r="J1250" s="2" t="s">
        <v>62</v>
      </c>
      <c r="K1250" s="2" t="s">
        <v>24</v>
      </c>
      <c r="L1250" s="7">
        <v>45946.0</v>
      </c>
      <c r="M1250" s="2" t="s">
        <v>48</v>
      </c>
      <c r="N1250" s="2" t="s">
        <v>35</v>
      </c>
      <c r="O1250" s="2" t="s">
        <v>27</v>
      </c>
      <c r="P1250" s="2" t="s">
        <v>28</v>
      </c>
    </row>
    <row r="1251" ht="14.25" customHeight="1">
      <c r="A1251" s="6">
        <v>1.3754922E7</v>
      </c>
      <c r="B1251" s="2" t="s">
        <v>4609</v>
      </c>
      <c r="C1251" s="2" t="s">
        <v>17</v>
      </c>
      <c r="D1251" s="2" t="s">
        <v>18</v>
      </c>
      <c r="E1251" s="2" t="s">
        <v>4610</v>
      </c>
      <c r="F1251" s="2" t="s">
        <v>4610</v>
      </c>
      <c r="G1251" s="2" t="s">
        <v>4611</v>
      </c>
      <c r="H1251" s="2" t="s">
        <v>127</v>
      </c>
      <c r="I1251" s="2" t="s">
        <v>2608</v>
      </c>
      <c r="J1251" s="2" t="s">
        <v>62</v>
      </c>
      <c r="K1251" s="2" t="s">
        <v>24</v>
      </c>
      <c r="L1251" s="7">
        <v>45947.0</v>
      </c>
      <c r="M1251" s="2" t="s">
        <v>48</v>
      </c>
      <c r="N1251" s="2" t="s">
        <v>35</v>
      </c>
      <c r="O1251" s="2" t="s">
        <v>27</v>
      </c>
      <c r="P1251" s="2" t="s">
        <v>28</v>
      </c>
    </row>
    <row r="1252" ht="14.25" customHeight="1">
      <c r="A1252" s="6">
        <v>2.0512961E7</v>
      </c>
      <c r="B1252" s="2" t="s">
        <v>4612</v>
      </c>
      <c r="C1252" s="2" t="s">
        <v>17</v>
      </c>
      <c r="D1252" s="2" t="s">
        <v>18</v>
      </c>
      <c r="E1252" s="2" t="s">
        <v>4613</v>
      </c>
      <c r="F1252" s="2" t="s">
        <v>4613</v>
      </c>
      <c r="G1252" s="2" t="s">
        <v>4614</v>
      </c>
      <c r="H1252" s="2" t="s">
        <v>127</v>
      </c>
      <c r="I1252" s="2" t="s">
        <v>2599</v>
      </c>
      <c r="J1252" s="2" t="s">
        <v>62</v>
      </c>
      <c r="K1252" s="2" t="s">
        <v>24</v>
      </c>
      <c r="L1252" s="7">
        <v>45947.0</v>
      </c>
      <c r="M1252" s="2" t="s">
        <v>48</v>
      </c>
      <c r="N1252" s="2" t="s">
        <v>35</v>
      </c>
      <c r="O1252" s="2" t="s">
        <v>27</v>
      </c>
      <c r="P1252" s="2" t="s">
        <v>28</v>
      </c>
    </row>
    <row r="1253" ht="14.25" customHeight="1">
      <c r="A1253" s="6">
        <v>1.4181172E7</v>
      </c>
      <c r="B1253" s="2" t="s">
        <v>4615</v>
      </c>
      <c r="C1253" s="2" t="s">
        <v>17</v>
      </c>
      <c r="D1253" s="2" t="s">
        <v>88</v>
      </c>
      <c r="E1253" s="2" t="s">
        <v>4616</v>
      </c>
      <c r="F1253" s="2" t="s">
        <v>4616</v>
      </c>
      <c r="G1253" s="2" t="s">
        <v>4617</v>
      </c>
      <c r="H1253" s="2" t="s">
        <v>127</v>
      </c>
      <c r="I1253" s="2" t="s">
        <v>2599</v>
      </c>
      <c r="J1253" s="2" t="s">
        <v>62</v>
      </c>
      <c r="K1253" s="2" t="s">
        <v>24</v>
      </c>
      <c r="L1253" s="7">
        <v>45947.0</v>
      </c>
      <c r="M1253" s="2" t="s">
        <v>48</v>
      </c>
      <c r="N1253" s="2" t="s">
        <v>35</v>
      </c>
      <c r="O1253" s="2" t="s">
        <v>27</v>
      </c>
      <c r="P1253" s="2" t="s">
        <v>28</v>
      </c>
    </row>
    <row r="1254" ht="14.25" customHeight="1">
      <c r="A1254" s="6">
        <v>1.8822049E7</v>
      </c>
      <c r="B1254" s="2" t="s">
        <v>4618</v>
      </c>
      <c r="C1254" s="2" t="s">
        <v>17</v>
      </c>
      <c r="D1254" s="2" t="s">
        <v>88</v>
      </c>
      <c r="E1254" s="2" t="s">
        <v>4619</v>
      </c>
      <c r="F1254" s="2" t="s">
        <v>4619</v>
      </c>
      <c r="G1254" s="2" t="s">
        <v>4620</v>
      </c>
      <c r="H1254" s="2" t="s">
        <v>127</v>
      </c>
      <c r="I1254" s="2" t="s">
        <v>2599</v>
      </c>
      <c r="J1254" s="2" t="s">
        <v>62</v>
      </c>
      <c r="K1254" s="2" t="s">
        <v>24</v>
      </c>
      <c r="L1254" s="7">
        <v>45947.0</v>
      </c>
      <c r="M1254" s="2" t="s">
        <v>48</v>
      </c>
      <c r="N1254" s="2" t="s">
        <v>35</v>
      </c>
      <c r="O1254" s="2" t="s">
        <v>27</v>
      </c>
      <c r="P1254" s="2" t="s">
        <v>28</v>
      </c>
    </row>
    <row r="1255" ht="14.25" customHeight="1">
      <c r="A1255" s="6">
        <v>1.8745398E7</v>
      </c>
      <c r="B1255" s="2" t="s">
        <v>4621</v>
      </c>
      <c r="C1255" s="2" t="s">
        <v>17</v>
      </c>
      <c r="D1255" s="2" t="s">
        <v>88</v>
      </c>
      <c r="E1255" s="2" t="s">
        <v>4622</v>
      </c>
      <c r="F1255" s="2" t="s">
        <v>4622</v>
      </c>
      <c r="G1255" s="2" t="s">
        <v>4623</v>
      </c>
      <c r="H1255" s="2" t="s">
        <v>127</v>
      </c>
      <c r="I1255" s="2" t="s">
        <v>2591</v>
      </c>
      <c r="J1255" s="2" t="s">
        <v>62</v>
      </c>
      <c r="K1255" s="2" t="s">
        <v>24</v>
      </c>
      <c r="L1255" s="7">
        <v>45947.0</v>
      </c>
      <c r="M1255" s="2" t="s">
        <v>48</v>
      </c>
      <c r="N1255" s="2" t="s">
        <v>35</v>
      </c>
      <c r="O1255" s="2" t="s">
        <v>27</v>
      </c>
      <c r="P1255" s="2" t="s">
        <v>28</v>
      </c>
    </row>
    <row r="1256" ht="14.25" customHeight="1">
      <c r="A1256" s="6">
        <v>1.5955278E7</v>
      </c>
      <c r="B1256" s="2" t="s">
        <v>4624</v>
      </c>
      <c r="C1256" s="2" t="s">
        <v>17</v>
      </c>
      <c r="D1256" s="2" t="s">
        <v>88</v>
      </c>
      <c r="E1256" s="2" t="s">
        <v>4625</v>
      </c>
      <c r="F1256" s="2" t="s">
        <v>4625</v>
      </c>
      <c r="G1256" s="2" t="s">
        <v>4626</v>
      </c>
      <c r="H1256" s="2" t="s">
        <v>127</v>
      </c>
      <c r="I1256" s="2" t="s">
        <v>2599</v>
      </c>
      <c r="J1256" s="2" t="s">
        <v>62</v>
      </c>
      <c r="K1256" s="2" t="s">
        <v>24</v>
      </c>
      <c r="L1256" s="7">
        <v>45947.0</v>
      </c>
      <c r="M1256" s="2" t="s">
        <v>48</v>
      </c>
      <c r="N1256" s="2" t="s">
        <v>35</v>
      </c>
      <c r="O1256" s="2" t="s">
        <v>27</v>
      </c>
      <c r="P1256" s="2" t="s">
        <v>28</v>
      </c>
    </row>
    <row r="1257" ht="14.25" customHeight="1">
      <c r="A1257" s="6">
        <v>1.2305131E7</v>
      </c>
      <c r="B1257" s="2" t="s">
        <v>4627</v>
      </c>
      <c r="C1257" s="2" t="s">
        <v>17</v>
      </c>
      <c r="D1257" s="2" t="s">
        <v>38</v>
      </c>
      <c r="E1257" s="2" t="s">
        <v>4628</v>
      </c>
      <c r="F1257" s="2" t="s">
        <v>4628</v>
      </c>
      <c r="G1257" s="2" t="s">
        <v>4629</v>
      </c>
      <c r="H1257" s="2" t="s">
        <v>127</v>
      </c>
      <c r="I1257" s="2" t="s">
        <v>2599</v>
      </c>
      <c r="J1257" s="2" t="s">
        <v>62</v>
      </c>
      <c r="K1257" s="2" t="s">
        <v>24</v>
      </c>
      <c r="L1257" s="7">
        <v>45947.0</v>
      </c>
      <c r="M1257" s="2" t="s">
        <v>48</v>
      </c>
      <c r="N1257" s="2" t="s">
        <v>35</v>
      </c>
      <c r="O1257" s="2" t="s">
        <v>27</v>
      </c>
      <c r="P1257" s="2" t="s">
        <v>28</v>
      </c>
    </row>
    <row r="1258" ht="14.25" customHeight="1">
      <c r="A1258" s="6">
        <v>2.6114809E7</v>
      </c>
      <c r="B1258" s="2" t="s">
        <v>4630</v>
      </c>
      <c r="C1258" s="2" t="s">
        <v>17</v>
      </c>
      <c r="D1258" s="2" t="s">
        <v>38</v>
      </c>
      <c r="E1258" s="2" t="s">
        <v>4631</v>
      </c>
      <c r="F1258" s="2" t="s">
        <v>4631</v>
      </c>
      <c r="G1258" s="2" t="s">
        <v>4632</v>
      </c>
      <c r="H1258" s="2" t="s">
        <v>127</v>
      </c>
      <c r="I1258" s="2" t="s">
        <v>2608</v>
      </c>
      <c r="J1258" s="2" t="s">
        <v>62</v>
      </c>
      <c r="K1258" s="2" t="s">
        <v>24</v>
      </c>
      <c r="L1258" s="7">
        <v>45947.0</v>
      </c>
      <c r="M1258" s="2" t="s">
        <v>48</v>
      </c>
      <c r="N1258" s="2" t="s">
        <v>35</v>
      </c>
      <c r="O1258" s="2" t="s">
        <v>27</v>
      </c>
      <c r="P1258" s="2" t="s">
        <v>28</v>
      </c>
    </row>
    <row r="1259" ht="14.25" customHeight="1">
      <c r="A1259" s="6">
        <v>9248946.0</v>
      </c>
      <c r="B1259" s="2" t="s">
        <v>4633</v>
      </c>
      <c r="C1259" s="2" t="s">
        <v>17</v>
      </c>
      <c r="D1259" s="2" t="s">
        <v>38</v>
      </c>
      <c r="E1259" s="2" t="s">
        <v>4634</v>
      </c>
      <c r="F1259" s="2" t="s">
        <v>4634</v>
      </c>
      <c r="G1259" s="2" t="s">
        <v>4635</v>
      </c>
      <c r="H1259" s="2" t="s">
        <v>127</v>
      </c>
      <c r="I1259" s="2" t="s">
        <v>2599</v>
      </c>
      <c r="J1259" s="2" t="s">
        <v>62</v>
      </c>
      <c r="K1259" s="2" t="s">
        <v>24</v>
      </c>
      <c r="L1259" s="7">
        <v>45947.0</v>
      </c>
      <c r="M1259" s="2" t="s">
        <v>48</v>
      </c>
      <c r="N1259" s="2" t="s">
        <v>35</v>
      </c>
      <c r="O1259" s="2" t="s">
        <v>27</v>
      </c>
      <c r="P1259" s="2" t="s">
        <v>28</v>
      </c>
    </row>
    <row r="1260" ht="14.25" customHeight="1">
      <c r="A1260" s="6">
        <v>1.5187808E7</v>
      </c>
      <c r="B1260" s="2" t="s">
        <v>4636</v>
      </c>
      <c r="C1260" s="2" t="s">
        <v>17</v>
      </c>
      <c r="D1260" s="2" t="s">
        <v>38</v>
      </c>
      <c r="E1260" s="2" t="s">
        <v>4637</v>
      </c>
      <c r="F1260" s="2" t="s">
        <v>4637</v>
      </c>
      <c r="G1260" s="2" t="s">
        <v>4638</v>
      </c>
      <c r="H1260" s="2" t="s">
        <v>127</v>
      </c>
      <c r="I1260" s="2" t="s">
        <v>2599</v>
      </c>
      <c r="J1260" s="2" t="s">
        <v>62</v>
      </c>
      <c r="K1260" s="2" t="s">
        <v>24</v>
      </c>
      <c r="L1260" s="7">
        <v>45947.0</v>
      </c>
      <c r="M1260" s="2" t="s">
        <v>48</v>
      </c>
      <c r="N1260" s="2" t="s">
        <v>35</v>
      </c>
      <c r="O1260" s="2" t="s">
        <v>27</v>
      </c>
      <c r="P1260" s="2" t="s">
        <v>28</v>
      </c>
    </row>
    <row r="1261" ht="14.25" customHeight="1">
      <c r="A1261" s="6">
        <v>1.9799366E7</v>
      </c>
      <c r="B1261" s="2" t="s">
        <v>4639</v>
      </c>
      <c r="C1261" s="2" t="s">
        <v>17</v>
      </c>
      <c r="D1261" s="2" t="s">
        <v>38</v>
      </c>
      <c r="E1261" s="2" t="s">
        <v>4640</v>
      </c>
      <c r="F1261" s="2" t="s">
        <v>4640</v>
      </c>
      <c r="G1261" s="2" t="s">
        <v>4641</v>
      </c>
      <c r="H1261" s="2" t="s">
        <v>127</v>
      </c>
      <c r="I1261" s="2" t="s">
        <v>2608</v>
      </c>
      <c r="J1261" s="2" t="s">
        <v>62</v>
      </c>
      <c r="K1261" s="2" t="s">
        <v>24</v>
      </c>
      <c r="L1261" s="7">
        <v>45947.0</v>
      </c>
      <c r="M1261" s="2" t="s">
        <v>48</v>
      </c>
      <c r="N1261" s="2" t="s">
        <v>35</v>
      </c>
      <c r="O1261" s="2" t="s">
        <v>27</v>
      </c>
      <c r="P1261" s="2" t="s">
        <v>28</v>
      </c>
    </row>
    <row r="1262" ht="14.25" customHeight="1">
      <c r="A1262" s="6">
        <v>1.9909986E7</v>
      </c>
      <c r="B1262" s="2" t="s">
        <v>4642</v>
      </c>
      <c r="C1262" s="2" t="s">
        <v>17</v>
      </c>
      <c r="D1262" s="2" t="s">
        <v>167</v>
      </c>
      <c r="E1262" s="2" t="s">
        <v>4643</v>
      </c>
      <c r="F1262" s="2" t="s">
        <v>4643</v>
      </c>
      <c r="G1262" s="2" t="s">
        <v>4644</v>
      </c>
      <c r="H1262" s="2" t="s">
        <v>127</v>
      </c>
      <c r="I1262" s="2" t="s">
        <v>2608</v>
      </c>
      <c r="J1262" s="2" t="s">
        <v>62</v>
      </c>
      <c r="K1262" s="2" t="s">
        <v>24</v>
      </c>
      <c r="L1262" s="7">
        <v>45947.0</v>
      </c>
      <c r="M1262" s="2" t="s">
        <v>48</v>
      </c>
      <c r="N1262" s="2" t="s">
        <v>35</v>
      </c>
      <c r="O1262" s="2" t="s">
        <v>27</v>
      </c>
      <c r="P1262" s="2" t="s">
        <v>28</v>
      </c>
    </row>
    <row r="1263" ht="14.25" customHeight="1">
      <c r="A1263" s="6">
        <v>1.8745191E7</v>
      </c>
      <c r="B1263" s="2" t="s">
        <v>4645</v>
      </c>
      <c r="C1263" s="2" t="s">
        <v>17</v>
      </c>
      <c r="D1263" s="2" t="s">
        <v>167</v>
      </c>
      <c r="E1263" s="2" t="s">
        <v>4646</v>
      </c>
      <c r="F1263" s="2" t="s">
        <v>4646</v>
      </c>
      <c r="G1263" s="2" t="s">
        <v>4647</v>
      </c>
      <c r="H1263" s="2" t="s">
        <v>127</v>
      </c>
      <c r="I1263" s="2" t="s">
        <v>2599</v>
      </c>
      <c r="J1263" s="2" t="s">
        <v>62</v>
      </c>
      <c r="K1263" s="2" t="s">
        <v>24</v>
      </c>
      <c r="L1263" s="7">
        <v>45947.0</v>
      </c>
      <c r="M1263" s="2" t="s">
        <v>48</v>
      </c>
      <c r="N1263" s="2" t="s">
        <v>35</v>
      </c>
      <c r="O1263" s="2" t="s">
        <v>27</v>
      </c>
      <c r="P1263" s="2" t="s">
        <v>28</v>
      </c>
    </row>
    <row r="1264" ht="14.25" customHeight="1">
      <c r="A1264" s="6">
        <v>1.2302949E7</v>
      </c>
      <c r="B1264" s="2" t="s">
        <v>4648</v>
      </c>
      <c r="C1264" s="2" t="s">
        <v>17</v>
      </c>
      <c r="D1264" s="2" t="s">
        <v>167</v>
      </c>
      <c r="E1264" s="2" t="s">
        <v>4649</v>
      </c>
      <c r="F1264" s="2" t="s">
        <v>4649</v>
      </c>
      <c r="G1264" s="2" t="s">
        <v>4650</v>
      </c>
      <c r="H1264" s="2" t="s">
        <v>127</v>
      </c>
      <c r="I1264" s="2" t="s">
        <v>2599</v>
      </c>
      <c r="J1264" s="2" t="s">
        <v>62</v>
      </c>
      <c r="K1264" s="2" t="s">
        <v>24</v>
      </c>
      <c r="L1264" s="7">
        <v>45947.0</v>
      </c>
      <c r="M1264" s="2" t="s">
        <v>48</v>
      </c>
      <c r="N1264" s="2" t="s">
        <v>35</v>
      </c>
      <c r="O1264" s="2" t="s">
        <v>27</v>
      </c>
      <c r="P1264" s="2" t="s">
        <v>28</v>
      </c>
    </row>
    <row r="1265" ht="14.25" customHeight="1">
      <c r="A1265" s="6">
        <v>8271411.0</v>
      </c>
      <c r="B1265" s="2" t="s">
        <v>4651</v>
      </c>
      <c r="C1265" s="2" t="s">
        <v>17</v>
      </c>
      <c r="D1265" s="2" t="s">
        <v>167</v>
      </c>
      <c r="E1265" s="2" t="s">
        <v>4652</v>
      </c>
      <c r="F1265" s="2" t="s">
        <v>4652</v>
      </c>
      <c r="G1265" s="2" t="s">
        <v>4653</v>
      </c>
      <c r="H1265" s="2" t="s">
        <v>127</v>
      </c>
      <c r="I1265" s="2" t="s">
        <v>2591</v>
      </c>
      <c r="J1265" s="2" t="s">
        <v>62</v>
      </c>
      <c r="K1265" s="2" t="s">
        <v>24</v>
      </c>
      <c r="L1265" s="7">
        <v>45947.0</v>
      </c>
      <c r="M1265" s="2" t="s">
        <v>48</v>
      </c>
      <c r="N1265" s="2" t="s">
        <v>35</v>
      </c>
      <c r="O1265" s="2" t="s">
        <v>27</v>
      </c>
      <c r="P1265" s="2" t="s">
        <v>28</v>
      </c>
    </row>
    <row r="1266" ht="14.25" customHeight="1">
      <c r="A1266" s="6">
        <v>1.9806677E7</v>
      </c>
      <c r="B1266" s="2" t="s">
        <v>4654</v>
      </c>
      <c r="C1266" s="2" t="s">
        <v>17</v>
      </c>
      <c r="D1266" s="2" t="s">
        <v>57</v>
      </c>
      <c r="E1266" s="2" t="s">
        <v>4655</v>
      </c>
      <c r="F1266" s="2" t="s">
        <v>4655</v>
      </c>
      <c r="G1266" s="2" t="s">
        <v>4656</v>
      </c>
      <c r="H1266" s="2" t="s">
        <v>127</v>
      </c>
      <c r="I1266" s="2" t="s">
        <v>2599</v>
      </c>
      <c r="J1266" s="2" t="s">
        <v>62</v>
      </c>
      <c r="K1266" s="2" t="s">
        <v>24</v>
      </c>
      <c r="L1266" s="7">
        <v>45947.0</v>
      </c>
      <c r="M1266" s="2" t="s">
        <v>48</v>
      </c>
      <c r="N1266" s="2" t="s">
        <v>35</v>
      </c>
      <c r="O1266" s="2" t="s">
        <v>27</v>
      </c>
      <c r="P1266" s="2" t="s">
        <v>28</v>
      </c>
    </row>
    <row r="1267" ht="14.25" customHeight="1">
      <c r="A1267" s="6">
        <v>1.8068163E7</v>
      </c>
      <c r="B1267" s="2" t="s">
        <v>4657</v>
      </c>
      <c r="C1267" s="2" t="s">
        <v>17</v>
      </c>
      <c r="D1267" s="2" t="s">
        <v>57</v>
      </c>
      <c r="E1267" s="2" t="s">
        <v>4658</v>
      </c>
      <c r="F1267" s="2" t="s">
        <v>4658</v>
      </c>
      <c r="G1267" s="2" t="s">
        <v>4659</v>
      </c>
      <c r="H1267" s="2" t="s">
        <v>127</v>
      </c>
      <c r="I1267" s="2" t="s">
        <v>2599</v>
      </c>
      <c r="J1267" s="2" t="s">
        <v>62</v>
      </c>
      <c r="K1267" s="2" t="s">
        <v>24</v>
      </c>
      <c r="L1267" s="7">
        <v>45947.0</v>
      </c>
      <c r="M1267" s="2" t="s">
        <v>48</v>
      </c>
      <c r="N1267" s="2" t="s">
        <v>35</v>
      </c>
      <c r="O1267" s="2" t="s">
        <v>27</v>
      </c>
      <c r="P1267" s="2" t="s">
        <v>28</v>
      </c>
    </row>
    <row r="1268" ht="14.25" customHeight="1">
      <c r="A1268" s="6">
        <v>1.3726983E7</v>
      </c>
      <c r="B1268" s="2" t="s">
        <v>4660</v>
      </c>
      <c r="C1268" s="2" t="s">
        <v>17</v>
      </c>
      <c r="D1268" s="2" t="s">
        <v>831</v>
      </c>
      <c r="E1268" s="2" t="s">
        <v>4661</v>
      </c>
      <c r="F1268" s="2" t="s">
        <v>4661</v>
      </c>
      <c r="G1268" s="2" t="s">
        <v>4662</v>
      </c>
      <c r="H1268" s="2" t="s">
        <v>127</v>
      </c>
      <c r="I1268" s="2" t="s">
        <v>2599</v>
      </c>
      <c r="J1268" s="2" t="s">
        <v>62</v>
      </c>
      <c r="K1268" s="2" t="s">
        <v>24</v>
      </c>
      <c r="L1268" s="7">
        <v>45947.0</v>
      </c>
      <c r="M1268" s="2" t="s">
        <v>48</v>
      </c>
      <c r="N1268" s="2" t="s">
        <v>35</v>
      </c>
      <c r="O1268" s="2" t="s">
        <v>27</v>
      </c>
      <c r="P1268" s="2" t="s">
        <v>28</v>
      </c>
    </row>
    <row r="1269" ht="14.25" customHeight="1">
      <c r="A1269" s="6">
        <v>1.9296975E7</v>
      </c>
      <c r="B1269" s="2" t="s">
        <v>4663</v>
      </c>
      <c r="C1269" s="2" t="s">
        <v>17</v>
      </c>
      <c r="D1269" s="2" t="s">
        <v>88</v>
      </c>
      <c r="E1269" s="2" t="s">
        <v>4664</v>
      </c>
      <c r="F1269" s="2" t="s">
        <v>4664</v>
      </c>
      <c r="G1269" s="2" t="s">
        <v>4665</v>
      </c>
      <c r="H1269" s="2" t="s">
        <v>127</v>
      </c>
      <c r="I1269" s="2" t="s">
        <v>2591</v>
      </c>
      <c r="J1269" s="2" t="s">
        <v>62</v>
      </c>
      <c r="K1269" s="2" t="s">
        <v>24</v>
      </c>
      <c r="L1269" s="7">
        <v>45947.0</v>
      </c>
      <c r="M1269" s="2" t="s">
        <v>48</v>
      </c>
      <c r="N1269" s="2" t="s">
        <v>35</v>
      </c>
      <c r="O1269" s="2" t="s">
        <v>27</v>
      </c>
      <c r="P1269" s="2" t="s">
        <v>28</v>
      </c>
    </row>
    <row r="1270" ht="14.25" customHeight="1">
      <c r="A1270" s="6">
        <v>1.9297205E7</v>
      </c>
      <c r="B1270" s="2" t="s">
        <v>4666</v>
      </c>
      <c r="C1270" s="2" t="s">
        <v>17</v>
      </c>
      <c r="D1270" s="2" t="s">
        <v>18</v>
      </c>
      <c r="E1270" s="2" t="s">
        <v>4667</v>
      </c>
      <c r="F1270" s="2" t="s">
        <v>4667</v>
      </c>
      <c r="G1270" s="2" t="s">
        <v>4668</v>
      </c>
      <c r="H1270" s="2" t="s">
        <v>127</v>
      </c>
      <c r="I1270" s="2" t="s">
        <v>2608</v>
      </c>
      <c r="J1270" s="2" t="s">
        <v>62</v>
      </c>
      <c r="K1270" s="2" t="s">
        <v>24</v>
      </c>
      <c r="L1270" s="7">
        <v>45947.0</v>
      </c>
      <c r="M1270" s="2" t="s">
        <v>48</v>
      </c>
      <c r="N1270" s="2" t="s">
        <v>35</v>
      </c>
      <c r="O1270" s="2" t="s">
        <v>27</v>
      </c>
      <c r="P1270" s="2" t="s">
        <v>28</v>
      </c>
    </row>
    <row r="1271" ht="14.25" customHeight="1">
      <c r="A1271" s="6">
        <v>2.1455852E7</v>
      </c>
      <c r="B1271" s="2" t="s">
        <v>4669</v>
      </c>
      <c r="C1271" s="2" t="s">
        <v>17</v>
      </c>
      <c r="D1271" s="2" t="s">
        <v>88</v>
      </c>
      <c r="E1271" s="2" t="s">
        <v>4670</v>
      </c>
      <c r="F1271" s="2" t="s">
        <v>4670</v>
      </c>
      <c r="G1271" s="2" t="s">
        <v>4671</v>
      </c>
      <c r="H1271" s="2" t="s">
        <v>127</v>
      </c>
      <c r="I1271" s="2" t="s">
        <v>3068</v>
      </c>
      <c r="J1271" s="2" t="s">
        <v>62</v>
      </c>
      <c r="K1271" s="2" t="s">
        <v>24</v>
      </c>
      <c r="L1271" s="7">
        <v>45952.0</v>
      </c>
      <c r="M1271" s="2" t="s">
        <v>48</v>
      </c>
      <c r="N1271" s="2" t="s">
        <v>35</v>
      </c>
      <c r="O1271" s="2" t="s">
        <v>200</v>
      </c>
      <c r="P1271" s="2" t="s">
        <v>194</v>
      </c>
    </row>
    <row r="1272" ht="14.25" customHeight="1">
      <c r="A1272" s="6">
        <v>1.3806402E7</v>
      </c>
      <c r="B1272" s="2" t="s">
        <v>4672</v>
      </c>
      <c r="C1272" s="2" t="s">
        <v>17</v>
      </c>
      <c r="D1272" s="2" t="s">
        <v>18</v>
      </c>
      <c r="E1272" s="2" t="s">
        <v>4673</v>
      </c>
      <c r="F1272" s="2" t="s">
        <v>4673</v>
      </c>
      <c r="G1272" s="2" t="s">
        <v>4674</v>
      </c>
      <c r="H1272" s="2" t="s">
        <v>127</v>
      </c>
      <c r="I1272" s="2" t="s">
        <v>3068</v>
      </c>
      <c r="J1272" s="2" t="s">
        <v>62</v>
      </c>
      <c r="K1272" s="2" t="s">
        <v>24</v>
      </c>
      <c r="L1272" s="7">
        <v>45952.0</v>
      </c>
      <c r="M1272" s="2" t="s">
        <v>48</v>
      </c>
      <c r="N1272" s="2" t="s">
        <v>35</v>
      </c>
      <c r="O1272" s="2" t="s">
        <v>200</v>
      </c>
      <c r="P1272" s="2" t="s">
        <v>194</v>
      </c>
    </row>
    <row r="1273" ht="14.25" customHeight="1">
      <c r="A1273" s="6">
        <v>2.1285233E7</v>
      </c>
      <c r="B1273" s="2" t="s">
        <v>4675</v>
      </c>
      <c r="C1273" s="2" t="s">
        <v>17</v>
      </c>
      <c r="D1273" s="2" t="s">
        <v>18</v>
      </c>
      <c r="E1273" s="2" t="s">
        <v>4676</v>
      </c>
      <c r="F1273" s="2" t="s">
        <v>4676</v>
      </c>
      <c r="G1273" s="2" t="s">
        <v>4677</v>
      </c>
      <c r="H1273" s="2" t="s">
        <v>127</v>
      </c>
      <c r="I1273" s="2" t="s">
        <v>3068</v>
      </c>
      <c r="J1273" s="2" t="s">
        <v>62</v>
      </c>
      <c r="K1273" s="2" t="s">
        <v>24</v>
      </c>
      <c r="L1273" s="7">
        <v>45952.0</v>
      </c>
      <c r="M1273" s="2" t="s">
        <v>48</v>
      </c>
      <c r="N1273" s="2" t="s">
        <v>35</v>
      </c>
      <c r="O1273" s="2" t="s">
        <v>200</v>
      </c>
      <c r="P1273" s="2" t="s">
        <v>194</v>
      </c>
    </row>
    <row r="1274" ht="14.25" customHeight="1">
      <c r="A1274" s="6">
        <v>1.0540042E7</v>
      </c>
      <c r="B1274" s="2" t="s">
        <v>4678</v>
      </c>
      <c r="C1274" s="2" t="s">
        <v>17</v>
      </c>
      <c r="D1274" s="2" t="s">
        <v>18</v>
      </c>
      <c r="E1274" s="2" t="s">
        <v>4679</v>
      </c>
      <c r="F1274" s="2" t="s">
        <v>4680</v>
      </c>
      <c r="G1274" s="2" t="s">
        <v>4681</v>
      </c>
      <c r="H1274" s="2" t="s">
        <v>127</v>
      </c>
      <c r="I1274" s="2" t="s">
        <v>3068</v>
      </c>
      <c r="J1274" s="2" t="s">
        <v>62</v>
      </c>
      <c r="K1274" s="2" t="s">
        <v>24</v>
      </c>
      <c r="L1274" s="7">
        <v>45952.0</v>
      </c>
      <c r="M1274" s="2" t="s">
        <v>48</v>
      </c>
      <c r="N1274" s="2" t="s">
        <v>35</v>
      </c>
      <c r="O1274" s="2" t="s">
        <v>200</v>
      </c>
      <c r="P1274" s="2" t="s">
        <v>194</v>
      </c>
    </row>
    <row r="1275" ht="14.25" customHeight="1">
      <c r="A1275" s="6">
        <v>1.8387165E7</v>
      </c>
      <c r="B1275" s="2" t="s">
        <v>4682</v>
      </c>
      <c r="C1275" s="2" t="s">
        <v>17</v>
      </c>
      <c r="D1275" s="2" t="s">
        <v>18</v>
      </c>
      <c r="E1275" s="2" t="s">
        <v>4683</v>
      </c>
      <c r="F1275" s="2" t="s">
        <v>4683</v>
      </c>
      <c r="G1275" s="2" t="s">
        <v>4684</v>
      </c>
      <c r="H1275" s="2" t="s">
        <v>127</v>
      </c>
      <c r="I1275" s="2" t="s">
        <v>3068</v>
      </c>
      <c r="J1275" s="2" t="s">
        <v>62</v>
      </c>
      <c r="K1275" s="2" t="s">
        <v>24</v>
      </c>
      <c r="L1275" s="7">
        <v>45952.0</v>
      </c>
      <c r="M1275" s="2" t="s">
        <v>48</v>
      </c>
      <c r="N1275" s="2" t="s">
        <v>35</v>
      </c>
      <c r="O1275" s="2" t="s">
        <v>200</v>
      </c>
      <c r="P1275" s="2" t="s">
        <v>194</v>
      </c>
    </row>
    <row r="1276" ht="14.25" customHeight="1">
      <c r="A1276" s="6">
        <v>1.313324E7</v>
      </c>
      <c r="B1276" s="2" t="s">
        <v>4685</v>
      </c>
      <c r="C1276" s="2" t="s">
        <v>17</v>
      </c>
      <c r="D1276" s="2" t="s">
        <v>18</v>
      </c>
      <c r="E1276" s="2" t="s">
        <v>4686</v>
      </c>
      <c r="F1276" s="2" t="s">
        <v>4686</v>
      </c>
      <c r="G1276" s="2" t="s">
        <v>4687</v>
      </c>
      <c r="H1276" s="2" t="s">
        <v>127</v>
      </c>
      <c r="I1276" s="2" t="s">
        <v>3068</v>
      </c>
      <c r="J1276" s="2" t="s">
        <v>62</v>
      </c>
      <c r="K1276" s="2" t="s">
        <v>24</v>
      </c>
      <c r="L1276" s="7">
        <v>45952.0</v>
      </c>
      <c r="M1276" s="2" t="s">
        <v>48</v>
      </c>
      <c r="N1276" s="2" t="s">
        <v>35</v>
      </c>
      <c r="O1276" s="2" t="s">
        <v>200</v>
      </c>
      <c r="P1276" s="2" t="s">
        <v>194</v>
      </c>
    </row>
    <row r="1277" ht="14.25" customHeight="1">
      <c r="A1277" s="6">
        <v>9197757.0</v>
      </c>
      <c r="B1277" s="2" t="s">
        <v>4688</v>
      </c>
      <c r="C1277" s="2" t="s">
        <v>17</v>
      </c>
      <c r="D1277" s="2" t="s">
        <v>88</v>
      </c>
      <c r="E1277" s="2" t="s">
        <v>4689</v>
      </c>
      <c r="F1277" s="2" t="s">
        <v>4689</v>
      </c>
      <c r="G1277" s="2" t="s">
        <v>4690</v>
      </c>
      <c r="H1277" s="2" t="s">
        <v>4691</v>
      </c>
      <c r="I1277" s="2" t="s">
        <v>890</v>
      </c>
      <c r="J1277" s="2" t="s">
        <v>93</v>
      </c>
      <c r="K1277" s="2" t="s">
        <v>113</v>
      </c>
      <c r="L1277" s="7">
        <v>45590.0</v>
      </c>
      <c r="M1277" s="2" t="s">
        <v>94</v>
      </c>
      <c r="N1277" s="2" t="s">
        <v>35</v>
      </c>
      <c r="O1277" s="2" t="s">
        <v>27</v>
      </c>
      <c r="P1277" s="2" t="s">
        <v>36</v>
      </c>
    </row>
    <row r="1278" ht="14.25" customHeight="1">
      <c r="A1278" s="6">
        <v>9844531.0</v>
      </c>
      <c r="B1278" s="2" t="s">
        <v>4692</v>
      </c>
      <c r="C1278" s="2" t="s">
        <v>17</v>
      </c>
      <c r="D1278" s="2" t="s">
        <v>18</v>
      </c>
      <c r="E1278" s="2" t="s">
        <v>4693</v>
      </c>
      <c r="F1278" s="2" t="s">
        <v>4693</v>
      </c>
      <c r="G1278" s="2" t="s">
        <v>4694</v>
      </c>
      <c r="H1278" s="2" t="s">
        <v>4691</v>
      </c>
      <c r="I1278" s="2" t="s">
        <v>92</v>
      </c>
      <c r="J1278" s="2" t="s">
        <v>93</v>
      </c>
      <c r="K1278" s="2" t="s">
        <v>113</v>
      </c>
      <c r="L1278" s="7">
        <v>40513.0</v>
      </c>
      <c r="M1278" s="2" t="s">
        <v>94</v>
      </c>
      <c r="N1278" s="2" t="s">
        <v>35</v>
      </c>
      <c r="O1278" s="2" t="s">
        <v>27</v>
      </c>
      <c r="P1278" s="2" t="s">
        <v>36</v>
      </c>
    </row>
    <row r="1279" ht="14.25" customHeight="1">
      <c r="A1279" s="6">
        <v>1.051144E7</v>
      </c>
      <c r="B1279" s="2" t="s">
        <v>4695</v>
      </c>
      <c r="C1279" s="2" t="s">
        <v>17</v>
      </c>
      <c r="D1279" s="2" t="s">
        <v>18</v>
      </c>
      <c r="E1279" s="2" t="s">
        <v>4696</v>
      </c>
      <c r="F1279" s="2" t="s">
        <v>4696</v>
      </c>
      <c r="G1279" s="2" t="s">
        <v>4697</v>
      </c>
      <c r="H1279" s="2" t="s">
        <v>4691</v>
      </c>
      <c r="I1279" s="2" t="s">
        <v>894</v>
      </c>
      <c r="J1279" s="2" t="s">
        <v>93</v>
      </c>
      <c r="K1279" s="2" t="s">
        <v>24</v>
      </c>
      <c r="L1279" s="7">
        <v>45698.0</v>
      </c>
      <c r="M1279" s="2" t="s">
        <v>94</v>
      </c>
      <c r="N1279" s="2" t="s">
        <v>35</v>
      </c>
      <c r="O1279" s="2" t="s">
        <v>27</v>
      </c>
      <c r="P1279" s="2" t="s">
        <v>28</v>
      </c>
    </row>
    <row r="1280" ht="14.25" customHeight="1">
      <c r="A1280" s="6">
        <v>9363743.0</v>
      </c>
      <c r="B1280" s="2" t="s">
        <v>4698</v>
      </c>
      <c r="C1280" s="2" t="s">
        <v>17</v>
      </c>
      <c r="D1280" s="2" t="s">
        <v>18</v>
      </c>
      <c r="E1280" s="2" t="s">
        <v>4699</v>
      </c>
      <c r="F1280" s="2" t="s">
        <v>4699</v>
      </c>
      <c r="G1280" s="2" t="s">
        <v>4700</v>
      </c>
      <c r="H1280" s="2" t="s">
        <v>4691</v>
      </c>
      <c r="I1280" s="2" t="s">
        <v>894</v>
      </c>
      <c r="J1280" s="2" t="s">
        <v>93</v>
      </c>
      <c r="K1280" s="2" t="s">
        <v>113</v>
      </c>
      <c r="L1280" s="7">
        <v>40513.0</v>
      </c>
      <c r="M1280" s="2" t="s">
        <v>94</v>
      </c>
      <c r="N1280" s="2" t="s">
        <v>35</v>
      </c>
      <c r="O1280" s="2" t="s">
        <v>27</v>
      </c>
      <c r="P1280" s="2" t="s">
        <v>36</v>
      </c>
    </row>
    <row r="1281" ht="14.25" customHeight="1">
      <c r="A1281" s="6">
        <v>1.0912694E7</v>
      </c>
      <c r="B1281" s="2" t="s">
        <v>4701</v>
      </c>
      <c r="C1281" s="2" t="s">
        <v>17</v>
      </c>
      <c r="D1281" s="2" t="s">
        <v>18</v>
      </c>
      <c r="E1281" s="2" t="s">
        <v>4702</v>
      </c>
      <c r="F1281" s="2" t="s">
        <v>4702</v>
      </c>
      <c r="G1281" s="2" t="s">
        <v>4703</v>
      </c>
      <c r="H1281" s="2" t="s">
        <v>4691</v>
      </c>
      <c r="I1281" s="2" t="s">
        <v>92</v>
      </c>
      <c r="J1281" s="2" t="s">
        <v>93</v>
      </c>
      <c r="K1281" s="2" t="s">
        <v>113</v>
      </c>
      <c r="L1281" s="7">
        <v>45611.0</v>
      </c>
      <c r="M1281" s="2" t="s">
        <v>94</v>
      </c>
      <c r="N1281" s="2" t="s">
        <v>35</v>
      </c>
      <c r="O1281" s="2" t="s">
        <v>27</v>
      </c>
      <c r="P1281" s="2" t="s">
        <v>36</v>
      </c>
    </row>
    <row r="1282" ht="14.25" customHeight="1">
      <c r="A1282" s="6">
        <v>1.059262E7</v>
      </c>
      <c r="B1282" s="2" t="s">
        <v>4704</v>
      </c>
      <c r="C1282" s="2" t="s">
        <v>17</v>
      </c>
      <c r="D1282" s="2" t="s">
        <v>18</v>
      </c>
      <c r="E1282" s="2" t="s">
        <v>4705</v>
      </c>
      <c r="F1282" s="2" t="s">
        <v>4705</v>
      </c>
      <c r="G1282" s="2" t="s">
        <v>4706</v>
      </c>
      <c r="H1282" s="2" t="s">
        <v>4691</v>
      </c>
      <c r="I1282" s="2" t="s">
        <v>890</v>
      </c>
      <c r="J1282" s="2" t="s">
        <v>93</v>
      </c>
      <c r="K1282" s="2" t="s">
        <v>113</v>
      </c>
      <c r="L1282" s="7">
        <v>43817.0</v>
      </c>
      <c r="M1282" s="2" t="s">
        <v>94</v>
      </c>
      <c r="N1282" s="2" t="s">
        <v>35</v>
      </c>
      <c r="O1282" s="2" t="s">
        <v>27</v>
      </c>
      <c r="P1282" s="2" t="s">
        <v>36</v>
      </c>
    </row>
    <row r="1283" ht="14.25" customHeight="1">
      <c r="A1283" s="6">
        <v>1.198654E7</v>
      </c>
      <c r="B1283" s="2" t="s">
        <v>4707</v>
      </c>
      <c r="C1283" s="2" t="s">
        <v>17</v>
      </c>
      <c r="D1283" s="2" t="s">
        <v>88</v>
      </c>
      <c r="E1283" s="2" t="s">
        <v>4708</v>
      </c>
      <c r="F1283" s="2" t="s">
        <v>4708</v>
      </c>
      <c r="G1283" s="2" t="s">
        <v>4709</v>
      </c>
      <c r="H1283" s="2" t="s">
        <v>4691</v>
      </c>
      <c r="I1283" s="2" t="s">
        <v>92</v>
      </c>
      <c r="J1283" s="2" t="s">
        <v>93</v>
      </c>
      <c r="K1283" s="2" t="s">
        <v>113</v>
      </c>
      <c r="L1283" s="7">
        <v>45590.0</v>
      </c>
      <c r="M1283" s="2" t="s">
        <v>94</v>
      </c>
      <c r="N1283" s="2" t="s">
        <v>35</v>
      </c>
      <c r="O1283" s="2" t="s">
        <v>27</v>
      </c>
      <c r="P1283" s="2" t="s">
        <v>36</v>
      </c>
    </row>
    <row r="1284" ht="14.25" customHeight="1">
      <c r="A1284" s="6">
        <v>1.1291465E7</v>
      </c>
      <c r="B1284" s="2" t="s">
        <v>4710</v>
      </c>
      <c r="C1284" s="2" t="s">
        <v>17</v>
      </c>
      <c r="D1284" s="2" t="s">
        <v>88</v>
      </c>
      <c r="E1284" s="2" t="s">
        <v>4711</v>
      </c>
      <c r="F1284" s="2" t="s">
        <v>4711</v>
      </c>
      <c r="G1284" s="2" t="s">
        <v>4712</v>
      </c>
      <c r="H1284" s="2" t="s">
        <v>4691</v>
      </c>
      <c r="I1284" s="2" t="s">
        <v>120</v>
      </c>
      <c r="J1284" s="2" t="s">
        <v>93</v>
      </c>
      <c r="K1284" s="2" t="s">
        <v>113</v>
      </c>
      <c r="L1284" s="7">
        <v>45147.0</v>
      </c>
      <c r="M1284" s="2" t="s">
        <v>94</v>
      </c>
      <c r="N1284" s="2" t="s">
        <v>35</v>
      </c>
      <c r="O1284" s="2" t="s">
        <v>27</v>
      </c>
      <c r="P1284" s="2" t="s">
        <v>36</v>
      </c>
    </row>
    <row r="1285" ht="14.25" customHeight="1">
      <c r="A1285" s="6">
        <v>1.1683554E7</v>
      </c>
      <c r="B1285" s="2" t="s">
        <v>4713</v>
      </c>
      <c r="C1285" s="2" t="s">
        <v>17</v>
      </c>
      <c r="D1285" s="2" t="s">
        <v>18</v>
      </c>
      <c r="E1285" s="2" t="s">
        <v>4714</v>
      </c>
      <c r="F1285" s="2" t="s">
        <v>4714</v>
      </c>
      <c r="G1285" s="2" t="s">
        <v>4715</v>
      </c>
      <c r="H1285" s="2" t="s">
        <v>4691</v>
      </c>
      <c r="I1285" s="2" t="s">
        <v>898</v>
      </c>
      <c r="J1285" s="2" t="s">
        <v>93</v>
      </c>
      <c r="K1285" s="2" t="s">
        <v>113</v>
      </c>
      <c r="L1285" s="7">
        <v>42583.0</v>
      </c>
      <c r="M1285" s="2" t="s">
        <v>94</v>
      </c>
      <c r="N1285" s="2" t="s">
        <v>35</v>
      </c>
      <c r="O1285" s="2" t="s">
        <v>27</v>
      </c>
      <c r="P1285" s="2" t="s">
        <v>36</v>
      </c>
    </row>
    <row r="1286" ht="14.25" customHeight="1">
      <c r="A1286" s="6">
        <v>1.310341E7</v>
      </c>
      <c r="B1286" s="2" t="s">
        <v>4716</v>
      </c>
      <c r="C1286" s="2" t="s">
        <v>17</v>
      </c>
      <c r="D1286" s="2" t="s">
        <v>18</v>
      </c>
      <c r="E1286" s="2" t="s">
        <v>4717</v>
      </c>
      <c r="F1286" s="2" t="s">
        <v>4717</v>
      </c>
      <c r="G1286" s="2" t="s">
        <v>4718</v>
      </c>
      <c r="H1286" s="2" t="s">
        <v>4691</v>
      </c>
      <c r="I1286" s="2" t="s">
        <v>894</v>
      </c>
      <c r="J1286" s="2" t="s">
        <v>93</v>
      </c>
      <c r="K1286" s="2" t="s">
        <v>113</v>
      </c>
      <c r="L1286" s="7">
        <v>40513.0</v>
      </c>
      <c r="M1286" s="2" t="s">
        <v>94</v>
      </c>
      <c r="N1286" s="2" t="s">
        <v>35</v>
      </c>
      <c r="O1286" s="2" t="s">
        <v>27</v>
      </c>
      <c r="P1286" s="2" t="s">
        <v>36</v>
      </c>
    </row>
    <row r="1287" ht="14.25" customHeight="1">
      <c r="A1287" s="6">
        <v>1.3547338E7</v>
      </c>
      <c r="B1287" s="2" t="s">
        <v>4719</v>
      </c>
      <c r="C1287" s="2" t="s">
        <v>17</v>
      </c>
      <c r="D1287" s="2" t="s">
        <v>18</v>
      </c>
      <c r="E1287" s="2" t="s">
        <v>4720</v>
      </c>
      <c r="F1287" s="2" t="s">
        <v>4720</v>
      </c>
      <c r="G1287" s="2" t="s">
        <v>4721</v>
      </c>
      <c r="H1287" s="2" t="s">
        <v>4691</v>
      </c>
      <c r="I1287" s="2" t="s">
        <v>178</v>
      </c>
      <c r="J1287" s="2" t="s">
        <v>93</v>
      </c>
      <c r="K1287" s="2" t="s">
        <v>113</v>
      </c>
      <c r="L1287" s="7">
        <v>40513.0</v>
      </c>
      <c r="M1287" s="2" t="s">
        <v>94</v>
      </c>
      <c r="N1287" s="2" t="s">
        <v>35</v>
      </c>
      <c r="O1287" s="2" t="s">
        <v>27</v>
      </c>
      <c r="P1287" s="2" t="s">
        <v>36</v>
      </c>
    </row>
    <row r="1288" ht="14.25" customHeight="1">
      <c r="A1288" s="6">
        <v>1.4558267E7</v>
      </c>
      <c r="B1288" s="2" t="s">
        <v>4722</v>
      </c>
      <c r="C1288" s="2" t="s">
        <v>17</v>
      </c>
      <c r="D1288" s="2" t="s">
        <v>18</v>
      </c>
      <c r="E1288" s="2" t="s">
        <v>4723</v>
      </c>
      <c r="F1288" s="2" t="s">
        <v>4723</v>
      </c>
      <c r="G1288" s="2" t="s">
        <v>4724</v>
      </c>
      <c r="H1288" s="2" t="s">
        <v>4691</v>
      </c>
      <c r="I1288" s="2" t="s">
        <v>178</v>
      </c>
      <c r="J1288" s="2" t="s">
        <v>93</v>
      </c>
      <c r="K1288" s="2" t="s">
        <v>113</v>
      </c>
      <c r="L1288" s="7">
        <v>40513.0</v>
      </c>
      <c r="M1288" s="2" t="s">
        <v>94</v>
      </c>
      <c r="N1288" s="2" t="s">
        <v>35</v>
      </c>
      <c r="O1288" s="2" t="s">
        <v>27</v>
      </c>
      <c r="P1288" s="2" t="s">
        <v>36</v>
      </c>
    </row>
    <row r="1289" ht="14.25" customHeight="1">
      <c r="A1289" s="6">
        <v>1.6347833E7</v>
      </c>
      <c r="B1289" s="2" t="s">
        <v>4725</v>
      </c>
      <c r="C1289" s="2" t="s">
        <v>17</v>
      </c>
      <c r="D1289" s="2" t="s">
        <v>18</v>
      </c>
      <c r="E1289" s="2" t="s">
        <v>4726</v>
      </c>
      <c r="F1289" s="2" t="s">
        <v>4726</v>
      </c>
      <c r="G1289" s="2" t="s">
        <v>4727</v>
      </c>
      <c r="H1289" s="2" t="s">
        <v>4691</v>
      </c>
      <c r="I1289" s="2" t="s">
        <v>2529</v>
      </c>
      <c r="J1289" s="2" t="s">
        <v>93</v>
      </c>
      <c r="K1289" s="2" t="s">
        <v>113</v>
      </c>
      <c r="L1289" s="7">
        <v>44200.0</v>
      </c>
      <c r="M1289" s="2" t="s">
        <v>94</v>
      </c>
      <c r="N1289" s="2" t="s">
        <v>35</v>
      </c>
      <c r="O1289" s="2" t="s">
        <v>27</v>
      </c>
      <c r="P1289" s="2" t="s">
        <v>36</v>
      </c>
    </row>
    <row r="1290" ht="14.25" customHeight="1">
      <c r="A1290" s="6">
        <v>1.6348161E7</v>
      </c>
      <c r="B1290" s="2" t="s">
        <v>4728</v>
      </c>
      <c r="C1290" s="2" t="s">
        <v>17</v>
      </c>
      <c r="D1290" s="2" t="s">
        <v>18</v>
      </c>
      <c r="E1290" s="2" t="s">
        <v>4729</v>
      </c>
      <c r="F1290" s="2" t="s">
        <v>4729</v>
      </c>
      <c r="G1290" s="2" t="s">
        <v>4730</v>
      </c>
      <c r="H1290" s="2" t="s">
        <v>4691</v>
      </c>
      <c r="I1290" s="2" t="s">
        <v>890</v>
      </c>
      <c r="J1290" s="2" t="s">
        <v>93</v>
      </c>
      <c r="K1290" s="2" t="s">
        <v>113</v>
      </c>
      <c r="L1290" s="7">
        <v>44780.0</v>
      </c>
      <c r="M1290" s="2" t="s">
        <v>94</v>
      </c>
      <c r="N1290" s="2" t="s">
        <v>35</v>
      </c>
      <c r="O1290" s="2" t="s">
        <v>27</v>
      </c>
      <c r="P1290" s="2" t="s">
        <v>36</v>
      </c>
    </row>
    <row r="1291" ht="14.25" customHeight="1">
      <c r="A1291" s="6">
        <v>7358010.0</v>
      </c>
      <c r="B1291" s="2" t="s">
        <v>4731</v>
      </c>
      <c r="C1291" s="2" t="s">
        <v>17</v>
      </c>
      <c r="D1291" s="2" t="s">
        <v>18</v>
      </c>
      <c r="E1291" s="2" t="s">
        <v>4732</v>
      </c>
      <c r="F1291" s="2" t="s">
        <v>4732</v>
      </c>
      <c r="G1291" s="2" t="s">
        <v>4733</v>
      </c>
      <c r="H1291" s="2" t="s">
        <v>4691</v>
      </c>
      <c r="I1291" s="2" t="s">
        <v>92</v>
      </c>
      <c r="J1291" s="2" t="s">
        <v>93</v>
      </c>
      <c r="K1291" s="2" t="s">
        <v>113</v>
      </c>
      <c r="L1291" s="7">
        <v>40513.0</v>
      </c>
      <c r="M1291" s="2" t="s">
        <v>94</v>
      </c>
      <c r="N1291" s="2" t="s">
        <v>35</v>
      </c>
      <c r="O1291" s="2" t="s">
        <v>27</v>
      </c>
      <c r="P1291" s="2" t="s">
        <v>36</v>
      </c>
    </row>
    <row r="1292" ht="14.25" customHeight="1">
      <c r="A1292" s="6">
        <v>7392021.0</v>
      </c>
      <c r="B1292" s="2" t="s">
        <v>4734</v>
      </c>
      <c r="C1292" s="2" t="s">
        <v>17</v>
      </c>
      <c r="D1292" s="2" t="s">
        <v>18</v>
      </c>
      <c r="E1292" s="2" t="s">
        <v>4735</v>
      </c>
      <c r="F1292" s="2" t="s">
        <v>4736</v>
      </c>
      <c r="G1292" s="2" t="s">
        <v>4737</v>
      </c>
      <c r="H1292" s="2" t="s">
        <v>4691</v>
      </c>
      <c r="I1292" s="2" t="s">
        <v>898</v>
      </c>
      <c r="J1292" s="2" t="s">
        <v>93</v>
      </c>
      <c r="K1292" s="2" t="s">
        <v>113</v>
      </c>
      <c r="L1292" s="7">
        <v>40513.0</v>
      </c>
      <c r="M1292" s="2" t="s">
        <v>94</v>
      </c>
      <c r="N1292" s="2" t="s">
        <v>35</v>
      </c>
      <c r="O1292" s="2" t="s">
        <v>27</v>
      </c>
      <c r="P1292" s="2" t="s">
        <v>36</v>
      </c>
    </row>
    <row r="1293" ht="14.25" customHeight="1">
      <c r="A1293" s="6">
        <v>7951933.0</v>
      </c>
      <c r="B1293" s="2" t="s">
        <v>4738</v>
      </c>
      <c r="C1293" s="2" t="s">
        <v>17</v>
      </c>
      <c r="D1293" s="2" t="s">
        <v>18</v>
      </c>
      <c r="E1293" s="2" t="s">
        <v>4739</v>
      </c>
      <c r="F1293" s="2" t="s">
        <v>4739</v>
      </c>
      <c r="G1293" s="2" t="s">
        <v>4740</v>
      </c>
      <c r="H1293" s="2" t="s">
        <v>4691</v>
      </c>
      <c r="I1293" s="2" t="s">
        <v>178</v>
      </c>
      <c r="J1293" s="2" t="s">
        <v>93</v>
      </c>
      <c r="K1293" s="2" t="s">
        <v>113</v>
      </c>
      <c r="L1293" s="7">
        <v>40513.0</v>
      </c>
      <c r="M1293" s="2" t="s">
        <v>94</v>
      </c>
      <c r="N1293" s="2" t="s">
        <v>35</v>
      </c>
      <c r="O1293" s="2" t="s">
        <v>27</v>
      </c>
      <c r="P1293" s="2" t="s">
        <v>36</v>
      </c>
    </row>
    <row r="1294" ht="14.25" customHeight="1">
      <c r="A1294" s="6">
        <v>9180662.0</v>
      </c>
      <c r="B1294" s="2" t="s">
        <v>4741</v>
      </c>
      <c r="C1294" s="2" t="s">
        <v>17</v>
      </c>
      <c r="D1294" s="2" t="s">
        <v>18</v>
      </c>
      <c r="E1294" s="2" t="s">
        <v>4742</v>
      </c>
      <c r="F1294" s="2" t="s">
        <v>4742</v>
      </c>
      <c r="G1294" s="2" t="s">
        <v>4743</v>
      </c>
      <c r="H1294" s="2" t="s">
        <v>4691</v>
      </c>
      <c r="I1294" s="2" t="s">
        <v>894</v>
      </c>
      <c r="J1294" s="2" t="s">
        <v>93</v>
      </c>
      <c r="K1294" s="2" t="s">
        <v>113</v>
      </c>
      <c r="L1294" s="7">
        <v>40583.0</v>
      </c>
      <c r="M1294" s="2" t="s">
        <v>94</v>
      </c>
      <c r="N1294" s="2" t="s">
        <v>35</v>
      </c>
      <c r="O1294" s="2" t="s">
        <v>27</v>
      </c>
      <c r="P1294" s="2" t="s">
        <v>36</v>
      </c>
    </row>
    <row r="1295" ht="14.25" customHeight="1">
      <c r="A1295" s="6">
        <v>9279750.0</v>
      </c>
      <c r="B1295" s="2" t="s">
        <v>4744</v>
      </c>
      <c r="C1295" s="2" t="s">
        <v>17</v>
      </c>
      <c r="D1295" s="2" t="s">
        <v>18</v>
      </c>
      <c r="E1295" s="2" t="s">
        <v>4745</v>
      </c>
      <c r="F1295" s="2" t="s">
        <v>4745</v>
      </c>
      <c r="G1295" s="2" t="s">
        <v>4746</v>
      </c>
      <c r="H1295" s="2" t="s">
        <v>4691</v>
      </c>
      <c r="I1295" s="2" t="s">
        <v>178</v>
      </c>
      <c r="J1295" s="2" t="s">
        <v>93</v>
      </c>
      <c r="K1295" s="2" t="s">
        <v>113</v>
      </c>
      <c r="L1295" s="7">
        <v>40513.0</v>
      </c>
      <c r="M1295" s="2" t="s">
        <v>94</v>
      </c>
      <c r="N1295" s="2" t="s">
        <v>35</v>
      </c>
      <c r="O1295" s="2" t="s">
        <v>27</v>
      </c>
      <c r="P1295" s="2" t="s">
        <v>36</v>
      </c>
    </row>
    <row r="1296" ht="14.25" customHeight="1">
      <c r="A1296" s="6">
        <v>9441369.0</v>
      </c>
      <c r="B1296" s="2" t="s">
        <v>4747</v>
      </c>
      <c r="C1296" s="2" t="s">
        <v>17</v>
      </c>
      <c r="D1296" s="2" t="s">
        <v>18</v>
      </c>
      <c r="E1296" s="2" t="s">
        <v>4748</v>
      </c>
      <c r="F1296" s="2" t="s">
        <v>4748</v>
      </c>
      <c r="G1296" s="2" t="s">
        <v>4749</v>
      </c>
      <c r="H1296" s="2" t="s">
        <v>4691</v>
      </c>
      <c r="I1296" s="2" t="s">
        <v>894</v>
      </c>
      <c r="J1296" s="2" t="s">
        <v>93</v>
      </c>
      <c r="K1296" s="2" t="s">
        <v>113</v>
      </c>
      <c r="L1296" s="7">
        <v>43807.0</v>
      </c>
      <c r="M1296" s="2" t="s">
        <v>94</v>
      </c>
      <c r="N1296" s="2" t="s">
        <v>35</v>
      </c>
      <c r="O1296" s="2" t="s">
        <v>27</v>
      </c>
      <c r="P1296" s="2" t="s">
        <v>36</v>
      </c>
    </row>
    <row r="1297" ht="14.25" customHeight="1">
      <c r="A1297" s="6">
        <v>9451276.0</v>
      </c>
      <c r="B1297" s="2" t="s">
        <v>4750</v>
      </c>
      <c r="C1297" s="2" t="s">
        <v>17</v>
      </c>
      <c r="D1297" s="2" t="s">
        <v>88</v>
      </c>
      <c r="E1297" s="2" t="s">
        <v>4751</v>
      </c>
      <c r="F1297" s="2" t="s">
        <v>4751</v>
      </c>
      <c r="G1297" s="2" t="s">
        <v>4752</v>
      </c>
      <c r="H1297" s="2" t="s">
        <v>4691</v>
      </c>
      <c r="I1297" s="2" t="s">
        <v>120</v>
      </c>
      <c r="J1297" s="2" t="s">
        <v>93</v>
      </c>
      <c r="K1297" s="2" t="s">
        <v>113</v>
      </c>
      <c r="L1297" s="7">
        <v>45231.0</v>
      </c>
      <c r="M1297" s="2" t="s">
        <v>94</v>
      </c>
      <c r="N1297" s="2" t="s">
        <v>35</v>
      </c>
      <c r="O1297" s="2" t="s">
        <v>27</v>
      </c>
      <c r="P1297" s="2" t="s">
        <v>36</v>
      </c>
    </row>
    <row r="1298" ht="14.25" customHeight="1">
      <c r="A1298" s="6">
        <v>9459807.0</v>
      </c>
      <c r="B1298" s="2" t="s">
        <v>4753</v>
      </c>
      <c r="C1298" s="2" t="s">
        <v>17</v>
      </c>
      <c r="D1298" s="2" t="s">
        <v>88</v>
      </c>
      <c r="E1298" s="2" t="s">
        <v>4754</v>
      </c>
      <c r="F1298" s="2" t="s">
        <v>4754</v>
      </c>
      <c r="G1298" s="2" t="s">
        <v>4755</v>
      </c>
      <c r="H1298" s="2" t="s">
        <v>4691</v>
      </c>
      <c r="I1298" s="2" t="s">
        <v>120</v>
      </c>
      <c r="J1298" s="2" t="s">
        <v>93</v>
      </c>
      <c r="K1298" s="2" t="s">
        <v>24</v>
      </c>
      <c r="L1298" s="7">
        <v>45677.0</v>
      </c>
      <c r="M1298" s="2" t="s">
        <v>94</v>
      </c>
      <c r="N1298" s="2" t="s">
        <v>35</v>
      </c>
      <c r="O1298" s="2" t="s">
        <v>27</v>
      </c>
      <c r="P1298" s="2" t="s">
        <v>28</v>
      </c>
    </row>
    <row r="1299" ht="14.25" customHeight="1">
      <c r="A1299" s="6">
        <v>9697505.0</v>
      </c>
      <c r="B1299" s="2" t="s">
        <v>4756</v>
      </c>
      <c r="C1299" s="2" t="s">
        <v>17</v>
      </c>
      <c r="D1299" s="2" t="s">
        <v>18</v>
      </c>
      <c r="E1299" s="2" t="s">
        <v>4757</v>
      </c>
      <c r="F1299" s="2" t="s">
        <v>4757</v>
      </c>
      <c r="G1299" s="2" t="s">
        <v>4758</v>
      </c>
      <c r="H1299" s="2" t="s">
        <v>4691</v>
      </c>
      <c r="I1299" s="2" t="s">
        <v>890</v>
      </c>
      <c r="J1299" s="2" t="s">
        <v>93</v>
      </c>
      <c r="K1299" s="2" t="s">
        <v>113</v>
      </c>
      <c r="L1299" s="7">
        <v>44256.0</v>
      </c>
      <c r="M1299" s="2" t="s">
        <v>94</v>
      </c>
      <c r="N1299" s="2" t="s">
        <v>35</v>
      </c>
      <c r="O1299" s="2" t="s">
        <v>27</v>
      </c>
      <c r="P1299" s="2" t="s">
        <v>36</v>
      </c>
    </row>
    <row r="1300" ht="14.25" customHeight="1">
      <c r="A1300" s="6">
        <v>7056780.0</v>
      </c>
      <c r="B1300" s="2" t="s">
        <v>4759</v>
      </c>
      <c r="C1300" s="2" t="s">
        <v>17</v>
      </c>
      <c r="D1300" s="2" t="s">
        <v>88</v>
      </c>
      <c r="E1300" s="2" t="s">
        <v>4760</v>
      </c>
      <c r="F1300" s="2" t="s">
        <v>4760</v>
      </c>
      <c r="G1300" s="2" t="s">
        <v>4761</v>
      </c>
      <c r="H1300" s="2" t="s">
        <v>4691</v>
      </c>
      <c r="I1300" s="2" t="s">
        <v>92</v>
      </c>
      <c r="J1300" s="2" t="s">
        <v>93</v>
      </c>
      <c r="K1300" s="2" t="s">
        <v>113</v>
      </c>
      <c r="L1300" s="7">
        <v>45292.0</v>
      </c>
      <c r="M1300" s="2" t="s">
        <v>94</v>
      </c>
      <c r="N1300" s="2" t="s">
        <v>35</v>
      </c>
      <c r="O1300" s="2" t="s">
        <v>27</v>
      </c>
      <c r="P1300" s="2" t="s">
        <v>36</v>
      </c>
    </row>
    <row r="1301" ht="14.25" customHeight="1">
      <c r="A1301" s="6">
        <v>9834884.0</v>
      </c>
      <c r="B1301" s="2" t="s">
        <v>4762</v>
      </c>
      <c r="C1301" s="2" t="s">
        <v>17</v>
      </c>
      <c r="D1301" s="2" t="s">
        <v>18</v>
      </c>
      <c r="E1301" s="2" t="s">
        <v>4763</v>
      </c>
      <c r="F1301" s="2" t="s">
        <v>4763</v>
      </c>
      <c r="G1301" s="2" t="s">
        <v>4764</v>
      </c>
      <c r="H1301" s="2" t="s">
        <v>4691</v>
      </c>
      <c r="I1301" s="2" t="s">
        <v>898</v>
      </c>
      <c r="J1301" s="2" t="s">
        <v>93</v>
      </c>
      <c r="K1301" s="2" t="s">
        <v>113</v>
      </c>
      <c r="L1301" s="7">
        <v>44780.0</v>
      </c>
      <c r="M1301" s="2" t="s">
        <v>94</v>
      </c>
      <c r="N1301" s="2" t="s">
        <v>35</v>
      </c>
      <c r="O1301" s="2" t="s">
        <v>27</v>
      </c>
      <c r="P1301" s="2" t="s">
        <v>36</v>
      </c>
    </row>
    <row r="1302" ht="14.25" customHeight="1">
      <c r="A1302" s="6">
        <v>9996071.0</v>
      </c>
      <c r="B1302" s="2" t="s">
        <v>4765</v>
      </c>
      <c r="C1302" s="2" t="s">
        <v>17</v>
      </c>
      <c r="D1302" s="2" t="s">
        <v>18</v>
      </c>
      <c r="E1302" s="2" t="s">
        <v>4766</v>
      </c>
      <c r="F1302" s="2" t="s">
        <v>4766</v>
      </c>
      <c r="G1302" s="2" t="s">
        <v>4767</v>
      </c>
      <c r="H1302" s="2" t="s">
        <v>4691</v>
      </c>
      <c r="I1302" s="2" t="s">
        <v>120</v>
      </c>
      <c r="J1302" s="2" t="s">
        <v>93</v>
      </c>
      <c r="K1302" s="2" t="s">
        <v>113</v>
      </c>
      <c r="L1302" s="7">
        <v>40513.0</v>
      </c>
      <c r="M1302" s="2" t="s">
        <v>94</v>
      </c>
      <c r="N1302" s="2" t="s">
        <v>35</v>
      </c>
      <c r="O1302" s="2" t="s">
        <v>27</v>
      </c>
      <c r="P1302" s="2" t="s">
        <v>36</v>
      </c>
    </row>
    <row r="1303" ht="14.25" customHeight="1">
      <c r="A1303" s="6">
        <v>1.1411974E7</v>
      </c>
      <c r="B1303" s="2" t="s">
        <v>4768</v>
      </c>
      <c r="C1303" s="2" t="s">
        <v>17</v>
      </c>
      <c r="D1303" s="2" t="s">
        <v>18</v>
      </c>
      <c r="E1303" s="2" t="s">
        <v>4769</v>
      </c>
      <c r="F1303" s="2" t="s">
        <v>4769</v>
      </c>
      <c r="G1303" s="2" t="s">
        <v>4770</v>
      </c>
      <c r="H1303" s="2" t="s">
        <v>4771</v>
      </c>
      <c r="I1303" s="2" t="s">
        <v>898</v>
      </c>
      <c r="J1303" s="2" t="s">
        <v>93</v>
      </c>
      <c r="K1303" s="2" t="s">
        <v>24</v>
      </c>
      <c r="L1303" s="7">
        <v>45871.0</v>
      </c>
      <c r="M1303" s="2" t="s">
        <v>94</v>
      </c>
      <c r="N1303" s="2" t="s">
        <v>35</v>
      </c>
      <c r="O1303" s="2" t="s">
        <v>27</v>
      </c>
      <c r="P1303" s="2" t="s">
        <v>28</v>
      </c>
    </row>
    <row r="1304" ht="14.25" customHeight="1">
      <c r="A1304" s="6">
        <v>7137277.0</v>
      </c>
      <c r="B1304" s="2" t="s">
        <v>4772</v>
      </c>
      <c r="C1304" s="2" t="s">
        <v>17</v>
      </c>
      <c r="D1304" s="2" t="s">
        <v>18</v>
      </c>
      <c r="E1304" s="2" t="s">
        <v>4773</v>
      </c>
      <c r="F1304" s="2" t="s">
        <v>4773</v>
      </c>
      <c r="G1304" s="2" t="s">
        <v>4774</v>
      </c>
      <c r="H1304" s="2" t="s">
        <v>4771</v>
      </c>
      <c r="I1304" s="2" t="s">
        <v>898</v>
      </c>
      <c r="J1304" s="2" t="s">
        <v>93</v>
      </c>
      <c r="K1304" s="2" t="s">
        <v>24</v>
      </c>
      <c r="L1304" s="7">
        <v>45929.0</v>
      </c>
      <c r="M1304" s="2" t="s">
        <v>94</v>
      </c>
      <c r="N1304" s="2" t="s">
        <v>35</v>
      </c>
      <c r="O1304" s="2" t="s">
        <v>27</v>
      </c>
      <c r="P1304" s="2" t="s">
        <v>28</v>
      </c>
    </row>
    <row r="1305" ht="14.25" customHeight="1">
      <c r="A1305" s="6">
        <v>1.4214397E7</v>
      </c>
      <c r="B1305" s="2" t="s">
        <v>4775</v>
      </c>
      <c r="C1305" s="2" t="s">
        <v>17</v>
      </c>
      <c r="D1305" s="2" t="s">
        <v>18</v>
      </c>
      <c r="E1305" s="2" t="s">
        <v>4776</v>
      </c>
      <c r="F1305" s="2" t="s">
        <v>4777</v>
      </c>
      <c r="G1305" s="2" t="s">
        <v>4778</v>
      </c>
      <c r="H1305" s="2" t="s">
        <v>4779</v>
      </c>
      <c r="I1305" s="2" t="s">
        <v>1063</v>
      </c>
      <c r="J1305" s="2" t="s">
        <v>93</v>
      </c>
      <c r="K1305" s="2" t="s">
        <v>113</v>
      </c>
      <c r="L1305" s="7">
        <v>44697.0</v>
      </c>
      <c r="M1305" s="2" t="s">
        <v>25</v>
      </c>
      <c r="N1305" s="2" t="s">
        <v>35</v>
      </c>
      <c r="O1305" s="2" t="s">
        <v>27</v>
      </c>
      <c r="P1305" s="2" t="s">
        <v>36</v>
      </c>
    </row>
    <row r="1306" ht="14.25" customHeight="1">
      <c r="A1306" s="6">
        <v>1.927569E7</v>
      </c>
      <c r="B1306" s="2" t="s">
        <v>4780</v>
      </c>
      <c r="C1306" s="2" t="s">
        <v>17</v>
      </c>
      <c r="D1306" s="2" t="s">
        <v>18</v>
      </c>
      <c r="E1306" s="2" t="s">
        <v>4781</v>
      </c>
      <c r="F1306" s="2" t="s">
        <v>4782</v>
      </c>
      <c r="G1306" s="2" t="s">
        <v>4783</v>
      </c>
      <c r="H1306" s="2" t="s">
        <v>158</v>
      </c>
      <c r="I1306" s="2" t="s">
        <v>4784</v>
      </c>
      <c r="J1306" s="2" t="s">
        <v>160</v>
      </c>
      <c r="K1306" s="2" t="s">
        <v>113</v>
      </c>
      <c r="L1306" s="7">
        <v>45558.0</v>
      </c>
      <c r="M1306" s="2" t="s">
        <v>116</v>
      </c>
      <c r="N1306" s="2" t="s">
        <v>161</v>
      </c>
      <c r="O1306" s="2" t="s">
        <v>116</v>
      </c>
      <c r="P1306" s="2" t="s">
        <v>36</v>
      </c>
    </row>
    <row r="1307" ht="14.25" customHeight="1">
      <c r="A1307" s="6">
        <v>1.7402573E7</v>
      </c>
      <c r="B1307" s="2" t="s">
        <v>4785</v>
      </c>
      <c r="C1307" s="2" t="s">
        <v>107</v>
      </c>
      <c r="D1307" s="2" t="s">
        <v>18</v>
      </c>
      <c r="E1307" s="2" t="s">
        <v>4786</v>
      </c>
      <c r="F1307" s="2" t="s">
        <v>4787</v>
      </c>
      <c r="G1307" s="2" t="s">
        <v>4788</v>
      </c>
      <c r="H1307" s="2" t="s">
        <v>158</v>
      </c>
      <c r="I1307" s="2" t="s">
        <v>159</v>
      </c>
      <c r="J1307" s="2" t="s">
        <v>160</v>
      </c>
      <c r="K1307" s="2" t="s">
        <v>113</v>
      </c>
      <c r="L1307" s="7">
        <v>45427.0</v>
      </c>
      <c r="M1307" s="2" t="s">
        <v>154</v>
      </c>
      <c r="N1307" s="2" t="s">
        <v>161</v>
      </c>
      <c r="O1307" s="2" t="s">
        <v>162</v>
      </c>
      <c r="P1307" s="2" t="s">
        <v>36</v>
      </c>
    </row>
    <row r="1308" ht="14.25" customHeight="1">
      <c r="A1308" s="6">
        <v>1.8936649E7</v>
      </c>
      <c r="B1308" s="2" t="s">
        <v>4789</v>
      </c>
      <c r="C1308" s="2" t="s">
        <v>107</v>
      </c>
      <c r="D1308" s="2" t="s">
        <v>18</v>
      </c>
      <c r="E1308" s="2" t="s">
        <v>4790</v>
      </c>
      <c r="F1308" s="2" t="s">
        <v>4791</v>
      </c>
      <c r="G1308" s="2" t="s">
        <v>4792</v>
      </c>
      <c r="H1308" s="2" t="s">
        <v>158</v>
      </c>
      <c r="I1308" s="2" t="s">
        <v>683</v>
      </c>
      <c r="J1308" s="2" t="s">
        <v>160</v>
      </c>
      <c r="K1308" s="2" t="s">
        <v>113</v>
      </c>
      <c r="L1308" s="7">
        <v>44929.0</v>
      </c>
      <c r="M1308" s="2" t="s">
        <v>154</v>
      </c>
      <c r="N1308" s="2" t="s">
        <v>161</v>
      </c>
      <c r="O1308" s="2" t="s">
        <v>162</v>
      </c>
      <c r="P1308" s="2" t="s">
        <v>36</v>
      </c>
    </row>
    <row r="1309" ht="14.25" customHeight="1">
      <c r="A1309" s="6">
        <v>1.8298154E7</v>
      </c>
      <c r="B1309" s="2" t="s">
        <v>4793</v>
      </c>
      <c r="C1309" s="2" t="s">
        <v>107</v>
      </c>
      <c r="D1309" s="2" t="s">
        <v>18</v>
      </c>
      <c r="E1309" s="2" t="s">
        <v>4794</v>
      </c>
      <c r="F1309" s="2" t="s">
        <v>4795</v>
      </c>
      <c r="G1309" s="2" t="s">
        <v>4796</v>
      </c>
      <c r="H1309" s="2" t="s">
        <v>4797</v>
      </c>
      <c r="I1309" s="2" t="s">
        <v>1745</v>
      </c>
      <c r="J1309" s="2" t="s">
        <v>413</v>
      </c>
      <c r="K1309" s="2" t="s">
        <v>113</v>
      </c>
      <c r="L1309" s="7">
        <v>45383.0</v>
      </c>
      <c r="M1309" s="2" t="s">
        <v>154</v>
      </c>
      <c r="N1309" s="2" t="s">
        <v>161</v>
      </c>
      <c r="O1309" s="2" t="s">
        <v>162</v>
      </c>
      <c r="P1309" s="2" t="s">
        <v>36</v>
      </c>
    </row>
    <row r="1310" ht="14.25" customHeight="1">
      <c r="A1310" s="6">
        <v>1.7461106E7</v>
      </c>
      <c r="B1310" s="2" t="s">
        <v>4798</v>
      </c>
      <c r="C1310" s="2" t="s">
        <v>17</v>
      </c>
      <c r="D1310" s="2" t="s">
        <v>18</v>
      </c>
      <c r="E1310" s="2" t="s">
        <v>4799</v>
      </c>
      <c r="F1310" s="2" t="s">
        <v>4800</v>
      </c>
      <c r="G1310" s="2" t="s">
        <v>4801</v>
      </c>
      <c r="H1310" s="2" t="s">
        <v>4802</v>
      </c>
      <c r="I1310" s="2" t="s">
        <v>1187</v>
      </c>
      <c r="J1310" s="2" t="s">
        <v>34</v>
      </c>
      <c r="K1310" s="2" t="s">
        <v>113</v>
      </c>
      <c r="L1310" s="7">
        <v>45306.0</v>
      </c>
      <c r="M1310" s="2" t="s">
        <v>25</v>
      </c>
      <c r="N1310" s="2" t="s">
        <v>35</v>
      </c>
      <c r="O1310" s="2" t="s">
        <v>27</v>
      </c>
      <c r="P1310" s="2" t="s">
        <v>36</v>
      </c>
    </row>
    <row r="1311" ht="14.25" customHeight="1">
      <c r="A1311" s="6">
        <v>1.8146032E7</v>
      </c>
      <c r="B1311" s="2" t="s">
        <v>4803</v>
      </c>
      <c r="C1311" s="2" t="s">
        <v>17</v>
      </c>
      <c r="D1311" s="2" t="s">
        <v>88</v>
      </c>
      <c r="E1311" s="2" t="s">
        <v>4804</v>
      </c>
      <c r="F1311" s="2" t="s">
        <v>4805</v>
      </c>
      <c r="G1311" s="2" t="s">
        <v>4806</v>
      </c>
      <c r="H1311" s="2" t="s">
        <v>4807</v>
      </c>
      <c r="I1311" s="2" t="s">
        <v>4808</v>
      </c>
      <c r="J1311" s="2" t="s">
        <v>193</v>
      </c>
      <c r="K1311" s="2" t="s">
        <v>24</v>
      </c>
      <c r="L1311" s="7">
        <v>45936.0</v>
      </c>
      <c r="M1311" s="2" t="s">
        <v>25</v>
      </c>
      <c r="N1311" s="2" t="s">
        <v>186</v>
      </c>
      <c r="O1311" s="2" t="s">
        <v>27</v>
      </c>
      <c r="P1311" s="2" t="s">
        <v>28</v>
      </c>
    </row>
    <row r="1312" ht="14.25" customHeight="1">
      <c r="A1312" s="6">
        <v>1.7344229E7</v>
      </c>
      <c r="B1312" s="2" t="s">
        <v>4809</v>
      </c>
      <c r="C1312" s="2" t="s">
        <v>17</v>
      </c>
      <c r="D1312" s="2" t="s">
        <v>88</v>
      </c>
      <c r="E1312" s="2" t="s">
        <v>4810</v>
      </c>
      <c r="F1312" s="2" t="s">
        <v>4811</v>
      </c>
      <c r="G1312" s="2" t="s">
        <v>4812</v>
      </c>
      <c r="H1312" s="2" t="s">
        <v>4813</v>
      </c>
      <c r="I1312" s="2" t="s">
        <v>4808</v>
      </c>
      <c r="J1312" s="2" t="s">
        <v>193</v>
      </c>
      <c r="K1312" s="2" t="s">
        <v>24</v>
      </c>
      <c r="L1312" s="7">
        <v>45910.0</v>
      </c>
      <c r="M1312" s="2" t="s">
        <v>25</v>
      </c>
      <c r="N1312" s="2" t="s">
        <v>186</v>
      </c>
      <c r="O1312" s="2" t="s">
        <v>27</v>
      </c>
      <c r="P1312" s="2" t="s">
        <v>28</v>
      </c>
    </row>
    <row r="1313" ht="14.25" customHeight="1">
      <c r="A1313" s="6">
        <v>1.421202E7</v>
      </c>
      <c r="B1313" s="2" t="s">
        <v>4814</v>
      </c>
      <c r="C1313" s="2" t="s">
        <v>17</v>
      </c>
      <c r="D1313" s="2" t="s">
        <v>18</v>
      </c>
      <c r="E1313" s="2" t="s">
        <v>4815</v>
      </c>
      <c r="F1313" s="2" t="s">
        <v>4815</v>
      </c>
      <c r="G1313" s="2" t="s">
        <v>4816</v>
      </c>
      <c r="H1313" s="2" t="s">
        <v>4813</v>
      </c>
      <c r="I1313" s="2" t="s">
        <v>4808</v>
      </c>
      <c r="J1313" s="2" t="s">
        <v>193</v>
      </c>
      <c r="K1313" s="2" t="s">
        <v>24</v>
      </c>
      <c r="L1313" s="7">
        <v>45922.0</v>
      </c>
      <c r="M1313" s="2" t="s">
        <v>25</v>
      </c>
      <c r="N1313" s="2" t="s">
        <v>186</v>
      </c>
      <c r="O1313" s="2" t="s">
        <v>27</v>
      </c>
      <c r="P1313" s="2" t="s">
        <v>28</v>
      </c>
    </row>
    <row r="1314" ht="14.25" customHeight="1">
      <c r="A1314" s="6">
        <v>1.850246E7</v>
      </c>
      <c r="B1314" s="2" t="s">
        <v>4817</v>
      </c>
      <c r="C1314" s="2" t="s">
        <v>17</v>
      </c>
      <c r="D1314" s="2" t="s">
        <v>18</v>
      </c>
      <c r="E1314" s="2" t="s">
        <v>4818</v>
      </c>
      <c r="F1314" s="2" t="s">
        <v>4819</v>
      </c>
      <c r="G1314" s="2" t="s">
        <v>4820</v>
      </c>
      <c r="H1314" s="2" t="s">
        <v>4821</v>
      </c>
      <c r="I1314" s="2" t="s">
        <v>4822</v>
      </c>
      <c r="J1314" s="2" t="s">
        <v>1490</v>
      </c>
      <c r="K1314" s="2" t="s">
        <v>113</v>
      </c>
      <c r="L1314" s="7">
        <v>44013.0</v>
      </c>
      <c r="M1314" s="2" t="s">
        <v>1402</v>
      </c>
      <c r="N1314" s="2" t="s">
        <v>1491</v>
      </c>
      <c r="O1314" s="2" t="s">
        <v>116</v>
      </c>
      <c r="P1314" s="2" t="s">
        <v>36</v>
      </c>
    </row>
    <row r="1315" ht="14.25" customHeight="1">
      <c r="A1315" s="6">
        <v>2466242.0</v>
      </c>
      <c r="B1315" s="2" t="s">
        <v>4823</v>
      </c>
      <c r="C1315" s="2" t="s">
        <v>17</v>
      </c>
      <c r="D1315" s="2" t="s">
        <v>18</v>
      </c>
      <c r="E1315" s="2" t="s">
        <v>4824</v>
      </c>
      <c r="G1315" s="2" t="s">
        <v>4825</v>
      </c>
      <c r="H1315" s="2" t="s">
        <v>4826</v>
      </c>
      <c r="I1315" s="2" t="s">
        <v>4827</v>
      </c>
      <c r="J1315" s="2" t="s">
        <v>1525</v>
      </c>
      <c r="K1315" s="2" t="s">
        <v>113</v>
      </c>
      <c r="L1315" s="7">
        <v>45323.0</v>
      </c>
      <c r="M1315" s="2" t="s">
        <v>1402</v>
      </c>
      <c r="N1315" s="2" t="s">
        <v>161</v>
      </c>
      <c r="O1315" s="2" t="s">
        <v>116</v>
      </c>
      <c r="P1315" s="2" t="s">
        <v>36</v>
      </c>
    </row>
    <row r="1316" ht="14.25" customHeight="1">
      <c r="A1316" s="6">
        <v>1.2281916E7</v>
      </c>
      <c r="B1316" s="2" t="s">
        <v>4828</v>
      </c>
      <c r="C1316" s="2" t="s">
        <v>17</v>
      </c>
      <c r="D1316" s="2" t="s">
        <v>18</v>
      </c>
      <c r="E1316" s="2" t="s">
        <v>4829</v>
      </c>
      <c r="F1316" s="2" t="s">
        <v>4830</v>
      </c>
      <c r="G1316" s="2" t="s">
        <v>4831</v>
      </c>
      <c r="H1316" s="2" t="s">
        <v>4832</v>
      </c>
      <c r="I1316" s="2" t="s">
        <v>1414</v>
      </c>
      <c r="J1316" s="2" t="s">
        <v>1430</v>
      </c>
      <c r="K1316" s="2" t="s">
        <v>113</v>
      </c>
      <c r="L1316" s="7">
        <v>44774.0</v>
      </c>
      <c r="M1316" s="2" t="s">
        <v>116</v>
      </c>
      <c r="N1316" s="2" t="s">
        <v>161</v>
      </c>
      <c r="O1316" s="2" t="s">
        <v>116</v>
      </c>
      <c r="P1316" s="2" t="s">
        <v>36</v>
      </c>
    </row>
    <row r="1317" ht="14.25" customHeight="1">
      <c r="A1317" s="6">
        <v>8058278.0</v>
      </c>
      <c r="B1317" s="2" t="s">
        <v>4833</v>
      </c>
      <c r="C1317" s="2" t="s">
        <v>17</v>
      </c>
      <c r="D1317" s="2" t="s">
        <v>18</v>
      </c>
      <c r="E1317" s="2" t="s">
        <v>4834</v>
      </c>
      <c r="F1317" s="2" t="s">
        <v>4835</v>
      </c>
      <c r="G1317" s="2" t="s">
        <v>4836</v>
      </c>
      <c r="H1317" s="2" t="s">
        <v>4832</v>
      </c>
      <c r="I1317" s="2" t="s">
        <v>1401</v>
      </c>
      <c r="J1317" s="2" t="s">
        <v>1519</v>
      </c>
      <c r="K1317" s="2" t="s">
        <v>113</v>
      </c>
      <c r="L1317" s="7">
        <v>40513.0</v>
      </c>
      <c r="M1317" s="2" t="s">
        <v>25</v>
      </c>
      <c r="N1317" s="2" t="s">
        <v>35</v>
      </c>
      <c r="O1317" s="2" t="s">
        <v>27</v>
      </c>
      <c r="P1317" s="2" t="s">
        <v>36</v>
      </c>
    </row>
    <row r="1318" ht="14.25" customHeight="1">
      <c r="A1318" s="6">
        <v>1.1896344E7</v>
      </c>
      <c r="B1318" s="2" t="s">
        <v>4837</v>
      </c>
      <c r="C1318" s="2" t="s">
        <v>17</v>
      </c>
      <c r="D1318" s="2" t="s">
        <v>18</v>
      </c>
      <c r="E1318" s="2" t="s">
        <v>4838</v>
      </c>
      <c r="F1318" s="2" t="s">
        <v>4839</v>
      </c>
      <c r="G1318" s="2" t="s">
        <v>4840</v>
      </c>
      <c r="H1318" s="2" t="s">
        <v>4841</v>
      </c>
      <c r="I1318" s="2" t="s">
        <v>1063</v>
      </c>
      <c r="J1318" s="2" t="s">
        <v>93</v>
      </c>
      <c r="K1318" s="2" t="s">
        <v>113</v>
      </c>
      <c r="L1318" s="7">
        <v>40513.0</v>
      </c>
      <c r="M1318" s="2" t="s">
        <v>25</v>
      </c>
      <c r="N1318" s="2" t="s">
        <v>35</v>
      </c>
      <c r="O1318" s="2" t="s">
        <v>27</v>
      </c>
      <c r="P1318" s="2" t="s">
        <v>36</v>
      </c>
    </row>
    <row r="1319" ht="14.25" customHeight="1">
      <c r="A1319" s="6">
        <v>1.7214075E7</v>
      </c>
      <c r="B1319" s="2" t="s">
        <v>4842</v>
      </c>
      <c r="C1319" s="2" t="s">
        <v>107</v>
      </c>
      <c r="D1319" s="2" t="s">
        <v>88</v>
      </c>
      <c r="E1319" s="2" t="s">
        <v>4843</v>
      </c>
      <c r="F1319" s="2" t="s">
        <v>4844</v>
      </c>
      <c r="G1319" s="2" t="s">
        <v>4845</v>
      </c>
      <c r="H1319" s="2" t="s">
        <v>4846</v>
      </c>
      <c r="I1319" s="2" t="s">
        <v>1739</v>
      </c>
      <c r="J1319" s="2" t="s">
        <v>801</v>
      </c>
      <c r="K1319" s="2" t="s">
        <v>113</v>
      </c>
      <c r="L1319" s="7">
        <v>44774.0</v>
      </c>
      <c r="M1319" s="2" t="s">
        <v>154</v>
      </c>
      <c r="N1319" s="2" t="s">
        <v>26</v>
      </c>
      <c r="O1319" s="2" t="s">
        <v>27</v>
      </c>
      <c r="P1319" s="2" t="s">
        <v>36</v>
      </c>
    </row>
    <row r="1320" ht="14.25" customHeight="1">
      <c r="A1320" s="6">
        <v>1.39533E7</v>
      </c>
      <c r="B1320" s="2" t="s">
        <v>4847</v>
      </c>
      <c r="C1320" s="2" t="s">
        <v>107</v>
      </c>
      <c r="D1320" s="2" t="s">
        <v>18</v>
      </c>
      <c r="E1320" s="2" t="s">
        <v>4848</v>
      </c>
      <c r="F1320" s="2" t="s">
        <v>4849</v>
      </c>
      <c r="G1320" s="2" t="s">
        <v>4850</v>
      </c>
      <c r="H1320" s="2" t="s">
        <v>4851</v>
      </c>
      <c r="I1320" s="2" t="s">
        <v>1739</v>
      </c>
      <c r="J1320" s="2" t="s">
        <v>458</v>
      </c>
      <c r="K1320" s="2" t="s">
        <v>113</v>
      </c>
      <c r="L1320" s="7">
        <v>45505.0</v>
      </c>
      <c r="M1320" s="2" t="s">
        <v>1402</v>
      </c>
      <c r="N1320" s="2" t="s">
        <v>26</v>
      </c>
      <c r="O1320" s="2" t="s">
        <v>27</v>
      </c>
      <c r="P1320" s="2" t="s">
        <v>36</v>
      </c>
    </row>
    <row r="1321" ht="14.25" customHeight="1">
      <c r="A1321" s="6">
        <v>1.5655852E7</v>
      </c>
      <c r="B1321" s="2" t="s">
        <v>4852</v>
      </c>
      <c r="C1321" s="2" t="s">
        <v>107</v>
      </c>
      <c r="D1321" s="2" t="s">
        <v>18</v>
      </c>
      <c r="E1321" s="2" t="s">
        <v>4853</v>
      </c>
      <c r="F1321" s="2" t="s">
        <v>4854</v>
      </c>
      <c r="G1321" s="2" t="s">
        <v>4855</v>
      </c>
      <c r="H1321" s="2" t="s">
        <v>4856</v>
      </c>
      <c r="I1321" s="2" t="s">
        <v>1465</v>
      </c>
      <c r="J1321" s="2" t="s">
        <v>1581</v>
      </c>
      <c r="K1321" s="2" t="s">
        <v>113</v>
      </c>
      <c r="L1321" s="7">
        <v>41426.0</v>
      </c>
      <c r="M1321" s="2" t="s">
        <v>1402</v>
      </c>
      <c r="N1321" s="2" t="s">
        <v>216</v>
      </c>
      <c r="O1321" s="2" t="s">
        <v>116</v>
      </c>
      <c r="P1321" s="2" t="s">
        <v>36</v>
      </c>
    </row>
    <row r="1322" ht="14.25" customHeight="1">
      <c r="A1322" s="6">
        <v>1.5677251E7</v>
      </c>
      <c r="B1322" s="2" t="s">
        <v>4857</v>
      </c>
      <c r="C1322" s="2" t="s">
        <v>107</v>
      </c>
      <c r="D1322" s="2" t="s">
        <v>18</v>
      </c>
      <c r="E1322" s="2" t="s">
        <v>4858</v>
      </c>
      <c r="F1322" s="2" t="s">
        <v>4859</v>
      </c>
      <c r="G1322" s="2" t="s">
        <v>4860</v>
      </c>
      <c r="H1322" s="2" t="s">
        <v>4861</v>
      </c>
      <c r="I1322" s="2" t="s">
        <v>1937</v>
      </c>
      <c r="J1322" s="2" t="s">
        <v>948</v>
      </c>
      <c r="K1322" s="2" t="s">
        <v>113</v>
      </c>
      <c r="L1322" s="7">
        <v>45768.0</v>
      </c>
      <c r="M1322" s="2" t="s">
        <v>1402</v>
      </c>
      <c r="N1322" s="2" t="s">
        <v>367</v>
      </c>
      <c r="O1322" s="2" t="s">
        <v>27</v>
      </c>
      <c r="P1322" s="2" t="s">
        <v>36</v>
      </c>
    </row>
    <row r="1323" ht="14.25" customHeight="1">
      <c r="A1323" s="6">
        <v>1.770362E7</v>
      </c>
      <c r="B1323" s="2" t="s">
        <v>4862</v>
      </c>
      <c r="C1323" s="2" t="s">
        <v>107</v>
      </c>
      <c r="D1323" s="2" t="s">
        <v>18</v>
      </c>
      <c r="E1323" s="2" t="s">
        <v>4863</v>
      </c>
      <c r="F1323" s="2" t="s">
        <v>4864</v>
      </c>
      <c r="G1323" s="2" t="s">
        <v>4865</v>
      </c>
      <c r="H1323" s="2" t="s">
        <v>4866</v>
      </c>
      <c r="I1323" s="2" t="s">
        <v>1414</v>
      </c>
      <c r="J1323" s="2" t="s">
        <v>413</v>
      </c>
      <c r="K1323" s="2" t="s">
        <v>113</v>
      </c>
      <c r="L1323" s="7">
        <v>43080.0</v>
      </c>
      <c r="M1323" s="2" t="s">
        <v>1402</v>
      </c>
      <c r="N1323" s="2" t="s">
        <v>161</v>
      </c>
      <c r="O1323" s="2" t="s">
        <v>116</v>
      </c>
      <c r="P1323" s="2" t="s">
        <v>36</v>
      </c>
    </row>
    <row r="1324" ht="14.25" customHeight="1">
      <c r="A1324" s="6">
        <v>1.674449E7</v>
      </c>
      <c r="B1324" s="2" t="s">
        <v>4867</v>
      </c>
      <c r="C1324" s="2" t="s">
        <v>107</v>
      </c>
      <c r="D1324" s="2" t="s">
        <v>18</v>
      </c>
      <c r="E1324" s="2" t="s">
        <v>4868</v>
      </c>
      <c r="F1324" s="2" t="s">
        <v>4869</v>
      </c>
      <c r="G1324" s="2" t="s">
        <v>4870</v>
      </c>
      <c r="H1324" s="2" t="s">
        <v>4871</v>
      </c>
      <c r="I1324" s="2" t="s">
        <v>530</v>
      </c>
      <c r="J1324" s="2" t="s">
        <v>112</v>
      </c>
      <c r="K1324" s="2" t="s">
        <v>113</v>
      </c>
      <c r="L1324" s="7">
        <v>45859.0</v>
      </c>
      <c r="M1324" s="2" t="s">
        <v>1402</v>
      </c>
      <c r="N1324" s="2" t="s">
        <v>115</v>
      </c>
      <c r="O1324" s="2" t="s">
        <v>116</v>
      </c>
      <c r="P1324" s="2" t="s">
        <v>36</v>
      </c>
    </row>
    <row r="1325" ht="14.25" customHeight="1">
      <c r="A1325" s="6">
        <v>1.6219383E7</v>
      </c>
      <c r="B1325" s="2" t="s">
        <v>4872</v>
      </c>
      <c r="C1325" s="2" t="s">
        <v>107</v>
      </c>
      <c r="D1325" s="2" t="s">
        <v>18</v>
      </c>
      <c r="E1325" s="2" t="s">
        <v>4873</v>
      </c>
      <c r="F1325" s="2" t="s">
        <v>4874</v>
      </c>
      <c r="G1325" s="2" t="s">
        <v>4875</v>
      </c>
      <c r="H1325" s="2" t="s">
        <v>4876</v>
      </c>
      <c r="I1325" s="2" t="s">
        <v>1926</v>
      </c>
      <c r="J1325" s="2" t="s">
        <v>458</v>
      </c>
      <c r="K1325" s="2" t="s">
        <v>113</v>
      </c>
      <c r="L1325" s="7">
        <v>45768.0</v>
      </c>
      <c r="M1325" s="2" t="s">
        <v>154</v>
      </c>
      <c r="N1325" s="2" t="s">
        <v>26</v>
      </c>
      <c r="O1325" s="2" t="s">
        <v>200</v>
      </c>
      <c r="P1325" s="2" t="s">
        <v>36</v>
      </c>
    </row>
    <row r="1326" ht="14.25" customHeight="1">
      <c r="A1326" s="6">
        <v>1.6304122E7</v>
      </c>
      <c r="B1326" s="2" t="s">
        <v>4877</v>
      </c>
      <c r="C1326" s="2" t="s">
        <v>107</v>
      </c>
      <c r="D1326" s="2" t="s">
        <v>18</v>
      </c>
      <c r="E1326" s="2" t="s">
        <v>4878</v>
      </c>
      <c r="F1326" s="2" t="s">
        <v>4879</v>
      </c>
      <c r="G1326" s="2" t="s">
        <v>4880</v>
      </c>
      <c r="H1326" s="2" t="s">
        <v>4881</v>
      </c>
      <c r="I1326" s="2" t="s">
        <v>1790</v>
      </c>
      <c r="J1326" s="2" t="s">
        <v>458</v>
      </c>
      <c r="K1326" s="2" t="s">
        <v>113</v>
      </c>
      <c r="L1326" s="7">
        <v>43080.0</v>
      </c>
      <c r="M1326" s="2" t="s">
        <v>1402</v>
      </c>
      <c r="N1326" s="2" t="s">
        <v>26</v>
      </c>
      <c r="O1326" s="2" t="s">
        <v>116</v>
      </c>
      <c r="P1326" s="2" t="s">
        <v>36</v>
      </c>
    </row>
    <row r="1327" ht="14.25" customHeight="1">
      <c r="A1327" s="6">
        <v>1.3634001E7</v>
      </c>
      <c r="B1327" s="2" t="s">
        <v>4882</v>
      </c>
      <c r="C1327" s="2" t="s">
        <v>107</v>
      </c>
      <c r="D1327" s="2" t="s">
        <v>18</v>
      </c>
      <c r="E1327" s="2" t="s">
        <v>4883</v>
      </c>
      <c r="F1327" s="2" t="s">
        <v>4884</v>
      </c>
      <c r="G1327" s="2" t="s">
        <v>4885</v>
      </c>
      <c r="H1327" s="2" t="s">
        <v>4886</v>
      </c>
      <c r="I1327" s="2" t="s">
        <v>446</v>
      </c>
      <c r="J1327" s="2" t="s">
        <v>185</v>
      </c>
      <c r="K1327" s="2" t="s">
        <v>113</v>
      </c>
      <c r="L1327" s="7">
        <v>45044.0</v>
      </c>
      <c r="M1327" s="2" t="s">
        <v>1402</v>
      </c>
      <c r="N1327" s="2" t="s">
        <v>186</v>
      </c>
      <c r="O1327" s="2" t="s">
        <v>27</v>
      </c>
      <c r="P1327" s="2" t="s">
        <v>36</v>
      </c>
    </row>
    <row r="1328" ht="14.25" customHeight="1">
      <c r="A1328" s="6">
        <v>1.0322572E7</v>
      </c>
      <c r="B1328" s="2" t="s">
        <v>4887</v>
      </c>
      <c r="C1328" s="2" t="s">
        <v>107</v>
      </c>
      <c r="D1328" s="2" t="s">
        <v>18</v>
      </c>
      <c r="E1328" s="2" t="s">
        <v>4888</v>
      </c>
      <c r="F1328" s="2" t="s">
        <v>4889</v>
      </c>
      <c r="G1328" s="2" t="s">
        <v>4890</v>
      </c>
      <c r="H1328" s="2" t="s">
        <v>4891</v>
      </c>
      <c r="I1328" s="2" t="s">
        <v>1408</v>
      </c>
      <c r="J1328" s="2" t="s">
        <v>872</v>
      </c>
      <c r="K1328" s="2" t="s">
        <v>113</v>
      </c>
      <c r="L1328" s="7">
        <v>45689.0</v>
      </c>
      <c r="M1328" s="2" t="s">
        <v>1402</v>
      </c>
      <c r="N1328" s="2" t="s">
        <v>161</v>
      </c>
      <c r="O1328" s="2" t="s">
        <v>162</v>
      </c>
      <c r="P1328" s="2" t="s">
        <v>36</v>
      </c>
    </row>
    <row r="1329" ht="14.25" customHeight="1">
      <c r="A1329" s="6">
        <v>1.7402656E7</v>
      </c>
      <c r="B1329" s="2" t="s">
        <v>4892</v>
      </c>
      <c r="C1329" s="2" t="s">
        <v>17</v>
      </c>
      <c r="D1329" s="2" t="s">
        <v>18</v>
      </c>
      <c r="E1329" s="2" t="s">
        <v>4893</v>
      </c>
      <c r="F1329" s="2" t="s">
        <v>4894</v>
      </c>
      <c r="G1329" s="2" t="s">
        <v>4895</v>
      </c>
      <c r="H1329" s="2" t="s">
        <v>4896</v>
      </c>
      <c r="I1329" s="2" t="s">
        <v>4897</v>
      </c>
      <c r="J1329" s="2" t="s">
        <v>1415</v>
      </c>
      <c r="K1329" s="2" t="s">
        <v>113</v>
      </c>
      <c r="L1329" s="7">
        <v>44877.0</v>
      </c>
      <c r="M1329" s="2" t="s">
        <v>1402</v>
      </c>
      <c r="N1329" s="2" t="s">
        <v>161</v>
      </c>
      <c r="O1329" s="2" t="s">
        <v>116</v>
      </c>
      <c r="P1329" s="2" t="s">
        <v>36</v>
      </c>
    </row>
    <row r="1330" ht="14.25" customHeight="1">
      <c r="A1330" s="6">
        <v>1.4300744E7</v>
      </c>
      <c r="B1330" s="2" t="s">
        <v>4898</v>
      </c>
      <c r="C1330" s="2" t="s">
        <v>17</v>
      </c>
      <c r="D1330" s="2" t="s">
        <v>18</v>
      </c>
      <c r="E1330" s="2" t="s">
        <v>4899</v>
      </c>
      <c r="F1330" s="2" t="s">
        <v>4900</v>
      </c>
      <c r="G1330" s="2" t="s">
        <v>4901</v>
      </c>
      <c r="H1330" s="2" t="s">
        <v>4902</v>
      </c>
      <c r="I1330" s="2" t="s">
        <v>1541</v>
      </c>
      <c r="J1330" s="2" t="s">
        <v>193</v>
      </c>
      <c r="K1330" s="2" t="s">
        <v>113</v>
      </c>
      <c r="L1330" s="7">
        <v>45236.0</v>
      </c>
      <c r="M1330" s="2" t="s">
        <v>1402</v>
      </c>
      <c r="N1330" s="2" t="s">
        <v>186</v>
      </c>
      <c r="O1330" s="2" t="s">
        <v>27</v>
      </c>
      <c r="P1330" s="2" t="s">
        <v>36</v>
      </c>
    </row>
    <row r="1331" ht="14.25" customHeight="1">
      <c r="A1331" s="6">
        <v>1.235093E7</v>
      </c>
      <c r="B1331" s="2" t="s">
        <v>4903</v>
      </c>
      <c r="C1331" s="2" t="s">
        <v>17</v>
      </c>
      <c r="D1331" s="2" t="s">
        <v>18</v>
      </c>
      <c r="E1331" s="2" t="s">
        <v>4904</v>
      </c>
      <c r="F1331" s="2" t="s">
        <v>4905</v>
      </c>
      <c r="G1331" s="2" t="s">
        <v>4906</v>
      </c>
      <c r="H1331" s="2" t="s">
        <v>4907</v>
      </c>
      <c r="I1331" s="2" t="s">
        <v>1619</v>
      </c>
      <c r="J1331" s="2" t="s">
        <v>34</v>
      </c>
      <c r="K1331" s="2" t="s">
        <v>113</v>
      </c>
      <c r="L1331" s="7">
        <v>45048.0</v>
      </c>
      <c r="M1331" s="2" t="s">
        <v>1402</v>
      </c>
      <c r="N1331" s="2" t="s">
        <v>35</v>
      </c>
      <c r="O1331" s="2" t="s">
        <v>27</v>
      </c>
      <c r="P1331" s="2" t="s">
        <v>36</v>
      </c>
    </row>
    <row r="1332" ht="14.25" customHeight="1">
      <c r="A1332" s="6">
        <v>1.0093798E7</v>
      </c>
      <c r="B1332" s="2" t="s">
        <v>4908</v>
      </c>
      <c r="C1332" s="2" t="s">
        <v>17</v>
      </c>
      <c r="D1332" s="2" t="s">
        <v>18</v>
      </c>
      <c r="E1332" s="2" t="s">
        <v>4909</v>
      </c>
      <c r="F1332" s="2" t="s">
        <v>4910</v>
      </c>
      <c r="G1332" s="2" t="s">
        <v>4911</v>
      </c>
      <c r="H1332" s="2" t="s">
        <v>4912</v>
      </c>
      <c r="I1332" s="2" t="s">
        <v>1619</v>
      </c>
      <c r="J1332" s="2" t="s">
        <v>62</v>
      </c>
      <c r="K1332" s="2" t="s">
        <v>113</v>
      </c>
      <c r="L1332" s="7">
        <v>44440.0</v>
      </c>
      <c r="M1332" s="2" t="s">
        <v>1402</v>
      </c>
      <c r="N1332" s="2" t="s">
        <v>35</v>
      </c>
      <c r="O1332" s="2" t="s">
        <v>312</v>
      </c>
      <c r="P1332" s="2" t="s">
        <v>36</v>
      </c>
    </row>
    <row r="1333" ht="14.25" customHeight="1">
      <c r="A1333" s="6">
        <v>1.0227707E7</v>
      </c>
      <c r="B1333" s="2" t="s">
        <v>4913</v>
      </c>
      <c r="C1333" s="2" t="s">
        <v>107</v>
      </c>
      <c r="D1333" s="2" t="s">
        <v>18</v>
      </c>
      <c r="E1333" s="2" t="s">
        <v>4914</v>
      </c>
      <c r="F1333" s="2" t="s">
        <v>4915</v>
      </c>
      <c r="G1333" s="2" t="s">
        <v>4916</v>
      </c>
      <c r="H1333" s="2" t="s">
        <v>4917</v>
      </c>
      <c r="I1333" s="2" t="s">
        <v>446</v>
      </c>
      <c r="J1333" s="2" t="s">
        <v>185</v>
      </c>
      <c r="K1333" s="2" t="s">
        <v>113</v>
      </c>
      <c r="L1333" s="7">
        <v>44907.0</v>
      </c>
      <c r="M1333" s="2" t="s">
        <v>1402</v>
      </c>
      <c r="N1333" s="2" t="s">
        <v>186</v>
      </c>
      <c r="O1333" s="2" t="s">
        <v>27</v>
      </c>
      <c r="P1333" s="2" t="s">
        <v>36</v>
      </c>
    </row>
    <row r="1334" ht="14.25" customHeight="1">
      <c r="A1334" s="6">
        <v>1.538543E7</v>
      </c>
      <c r="B1334" s="2" t="s">
        <v>4918</v>
      </c>
      <c r="C1334" s="2" t="s">
        <v>107</v>
      </c>
      <c r="D1334" s="2" t="s">
        <v>18</v>
      </c>
      <c r="E1334" s="2" t="s">
        <v>4919</v>
      </c>
      <c r="F1334" s="2" t="s">
        <v>4920</v>
      </c>
      <c r="G1334" s="2" t="s">
        <v>4921</v>
      </c>
      <c r="H1334" s="2" t="s">
        <v>4922</v>
      </c>
      <c r="I1334" s="2" t="s">
        <v>1408</v>
      </c>
      <c r="J1334" s="2" t="s">
        <v>872</v>
      </c>
      <c r="K1334" s="2" t="s">
        <v>113</v>
      </c>
      <c r="L1334" s="7">
        <v>43409.0</v>
      </c>
      <c r="M1334" s="2" t="s">
        <v>1402</v>
      </c>
      <c r="N1334" s="2" t="s">
        <v>161</v>
      </c>
      <c r="O1334" s="2" t="s">
        <v>116</v>
      </c>
      <c r="P1334" s="2" t="s">
        <v>36</v>
      </c>
    </row>
    <row r="1335" ht="14.25" customHeight="1">
      <c r="A1335" s="6">
        <v>1.3552002E7</v>
      </c>
      <c r="B1335" s="2" t="s">
        <v>4923</v>
      </c>
      <c r="C1335" s="2" t="s">
        <v>107</v>
      </c>
      <c r="D1335" s="2" t="s">
        <v>88</v>
      </c>
      <c r="E1335" s="2" t="s">
        <v>4924</v>
      </c>
      <c r="F1335" s="2" t="s">
        <v>4925</v>
      </c>
      <c r="G1335" s="2" t="s">
        <v>4926</v>
      </c>
      <c r="H1335" s="2" t="s">
        <v>4927</v>
      </c>
      <c r="I1335" s="2" t="s">
        <v>1541</v>
      </c>
      <c r="J1335" s="2" t="s">
        <v>4928</v>
      </c>
      <c r="K1335" s="2" t="s">
        <v>113</v>
      </c>
      <c r="L1335" s="7">
        <v>44167.0</v>
      </c>
      <c r="M1335" s="2" t="s">
        <v>1402</v>
      </c>
      <c r="N1335" s="2" t="s">
        <v>186</v>
      </c>
      <c r="O1335" s="2" t="s">
        <v>162</v>
      </c>
      <c r="P1335" s="2" t="s">
        <v>36</v>
      </c>
    </row>
    <row r="1336" ht="14.25" customHeight="1">
      <c r="A1336" s="6">
        <v>1.1219986E7</v>
      </c>
      <c r="B1336" s="2" t="s">
        <v>4929</v>
      </c>
      <c r="C1336" s="2" t="s">
        <v>17</v>
      </c>
      <c r="D1336" s="2" t="s">
        <v>18</v>
      </c>
      <c r="E1336" s="2" t="s">
        <v>4930</v>
      </c>
      <c r="F1336" s="2" t="s">
        <v>4931</v>
      </c>
      <c r="G1336" s="2" t="s">
        <v>4932</v>
      </c>
      <c r="H1336" s="2" t="s">
        <v>4933</v>
      </c>
      <c r="I1336" s="2" t="s">
        <v>1674</v>
      </c>
      <c r="J1336" s="2" t="s">
        <v>34</v>
      </c>
      <c r="K1336" s="2" t="s">
        <v>113</v>
      </c>
      <c r="L1336" s="7">
        <v>40513.0</v>
      </c>
      <c r="M1336" s="2" t="s">
        <v>312</v>
      </c>
      <c r="N1336" s="2" t="s">
        <v>35</v>
      </c>
      <c r="O1336" s="2" t="s">
        <v>312</v>
      </c>
      <c r="P1336" s="2" t="s">
        <v>36</v>
      </c>
    </row>
    <row r="1337" ht="14.25" customHeight="1">
      <c r="A1337" s="6">
        <v>1.2132537E7</v>
      </c>
      <c r="B1337" s="2" t="s">
        <v>4934</v>
      </c>
      <c r="C1337" s="2" t="s">
        <v>107</v>
      </c>
      <c r="D1337" s="2" t="s">
        <v>88</v>
      </c>
      <c r="E1337" s="2" t="s">
        <v>4935</v>
      </c>
      <c r="F1337" s="2" t="s">
        <v>4936</v>
      </c>
      <c r="G1337" s="2" t="s">
        <v>4937</v>
      </c>
      <c r="H1337" s="2" t="s">
        <v>4938</v>
      </c>
      <c r="I1337" s="2" t="s">
        <v>295</v>
      </c>
      <c r="J1337" s="2" t="s">
        <v>296</v>
      </c>
      <c r="K1337" s="2" t="s">
        <v>113</v>
      </c>
      <c r="L1337" s="7">
        <v>40513.0</v>
      </c>
      <c r="M1337" s="2" t="s">
        <v>154</v>
      </c>
      <c r="N1337" s="2" t="s">
        <v>216</v>
      </c>
      <c r="O1337" s="2" t="s">
        <v>116</v>
      </c>
      <c r="P1337" s="2" t="s">
        <v>36</v>
      </c>
    </row>
    <row r="1338" ht="14.25" customHeight="1">
      <c r="A1338" s="6">
        <v>1.0659901E7</v>
      </c>
      <c r="B1338" s="2" t="s">
        <v>4939</v>
      </c>
      <c r="C1338" s="2" t="s">
        <v>107</v>
      </c>
      <c r="D1338" s="2" t="s">
        <v>88</v>
      </c>
      <c r="E1338" s="2" t="s">
        <v>4940</v>
      </c>
      <c r="F1338" s="2" t="s">
        <v>4941</v>
      </c>
      <c r="G1338" s="2" t="s">
        <v>4942</v>
      </c>
      <c r="H1338" s="2" t="s">
        <v>4943</v>
      </c>
      <c r="I1338" s="2" t="s">
        <v>295</v>
      </c>
      <c r="J1338" s="2" t="s">
        <v>296</v>
      </c>
      <c r="K1338" s="2" t="s">
        <v>113</v>
      </c>
      <c r="L1338" s="7">
        <v>43157.0</v>
      </c>
      <c r="M1338" s="2" t="s">
        <v>154</v>
      </c>
      <c r="N1338" s="2" t="s">
        <v>216</v>
      </c>
      <c r="O1338" s="2" t="s">
        <v>116</v>
      </c>
      <c r="P1338" s="2" t="s">
        <v>36</v>
      </c>
    </row>
    <row r="1339" ht="14.25" customHeight="1">
      <c r="A1339" s="6">
        <v>1.379911E7</v>
      </c>
      <c r="B1339" s="2" t="s">
        <v>4944</v>
      </c>
      <c r="C1339" s="2" t="s">
        <v>17</v>
      </c>
      <c r="D1339" s="2" t="s">
        <v>18</v>
      </c>
      <c r="E1339" s="2" t="s">
        <v>4945</v>
      </c>
      <c r="F1339" s="2" t="s">
        <v>4946</v>
      </c>
      <c r="G1339" s="2" t="s">
        <v>4947</v>
      </c>
      <c r="H1339" s="2" t="s">
        <v>4948</v>
      </c>
      <c r="I1339" s="2" t="s">
        <v>2819</v>
      </c>
      <c r="J1339" s="2" t="s">
        <v>62</v>
      </c>
      <c r="K1339" s="2" t="s">
        <v>113</v>
      </c>
      <c r="L1339" s="7">
        <v>40513.0</v>
      </c>
      <c r="M1339" s="2" t="s">
        <v>25</v>
      </c>
      <c r="N1339" s="2" t="s">
        <v>35</v>
      </c>
      <c r="O1339" s="2" t="s">
        <v>200</v>
      </c>
      <c r="P1339" s="2" t="s">
        <v>36</v>
      </c>
    </row>
    <row r="1340" ht="14.25" customHeight="1">
      <c r="A1340" s="6">
        <v>1.9115013E7</v>
      </c>
      <c r="B1340" s="2" t="s">
        <v>4949</v>
      </c>
      <c r="C1340" s="2" t="s">
        <v>17</v>
      </c>
      <c r="D1340" s="2" t="s">
        <v>18</v>
      </c>
      <c r="E1340" s="2" t="s">
        <v>4950</v>
      </c>
      <c r="F1340" s="2" t="s">
        <v>4951</v>
      </c>
      <c r="G1340" s="2" t="s">
        <v>4952</v>
      </c>
      <c r="H1340" s="2" t="s">
        <v>4953</v>
      </c>
      <c r="I1340" s="2" t="s">
        <v>1063</v>
      </c>
      <c r="J1340" s="2" t="s">
        <v>93</v>
      </c>
      <c r="K1340" s="2" t="s">
        <v>113</v>
      </c>
      <c r="L1340" s="7">
        <v>45453.0</v>
      </c>
      <c r="M1340" s="2" t="s">
        <v>25</v>
      </c>
      <c r="N1340" s="2" t="s">
        <v>35</v>
      </c>
      <c r="O1340" s="2" t="s">
        <v>27</v>
      </c>
      <c r="P1340" s="2" t="s">
        <v>36</v>
      </c>
    </row>
    <row r="1341" ht="14.25" customHeight="1">
      <c r="A1341" s="6">
        <v>1.6348879E7</v>
      </c>
      <c r="B1341" s="2" t="s">
        <v>4954</v>
      </c>
      <c r="C1341" s="2" t="s">
        <v>17</v>
      </c>
      <c r="D1341" s="2" t="s">
        <v>18</v>
      </c>
      <c r="E1341" s="2" t="s">
        <v>4955</v>
      </c>
      <c r="F1341" s="2" t="s">
        <v>4956</v>
      </c>
      <c r="G1341" s="2" t="s">
        <v>4957</v>
      </c>
      <c r="H1341" s="2" t="s">
        <v>4958</v>
      </c>
      <c r="I1341" s="2" t="s">
        <v>622</v>
      </c>
      <c r="J1341" s="2" t="s">
        <v>62</v>
      </c>
      <c r="K1341" s="2" t="s">
        <v>113</v>
      </c>
      <c r="L1341" s="7">
        <v>41609.0</v>
      </c>
      <c r="M1341" s="2" t="s">
        <v>25</v>
      </c>
      <c r="N1341" s="2" t="s">
        <v>35</v>
      </c>
      <c r="O1341" s="2" t="s">
        <v>27</v>
      </c>
      <c r="P1341" s="2" t="s">
        <v>36</v>
      </c>
    </row>
    <row r="1342" ht="14.25" customHeight="1">
      <c r="A1342" s="6">
        <v>9235032.0</v>
      </c>
      <c r="B1342" s="2" t="s">
        <v>4959</v>
      </c>
      <c r="C1342" s="2" t="s">
        <v>17</v>
      </c>
      <c r="D1342" s="2" t="s">
        <v>18</v>
      </c>
      <c r="E1342" s="2" t="s">
        <v>4960</v>
      </c>
      <c r="F1342" s="2" t="s">
        <v>4961</v>
      </c>
      <c r="G1342" s="2" t="s">
        <v>4962</v>
      </c>
      <c r="H1342" s="2" t="s">
        <v>4958</v>
      </c>
      <c r="I1342" s="2" t="s">
        <v>149</v>
      </c>
      <c r="J1342" s="2" t="s">
        <v>62</v>
      </c>
      <c r="K1342" s="2" t="s">
        <v>113</v>
      </c>
      <c r="L1342" s="7">
        <v>40513.0</v>
      </c>
      <c r="M1342" s="2" t="s">
        <v>25</v>
      </c>
      <c r="N1342" s="2" t="s">
        <v>35</v>
      </c>
      <c r="O1342" s="2" t="s">
        <v>27</v>
      </c>
      <c r="P1342" s="2" t="s">
        <v>36</v>
      </c>
    </row>
    <row r="1343" ht="14.25" customHeight="1">
      <c r="A1343" s="6">
        <v>1.0432599E7</v>
      </c>
      <c r="B1343" s="2" t="s">
        <v>4963</v>
      </c>
      <c r="C1343" s="2" t="s">
        <v>17</v>
      </c>
      <c r="D1343" s="2" t="s">
        <v>18</v>
      </c>
      <c r="E1343" s="2" t="s">
        <v>4964</v>
      </c>
      <c r="F1343" s="2" t="s">
        <v>4965</v>
      </c>
      <c r="G1343" s="2" t="s">
        <v>4966</v>
      </c>
      <c r="H1343" s="2" t="s">
        <v>4967</v>
      </c>
      <c r="I1343" s="2" t="s">
        <v>2572</v>
      </c>
      <c r="J1343" s="2" t="s">
        <v>62</v>
      </c>
      <c r="K1343" s="2" t="s">
        <v>113</v>
      </c>
      <c r="L1343" s="7">
        <v>44781.0</v>
      </c>
      <c r="M1343" s="2" t="s">
        <v>25</v>
      </c>
      <c r="N1343" s="2" t="s">
        <v>35</v>
      </c>
      <c r="O1343" s="2" t="s">
        <v>27</v>
      </c>
      <c r="P1343" s="2" t="s">
        <v>36</v>
      </c>
    </row>
    <row r="1344" ht="14.25" customHeight="1">
      <c r="A1344" s="6">
        <v>1.0164902E7</v>
      </c>
      <c r="B1344" s="2" t="s">
        <v>4968</v>
      </c>
      <c r="C1344" s="2" t="s">
        <v>17</v>
      </c>
      <c r="D1344" s="2" t="s">
        <v>18</v>
      </c>
      <c r="E1344" s="2" t="s">
        <v>4969</v>
      </c>
      <c r="F1344" s="2" t="s">
        <v>4970</v>
      </c>
      <c r="G1344" s="2" t="s">
        <v>4971</v>
      </c>
      <c r="H1344" s="2" t="s">
        <v>4967</v>
      </c>
      <c r="I1344" s="2" t="s">
        <v>2565</v>
      </c>
      <c r="J1344" s="2" t="s">
        <v>62</v>
      </c>
      <c r="K1344" s="2" t="s">
        <v>113</v>
      </c>
      <c r="L1344" s="7">
        <v>40513.0</v>
      </c>
      <c r="M1344" s="2" t="s">
        <v>25</v>
      </c>
      <c r="N1344" s="2" t="s">
        <v>35</v>
      </c>
      <c r="O1344" s="2" t="s">
        <v>27</v>
      </c>
      <c r="P1344" s="2" t="s">
        <v>36</v>
      </c>
    </row>
    <row r="1345" ht="14.25" customHeight="1">
      <c r="A1345" s="6">
        <v>2.7032348E7</v>
      </c>
      <c r="B1345" s="2" t="s">
        <v>4972</v>
      </c>
      <c r="C1345" s="2" t="s">
        <v>17</v>
      </c>
      <c r="D1345" s="2" t="s">
        <v>18</v>
      </c>
      <c r="E1345" s="2" t="s">
        <v>4973</v>
      </c>
      <c r="F1345" s="2" t="s">
        <v>4974</v>
      </c>
      <c r="G1345" s="2" t="s">
        <v>4975</v>
      </c>
      <c r="H1345" s="2" t="s">
        <v>4967</v>
      </c>
      <c r="I1345" s="2" t="s">
        <v>2565</v>
      </c>
      <c r="J1345" s="2" t="s">
        <v>62</v>
      </c>
      <c r="K1345" s="2" t="s">
        <v>113</v>
      </c>
      <c r="L1345" s="7">
        <v>44805.0</v>
      </c>
      <c r="M1345" s="2" t="s">
        <v>25</v>
      </c>
      <c r="N1345" s="2" t="s">
        <v>35</v>
      </c>
      <c r="O1345" s="2" t="s">
        <v>27</v>
      </c>
      <c r="P1345" s="2" t="s">
        <v>36</v>
      </c>
    </row>
    <row r="1346" ht="14.25" customHeight="1">
      <c r="A1346" s="6">
        <v>7127627.0</v>
      </c>
      <c r="B1346" s="2" t="s">
        <v>4976</v>
      </c>
      <c r="C1346" s="2" t="s">
        <v>17</v>
      </c>
      <c r="D1346" s="2" t="s">
        <v>18</v>
      </c>
      <c r="E1346" s="2" t="s">
        <v>4977</v>
      </c>
      <c r="F1346" s="2" t="s">
        <v>4978</v>
      </c>
      <c r="G1346" s="2" t="s">
        <v>4979</v>
      </c>
      <c r="H1346" s="2" t="s">
        <v>4967</v>
      </c>
      <c r="I1346" s="2" t="s">
        <v>622</v>
      </c>
      <c r="J1346" s="2" t="s">
        <v>62</v>
      </c>
      <c r="K1346" s="2" t="s">
        <v>113</v>
      </c>
      <c r="L1346" s="7">
        <v>40513.0</v>
      </c>
      <c r="M1346" s="2" t="s">
        <v>25</v>
      </c>
      <c r="N1346" s="2" t="s">
        <v>35</v>
      </c>
      <c r="O1346" s="2" t="s">
        <v>27</v>
      </c>
      <c r="P1346" s="2" t="s">
        <v>36</v>
      </c>
    </row>
    <row r="1347" ht="14.25" customHeight="1">
      <c r="A1347" s="6">
        <v>9023946.0</v>
      </c>
      <c r="B1347" s="2" t="s">
        <v>4980</v>
      </c>
      <c r="C1347" s="2" t="s">
        <v>17</v>
      </c>
      <c r="D1347" s="2" t="s">
        <v>18</v>
      </c>
      <c r="E1347" s="2" t="s">
        <v>4981</v>
      </c>
      <c r="F1347" s="2" t="s">
        <v>4982</v>
      </c>
      <c r="G1347" s="2" t="s">
        <v>4983</v>
      </c>
      <c r="H1347" s="2" t="s">
        <v>4967</v>
      </c>
      <c r="I1347" s="2" t="s">
        <v>2572</v>
      </c>
      <c r="J1347" s="2" t="s">
        <v>62</v>
      </c>
      <c r="K1347" s="2" t="s">
        <v>113</v>
      </c>
      <c r="L1347" s="7">
        <v>42370.0</v>
      </c>
      <c r="M1347" s="2" t="s">
        <v>25</v>
      </c>
      <c r="N1347" s="2" t="s">
        <v>35</v>
      </c>
      <c r="O1347" s="2" t="s">
        <v>27</v>
      </c>
      <c r="P1347" s="2" t="s">
        <v>36</v>
      </c>
    </row>
    <row r="1348" ht="14.25" customHeight="1">
      <c r="A1348" s="6">
        <v>1.8962169E7</v>
      </c>
      <c r="B1348" s="2" t="s">
        <v>4984</v>
      </c>
      <c r="C1348" s="2" t="s">
        <v>17</v>
      </c>
      <c r="D1348" s="2" t="s">
        <v>18</v>
      </c>
      <c r="E1348" s="2" t="s">
        <v>4985</v>
      </c>
      <c r="F1348" s="2" t="s">
        <v>4986</v>
      </c>
      <c r="G1348" s="2" t="s">
        <v>4987</v>
      </c>
      <c r="H1348" s="2" t="s">
        <v>21</v>
      </c>
      <c r="I1348" s="2" t="s">
        <v>41</v>
      </c>
      <c r="J1348" s="2" t="s">
        <v>23</v>
      </c>
      <c r="K1348" s="2" t="s">
        <v>113</v>
      </c>
      <c r="L1348" s="7">
        <v>44991.0</v>
      </c>
      <c r="M1348" s="2" t="s">
        <v>25</v>
      </c>
      <c r="N1348" s="2" t="s">
        <v>26</v>
      </c>
      <c r="O1348" s="2" t="s">
        <v>76</v>
      </c>
      <c r="P1348" s="2" t="s">
        <v>36</v>
      </c>
    </row>
    <row r="1349" ht="14.25" customHeight="1">
      <c r="A1349" s="6">
        <v>1.8420014E7</v>
      </c>
      <c r="B1349" s="2" t="s">
        <v>4988</v>
      </c>
      <c r="C1349" s="2" t="s">
        <v>17</v>
      </c>
      <c r="D1349" s="2" t="s">
        <v>18</v>
      </c>
      <c r="E1349" s="2" t="s">
        <v>4989</v>
      </c>
      <c r="F1349" s="2" t="s">
        <v>4990</v>
      </c>
      <c r="G1349" s="2" t="s">
        <v>4991</v>
      </c>
      <c r="H1349" s="2" t="s">
        <v>21</v>
      </c>
      <c r="I1349" s="2" t="s">
        <v>22</v>
      </c>
      <c r="J1349" s="2" t="s">
        <v>23</v>
      </c>
      <c r="K1349" s="2" t="s">
        <v>113</v>
      </c>
      <c r="L1349" s="7">
        <v>45280.0</v>
      </c>
      <c r="M1349" s="2" t="s">
        <v>25</v>
      </c>
      <c r="N1349" s="2" t="s">
        <v>26</v>
      </c>
      <c r="O1349" s="2" t="s">
        <v>27</v>
      </c>
      <c r="P1349" s="2" t="s">
        <v>36</v>
      </c>
    </row>
    <row r="1350" ht="14.25" customHeight="1">
      <c r="A1350" s="6">
        <v>1.8135799E7</v>
      </c>
      <c r="B1350" s="2" t="s">
        <v>4992</v>
      </c>
      <c r="C1350" s="2" t="s">
        <v>17</v>
      </c>
      <c r="D1350" s="2" t="s">
        <v>18</v>
      </c>
      <c r="E1350" s="2" t="s">
        <v>4993</v>
      </c>
      <c r="F1350" s="2" t="s">
        <v>4994</v>
      </c>
      <c r="G1350" s="2" t="s">
        <v>4995</v>
      </c>
      <c r="H1350" s="2" t="s">
        <v>21</v>
      </c>
      <c r="I1350" s="2" t="s">
        <v>22</v>
      </c>
      <c r="J1350" s="2" t="s">
        <v>23</v>
      </c>
      <c r="K1350" s="2" t="s">
        <v>113</v>
      </c>
      <c r="L1350" s="7">
        <v>44525.0</v>
      </c>
      <c r="M1350" s="2" t="s">
        <v>25</v>
      </c>
      <c r="N1350" s="2" t="s">
        <v>26</v>
      </c>
      <c r="O1350" s="2" t="s">
        <v>27</v>
      </c>
      <c r="P1350" s="2" t="s">
        <v>36</v>
      </c>
    </row>
    <row r="1351" ht="14.25" customHeight="1">
      <c r="A1351" s="6">
        <v>1.2924312E7</v>
      </c>
      <c r="B1351" s="2" t="s">
        <v>4996</v>
      </c>
      <c r="C1351" s="2" t="s">
        <v>17</v>
      </c>
      <c r="D1351" s="2" t="s">
        <v>88</v>
      </c>
      <c r="E1351" s="2" t="s">
        <v>4997</v>
      </c>
      <c r="F1351" s="2" t="s">
        <v>4998</v>
      </c>
      <c r="G1351" s="2" t="s">
        <v>4999</v>
      </c>
      <c r="H1351" s="2" t="s">
        <v>21</v>
      </c>
      <c r="I1351" s="2" t="s">
        <v>22</v>
      </c>
      <c r="J1351" s="2" t="s">
        <v>23</v>
      </c>
      <c r="K1351" s="2" t="s">
        <v>24</v>
      </c>
      <c r="L1351" s="7">
        <v>45936.0</v>
      </c>
      <c r="M1351" s="2" t="s">
        <v>25</v>
      </c>
      <c r="N1351" s="2" t="s">
        <v>26</v>
      </c>
      <c r="O1351" s="2" t="s">
        <v>27</v>
      </c>
      <c r="P1351" s="2" t="s">
        <v>28</v>
      </c>
    </row>
    <row r="1352" ht="14.25" customHeight="1">
      <c r="A1352" s="6">
        <v>2.0613538E7</v>
      </c>
      <c r="B1352" s="2" t="s">
        <v>5000</v>
      </c>
      <c r="C1352" s="2" t="s">
        <v>17</v>
      </c>
      <c r="D1352" s="2" t="s">
        <v>18</v>
      </c>
      <c r="E1352" s="2" t="s">
        <v>5001</v>
      </c>
      <c r="F1352" s="2" t="s">
        <v>5001</v>
      </c>
      <c r="G1352" s="2" t="s">
        <v>5002</v>
      </c>
      <c r="H1352" s="2" t="s">
        <v>21</v>
      </c>
      <c r="I1352" s="2" t="s">
        <v>41</v>
      </c>
      <c r="J1352" s="2" t="s">
        <v>23</v>
      </c>
      <c r="K1352" s="2" t="s">
        <v>24</v>
      </c>
      <c r="L1352" s="7">
        <v>45943.0</v>
      </c>
      <c r="M1352" s="2" t="s">
        <v>25</v>
      </c>
      <c r="N1352" s="2" t="s">
        <v>26</v>
      </c>
      <c r="O1352" s="2" t="s">
        <v>76</v>
      </c>
      <c r="P1352" s="2" t="s">
        <v>28</v>
      </c>
    </row>
    <row r="1353" ht="14.25" customHeight="1">
      <c r="A1353" s="6">
        <v>9524131.0</v>
      </c>
      <c r="B1353" s="2" t="s">
        <v>5003</v>
      </c>
      <c r="C1353" s="2" t="s">
        <v>17</v>
      </c>
      <c r="D1353" s="2" t="s">
        <v>18</v>
      </c>
      <c r="E1353" s="2" t="s">
        <v>5004</v>
      </c>
      <c r="F1353" s="2" t="s">
        <v>5005</v>
      </c>
      <c r="G1353" s="2" t="s">
        <v>5006</v>
      </c>
      <c r="H1353" s="2" t="s">
        <v>5007</v>
      </c>
      <c r="I1353" s="2" t="s">
        <v>656</v>
      </c>
      <c r="J1353" s="2" t="s">
        <v>185</v>
      </c>
      <c r="K1353" s="2" t="s">
        <v>113</v>
      </c>
      <c r="L1353" s="7">
        <v>40513.0</v>
      </c>
      <c r="M1353" s="2" t="s">
        <v>25</v>
      </c>
      <c r="N1353" s="2" t="s">
        <v>186</v>
      </c>
      <c r="O1353" s="2" t="s">
        <v>27</v>
      </c>
      <c r="P1353" s="2" t="s">
        <v>36</v>
      </c>
    </row>
    <row r="1354" ht="14.25" customHeight="1">
      <c r="A1354" s="6">
        <v>1.3824567E7</v>
      </c>
      <c r="B1354" s="2" t="s">
        <v>5008</v>
      </c>
      <c r="C1354" s="2" t="s">
        <v>17</v>
      </c>
      <c r="D1354" s="2" t="s">
        <v>18</v>
      </c>
      <c r="E1354" s="2" t="s">
        <v>5009</v>
      </c>
      <c r="F1354" s="2" t="s">
        <v>5010</v>
      </c>
      <c r="G1354" s="2" t="s">
        <v>5011</v>
      </c>
      <c r="H1354" s="2" t="s">
        <v>5012</v>
      </c>
      <c r="I1354" s="2" t="s">
        <v>1187</v>
      </c>
      <c r="J1354" s="2" t="s">
        <v>34</v>
      </c>
      <c r="K1354" s="2" t="s">
        <v>113</v>
      </c>
      <c r="L1354" s="7">
        <v>44410.0</v>
      </c>
      <c r="M1354" s="2" t="s">
        <v>25</v>
      </c>
      <c r="N1354" s="2" t="s">
        <v>35</v>
      </c>
      <c r="O1354" s="2" t="s">
        <v>27</v>
      </c>
      <c r="P1354" s="2" t="s">
        <v>36</v>
      </c>
    </row>
    <row r="1355" ht="14.25" customHeight="1">
      <c r="A1355" s="6">
        <v>9223901.0</v>
      </c>
      <c r="B1355" s="2" t="s">
        <v>5013</v>
      </c>
      <c r="C1355" s="2" t="s">
        <v>17</v>
      </c>
      <c r="D1355" s="2" t="s">
        <v>18</v>
      </c>
      <c r="E1355" s="2" t="s">
        <v>5014</v>
      </c>
      <c r="F1355" s="2" t="s">
        <v>5015</v>
      </c>
      <c r="G1355" s="2" t="s">
        <v>5016</v>
      </c>
      <c r="H1355" s="2" t="s">
        <v>5017</v>
      </c>
      <c r="I1355" s="2" t="s">
        <v>1063</v>
      </c>
      <c r="J1355" s="2" t="s">
        <v>93</v>
      </c>
      <c r="K1355" s="2" t="s">
        <v>113</v>
      </c>
      <c r="L1355" s="7">
        <v>40513.0</v>
      </c>
      <c r="M1355" s="2" t="s">
        <v>25</v>
      </c>
      <c r="N1355" s="2" t="s">
        <v>35</v>
      </c>
      <c r="O1355" s="2" t="s">
        <v>27</v>
      </c>
      <c r="P1355" s="2" t="s">
        <v>36</v>
      </c>
    </row>
    <row r="1356" ht="14.25" customHeight="1">
      <c r="A1356" s="6">
        <v>1.3899807E7</v>
      </c>
      <c r="B1356" s="2" t="s">
        <v>5018</v>
      </c>
      <c r="C1356" s="2" t="s">
        <v>17</v>
      </c>
      <c r="D1356" s="2" t="s">
        <v>18</v>
      </c>
      <c r="E1356" s="2" t="s">
        <v>5019</v>
      </c>
      <c r="F1356" s="2" t="s">
        <v>5020</v>
      </c>
      <c r="G1356" s="2" t="s">
        <v>5021</v>
      </c>
      <c r="H1356" s="2" t="s">
        <v>5017</v>
      </c>
      <c r="I1356" s="2" t="s">
        <v>1063</v>
      </c>
      <c r="J1356" s="2" t="s">
        <v>93</v>
      </c>
      <c r="K1356" s="2" t="s">
        <v>113</v>
      </c>
      <c r="L1356" s="7">
        <v>42723.0</v>
      </c>
      <c r="M1356" s="2" t="s">
        <v>25</v>
      </c>
      <c r="N1356" s="2" t="s">
        <v>35</v>
      </c>
      <c r="O1356" s="2" t="s">
        <v>27</v>
      </c>
      <c r="P1356" s="2" t="s">
        <v>36</v>
      </c>
    </row>
    <row r="1357" ht="14.25" customHeight="1">
      <c r="A1357" s="6">
        <v>9081691.0</v>
      </c>
      <c r="B1357" s="2" t="s">
        <v>5022</v>
      </c>
      <c r="C1357" s="2" t="s">
        <v>17</v>
      </c>
      <c r="D1357" s="2" t="s">
        <v>18</v>
      </c>
      <c r="E1357" s="2" t="s">
        <v>5023</v>
      </c>
      <c r="G1357" s="2" t="s">
        <v>5024</v>
      </c>
      <c r="H1357" s="2" t="s">
        <v>5017</v>
      </c>
      <c r="I1357" s="2" t="s">
        <v>1063</v>
      </c>
      <c r="J1357" s="2" t="s">
        <v>93</v>
      </c>
      <c r="K1357" s="2" t="s">
        <v>113</v>
      </c>
      <c r="L1357" s="7">
        <v>40513.0</v>
      </c>
      <c r="M1357" s="2" t="s">
        <v>25</v>
      </c>
      <c r="N1357" s="2" t="s">
        <v>35</v>
      </c>
      <c r="O1357" s="2" t="s">
        <v>27</v>
      </c>
      <c r="P1357" s="2" t="s">
        <v>36</v>
      </c>
    </row>
    <row r="1358" ht="14.25" customHeight="1">
      <c r="A1358" s="6">
        <v>1.421224E7</v>
      </c>
      <c r="B1358" s="2" t="s">
        <v>5025</v>
      </c>
      <c r="C1358" s="2" t="s">
        <v>17</v>
      </c>
      <c r="D1358" s="2" t="s">
        <v>18</v>
      </c>
      <c r="E1358" s="2" t="s">
        <v>5026</v>
      </c>
      <c r="F1358" s="2" t="s">
        <v>5027</v>
      </c>
      <c r="G1358" s="2" t="s">
        <v>5028</v>
      </c>
      <c r="H1358" s="2" t="s">
        <v>5017</v>
      </c>
      <c r="I1358" s="2" t="s">
        <v>1063</v>
      </c>
      <c r="J1358" s="2" t="s">
        <v>93</v>
      </c>
      <c r="K1358" s="2" t="s">
        <v>113</v>
      </c>
      <c r="L1358" s="7">
        <v>42887.0</v>
      </c>
      <c r="M1358" s="2" t="s">
        <v>25</v>
      </c>
      <c r="N1358" s="2" t="s">
        <v>35</v>
      </c>
      <c r="O1358" s="2" t="s">
        <v>27</v>
      </c>
      <c r="P1358" s="2" t="s">
        <v>36</v>
      </c>
    </row>
    <row r="1359" ht="14.25" customHeight="1">
      <c r="A1359" s="6">
        <v>1.7225677E7</v>
      </c>
      <c r="B1359" s="2" t="s">
        <v>5029</v>
      </c>
      <c r="C1359" s="2" t="s">
        <v>17</v>
      </c>
      <c r="D1359" s="2" t="s">
        <v>18</v>
      </c>
      <c r="E1359" s="2" t="s">
        <v>5030</v>
      </c>
      <c r="F1359" s="2" t="s">
        <v>5031</v>
      </c>
      <c r="G1359" s="2" t="s">
        <v>5032</v>
      </c>
      <c r="H1359" s="2" t="s">
        <v>5033</v>
      </c>
      <c r="I1359" s="2" t="s">
        <v>295</v>
      </c>
      <c r="J1359" s="2" t="s">
        <v>296</v>
      </c>
      <c r="K1359" s="2" t="s">
        <v>113</v>
      </c>
      <c r="L1359" s="7">
        <v>43045.0</v>
      </c>
      <c r="M1359" s="2" t="s">
        <v>116</v>
      </c>
      <c r="N1359" s="2" t="s">
        <v>216</v>
      </c>
      <c r="O1359" s="2" t="s">
        <v>116</v>
      </c>
      <c r="P1359" s="2" t="s">
        <v>36</v>
      </c>
    </row>
    <row r="1360" ht="14.25" customHeight="1">
      <c r="A1360" s="6">
        <v>2.6697795E7</v>
      </c>
      <c r="B1360" s="2" t="s">
        <v>5034</v>
      </c>
      <c r="C1360" s="2" t="s">
        <v>17</v>
      </c>
      <c r="D1360" s="2" t="s">
        <v>18</v>
      </c>
      <c r="E1360" s="2" t="s">
        <v>5035</v>
      </c>
      <c r="F1360" s="2" t="s">
        <v>5036</v>
      </c>
      <c r="G1360" s="2" t="s">
        <v>5037</v>
      </c>
      <c r="H1360" s="2" t="s">
        <v>5038</v>
      </c>
      <c r="I1360" s="2" t="s">
        <v>5039</v>
      </c>
      <c r="J1360" s="2" t="s">
        <v>420</v>
      </c>
      <c r="K1360" s="2" t="s">
        <v>113</v>
      </c>
      <c r="L1360" s="7">
        <v>45413.0</v>
      </c>
      <c r="M1360" s="2" t="s">
        <v>116</v>
      </c>
      <c r="N1360" s="2" t="s">
        <v>208</v>
      </c>
      <c r="O1360" s="2" t="s">
        <v>116</v>
      </c>
      <c r="P1360" s="2" t="s">
        <v>36</v>
      </c>
    </row>
    <row r="1361" ht="14.25" customHeight="1">
      <c r="A1361" s="6">
        <v>9797341.0</v>
      </c>
      <c r="B1361" s="2" t="s">
        <v>5040</v>
      </c>
      <c r="C1361" s="2" t="s">
        <v>17</v>
      </c>
      <c r="D1361" s="2" t="s">
        <v>18</v>
      </c>
      <c r="E1361" s="2" t="s">
        <v>5041</v>
      </c>
      <c r="F1361" s="2" t="s">
        <v>5042</v>
      </c>
      <c r="G1361" s="2" t="s">
        <v>5043</v>
      </c>
      <c r="H1361" s="2" t="s">
        <v>5044</v>
      </c>
      <c r="I1361" s="2" t="s">
        <v>5045</v>
      </c>
      <c r="J1361" s="2" t="s">
        <v>207</v>
      </c>
      <c r="K1361" s="2" t="s">
        <v>113</v>
      </c>
      <c r="L1361" s="7">
        <v>44606.0</v>
      </c>
      <c r="M1361" s="2" t="s">
        <v>116</v>
      </c>
      <c r="N1361" s="2" t="s">
        <v>208</v>
      </c>
      <c r="O1361" s="2" t="s">
        <v>116</v>
      </c>
      <c r="P1361" s="2" t="s">
        <v>36</v>
      </c>
    </row>
    <row r="1362" ht="14.25" customHeight="1">
      <c r="A1362" s="6">
        <v>9774216.0</v>
      </c>
      <c r="B1362" s="2" t="s">
        <v>5046</v>
      </c>
      <c r="C1362" s="2" t="s">
        <v>17</v>
      </c>
      <c r="D1362" s="2" t="s">
        <v>18</v>
      </c>
      <c r="E1362" s="2" t="s">
        <v>5047</v>
      </c>
      <c r="F1362" s="2" t="s">
        <v>5047</v>
      </c>
      <c r="G1362" s="2" t="s">
        <v>5048</v>
      </c>
      <c r="H1362" s="2" t="s">
        <v>5049</v>
      </c>
      <c r="I1362" s="2" t="s">
        <v>2529</v>
      </c>
      <c r="J1362" s="2" t="s">
        <v>93</v>
      </c>
      <c r="K1362" s="2" t="s">
        <v>113</v>
      </c>
      <c r="L1362" s="7">
        <v>44200.0</v>
      </c>
      <c r="M1362" s="2" t="s">
        <v>94</v>
      </c>
      <c r="N1362" s="2" t="s">
        <v>35</v>
      </c>
      <c r="O1362" s="2" t="s">
        <v>27</v>
      </c>
      <c r="P1362" s="2" t="s">
        <v>36</v>
      </c>
    </row>
    <row r="1363" ht="14.25" customHeight="1">
      <c r="A1363" s="6">
        <v>1.0591641E7</v>
      </c>
      <c r="B1363" s="2" t="s">
        <v>5050</v>
      </c>
      <c r="C1363" s="2" t="s">
        <v>17</v>
      </c>
      <c r="D1363" s="2" t="s">
        <v>18</v>
      </c>
      <c r="E1363" s="2" t="s">
        <v>5051</v>
      </c>
      <c r="F1363" s="2" t="s">
        <v>5051</v>
      </c>
      <c r="G1363" s="2" t="s">
        <v>5052</v>
      </c>
      <c r="H1363" s="2" t="s">
        <v>5049</v>
      </c>
      <c r="I1363" s="2" t="s">
        <v>178</v>
      </c>
      <c r="J1363" s="2" t="s">
        <v>93</v>
      </c>
      <c r="K1363" s="2" t="s">
        <v>113</v>
      </c>
      <c r="L1363" s="7">
        <v>43812.0</v>
      </c>
      <c r="M1363" s="2" t="s">
        <v>94</v>
      </c>
      <c r="N1363" s="2" t="s">
        <v>35</v>
      </c>
      <c r="O1363" s="2" t="s">
        <v>27</v>
      </c>
      <c r="P1363" s="2" t="s">
        <v>36</v>
      </c>
    </row>
    <row r="1364" ht="14.25" customHeight="1">
      <c r="A1364" s="6">
        <v>1.6999609E7</v>
      </c>
      <c r="B1364" s="2" t="s">
        <v>5053</v>
      </c>
      <c r="C1364" s="2" t="s">
        <v>17</v>
      </c>
      <c r="D1364" s="2" t="s">
        <v>18</v>
      </c>
      <c r="E1364" s="2" t="s">
        <v>5054</v>
      </c>
      <c r="F1364" s="2" t="s">
        <v>5054</v>
      </c>
      <c r="G1364" s="2" t="s">
        <v>5055</v>
      </c>
      <c r="H1364" s="2" t="s">
        <v>5049</v>
      </c>
      <c r="I1364" s="2" t="s">
        <v>898</v>
      </c>
      <c r="J1364" s="2" t="s">
        <v>93</v>
      </c>
      <c r="K1364" s="2" t="s">
        <v>113</v>
      </c>
      <c r="L1364" s="7">
        <v>44200.0</v>
      </c>
      <c r="M1364" s="2" t="s">
        <v>94</v>
      </c>
      <c r="N1364" s="2" t="s">
        <v>35</v>
      </c>
      <c r="O1364" s="2" t="s">
        <v>27</v>
      </c>
      <c r="P1364" s="2" t="s">
        <v>36</v>
      </c>
    </row>
    <row r="1365" ht="14.25" customHeight="1">
      <c r="A1365" s="6">
        <v>7346296.0</v>
      </c>
      <c r="B1365" s="2" t="s">
        <v>5056</v>
      </c>
      <c r="C1365" s="2" t="s">
        <v>17</v>
      </c>
      <c r="D1365" s="2" t="s">
        <v>18</v>
      </c>
      <c r="G1365" s="2" t="s">
        <v>5057</v>
      </c>
      <c r="H1365" s="2" t="s">
        <v>5049</v>
      </c>
      <c r="I1365" s="2" t="s">
        <v>92</v>
      </c>
      <c r="J1365" s="2" t="s">
        <v>93</v>
      </c>
      <c r="K1365" s="2" t="s">
        <v>113</v>
      </c>
      <c r="L1365" s="7">
        <v>40513.0</v>
      </c>
      <c r="M1365" s="2" t="s">
        <v>94</v>
      </c>
      <c r="N1365" s="2" t="s">
        <v>35</v>
      </c>
      <c r="O1365" s="2" t="s">
        <v>27</v>
      </c>
      <c r="P1365" s="2" t="s">
        <v>36</v>
      </c>
    </row>
    <row r="1366" ht="14.25" customHeight="1">
      <c r="A1366" s="6">
        <v>8209270.0</v>
      </c>
      <c r="B1366" s="2" t="s">
        <v>5058</v>
      </c>
      <c r="C1366" s="2" t="s">
        <v>17</v>
      </c>
      <c r="D1366" s="2" t="s">
        <v>18</v>
      </c>
      <c r="E1366" s="2" t="s">
        <v>5059</v>
      </c>
      <c r="F1366" s="2" t="s">
        <v>5059</v>
      </c>
      <c r="G1366" s="2" t="s">
        <v>5060</v>
      </c>
      <c r="H1366" s="2" t="s">
        <v>5049</v>
      </c>
      <c r="I1366" s="2" t="s">
        <v>890</v>
      </c>
      <c r="J1366" s="2" t="s">
        <v>93</v>
      </c>
      <c r="K1366" s="2" t="s">
        <v>113</v>
      </c>
      <c r="L1366" s="7">
        <v>40513.0</v>
      </c>
      <c r="M1366" s="2" t="s">
        <v>94</v>
      </c>
      <c r="N1366" s="2" t="s">
        <v>35</v>
      </c>
      <c r="O1366" s="2" t="s">
        <v>27</v>
      </c>
      <c r="P1366" s="2" t="s">
        <v>36</v>
      </c>
    </row>
    <row r="1367" ht="14.25" customHeight="1">
      <c r="A1367" s="6">
        <v>1.1904476E7</v>
      </c>
      <c r="B1367" s="2" t="s">
        <v>5061</v>
      </c>
      <c r="C1367" s="2" t="s">
        <v>17</v>
      </c>
      <c r="D1367" s="2" t="s">
        <v>18</v>
      </c>
      <c r="E1367" s="2" t="s">
        <v>5062</v>
      </c>
      <c r="F1367" s="2" t="s">
        <v>5062</v>
      </c>
      <c r="G1367" s="2" t="s">
        <v>5063</v>
      </c>
      <c r="H1367" s="2" t="s">
        <v>5049</v>
      </c>
      <c r="I1367" s="2" t="s">
        <v>120</v>
      </c>
      <c r="J1367" s="2" t="s">
        <v>93</v>
      </c>
      <c r="K1367" s="2" t="s">
        <v>113</v>
      </c>
      <c r="L1367" s="7">
        <v>40513.0</v>
      </c>
      <c r="M1367" s="2" t="s">
        <v>94</v>
      </c>
      <c r="N1367" s="2" t="s">
        <v>35</v>
      </c>
      <c r="O1367" s="2" t="s">
        <v>27</v>
      </c>
      <c r="P1367" s="2" t="s">
        <v>36</v>
      </c>
    </row>
    <row r="1368" ht="14.25" customHeight="1">
      <c r="A1368" s="6">
        <v>7769901.0</v>
      </c>
      <c r="B1368" s="2" t="s">
        <v>5064</v>
      </c>
      <c r="C1368" s="2" t="s">
        <v>17</v>
      </c>
      <c r="D1368" s="2" t="s">
        <v>18</v>
      </c>
      <c r="E1368" s="2" t="s">
        <v>5065</v>
      </c>
      <c r="F1368" s="2" t="s">
        <v>5065</v>
      </c>
      <c r="G1368" s="2" t="s">
        <v>5066</v>
      </c>
      <c r="H1368" s="2" t="s">
        <v>5049</v>
      </c>
      <c r="I1368" s="2" t="s">
        <v>92</v>
      </c>
      <c r="J1368" s="2" t="s">
        <v>93</v>
      </c>
      <c r="K1368" s="2" t="s">
        <v>113</v>
      </c>
      <c r="L1368" s="7">
        <v>40513.0</v>
      </c>
      <c r="M1368" s="2" t="s">
        <v>94</v>
      </c>
      <c r="N1368" s="2" t="s">
        <v>35</v>
      </c>
      <c r="O1368" s="2" t="s">
        <v>27</v>
      </c>
      <c r="P1368" s="2" t="s">
        <v>36</v>
      </c>
    </row>
    <row r="1369" ht="14.25" customHeight="1">
      <c r="A1369" s="6">
        <v>1.0376049E7</v>
      </c>
      <c r="B1369" s="2" t="s">
        <v>5067</v>
      </c>
      <c r="C1369" s="2" t="s">
        <v>17</v>
      </c>
      <c r="D1369" s="2" t="s">
        <v>88</v>
      </c>
      <c r="E1369" s="2" t="s">
        <v>5068</v>
      </c>
      <c r="F1369" s="2" t="s">
        <v>5068</v>
      </c>
      <c r="G1369" s="2" t="s">
        <v>5069</v>
      </c>
      <c r="H1369" s="2" t="s">
        <v>5049</v>
      </c>
      <c r="I1369" s="2" t="s">
        <v>898</v>
      </c>
      <c r="J1369" s="2" t="s">
        <v>93</v>
      </c>
      <c r="K1369" s="2" t="s">
        <v>113</v>
      </c>
      <c r="L1369" s="7">
        <v>45562.0</v>
      </c>
      <c r="M1369" s="2" t="s">
        <v>94</v>
      </c>
      <c r="N1369" s="2" t="s">
        <v>35</v>
      </c>
      <c r="O1369" s="2" t="s">
        <v>27</v>
      </c>
      <c r="P1369" s="2" t="s">
        <v>36</v>
      </c>
    </row>
    <row r="1370" ht="14.25" customHeight="1">
      <c r="A1370" s="6">
        <v>8285453.0</v>
      </c>
      <c r="B1370" s="2" t="s">
        <v>5070</v>
      </c>
      <c r="C1370" s="2" t="s">
        <v>17</v>
      </c>
      <c r="D1370" s="2" t="s">
        <v>88</v>
      </c>
      <c r="E1370" s="2" t="s">
        <v>5071</v>
      </c>
      <c r="F1370" s="2" t="s">
        <v>5071</v>
      </c>
      <c r="G1370" s="2" t="s">
        <v>5072</v>
      </c>
      <c r="H1370" s="2" t="s">
        <v>5049</v>
      </c>
      <c r="I1370" s="2" t="s">
        <v>894</v>
      </c>
      <c r="J1370" s="2" t="s">
        <v>93</v>
      </c>
      <c r="K1370" s="2" t="s">
        <v>113</v>
      </c>
      <c r="L1370" s="7">
        <v>45611.0</v>
      </c>
      <c r="M1370" s="2" t="s">
        <v>94</v>
      </c>
      <c r="N1370" s="2" t="s">
        <v>35</v>
      </c>
      <c r="O1370" s="2" t="s">
        <v>27</v>
      </c>
      <c r="P1370" s="2" t="s">
        <v>36</v>
      </c>
    </row>
    <row r="1371" ht="14.25" customHeight="1">
      <c r="A1371" s="6">
        <v>1.1685172E7</v>
      </c>
      <c r="B1371" s="2" t="s">
        <v>5073</v>
      </c>
      <c r="C1371" s="2" t="s">
        <v>17</v>
      </c>
      <c r="D1371" s="2" t="s">
        <v>18</v>
      </c>
      <c r="E1371" s="2" t="s">
        <v>5074</v>
      </c>
      <c r="F1371" s="2" t="s">
        <v>5074</v>
      </c>
      <c r="G1371" s="2" t="s">
        <v>5075</v>
      </c>
      <c r="H1371" s="2" t="s">
        <v>5049</v>
      </c>
      <c r="I1371" s="2" t="s">
        <v>120</v>
      </c>
      <c r="J1371" s="2" t="s">
        <v>93</v>
      </c>
      <c r="K1371" s="2" t="s">
        <v>113</v>
      </c>
      <c r="L1371" s="7">
        <v>42278.0</v>
      </c>
      <c r="M1371" s="2" t="s">
        <v>94</v>
      </c>
      <c r="N1371" s="2" t="s">
        <v>35</v>
      </c>
      <c r="O1371" s="2" t="s">
        <v>27</v>
      </c>
      <c r="P1371" s="2" t="s">
        <v>36</v>
      </c>
    </row>
    <row r="1372" ht="14.25" customHeight="1">
      <c r="A1372" s="6">
        <v>1.5211865E7</v>
      </c>
      <c r="B1372" s="2" t="s">
        <v>5076</v>
      </c>
      <c r="C1372" s="2" t="s">
        <v>17</v>
      </c>
      <c r="D1372" s="2" t="s">
        <v>18</v>
      </c>
      <c r="E1372" s="2" t="s">
        <v>5077</v>
      </c>
      <c r="F1372" s="2" t="s">
        <v>5077</v>
      </c>
      <c r="G1372" s="2" t="s">
        <v>5078</v>
      </c>
      <c r="H1372" s="2" t="s">
        <v>5049</v>
      </c>
      <c r="I1372" s="2" t="s">
        <v>2529</v>
      </c>
      <c r="J1372" s="2" t="s">
        <v>93</v>
      </c>
      <c r="K1372" s="2" t="s">
        <v>113</v>
      </c>
      <c r="L1372" s="7">
        <v>45749.0</v>
      </c>
      <c r="M1372" s="2" t="s">
        <v>94</v>
      </c>
      <c r="N1372" s="2" t="s">
        <v>35</v>
      </c>
      <c r="O1372" s="2" t="s">
        <v>27</v>
      </c>
      <c r="P1372" s="2" t="s">
        <v>36</v>
      </c>
    </row>
    <row r="1373" ht="14.25" customHeight="1">
      <c r="A1373" s="6">
        <v>1.0072688E7</v>
      </c>
      <c r="B1373" s="2" t="s">
        <v>5079</v>
      </c>
      <c r="C1373" s="2" t="s">
        <v>17</v>
      </c>
      <c r="D1373" s="2" t="s">
        <v>18</v>
      </c>
      <c r="E1373" s="2" t="s">
        <v>5080</v>
      </c>
      <c r="F1373" s="2" t="s">
        <v>5080</v>
      </c>
      <c r="G1373" s="2" t="s">
        <v>5081</v>
      </c>
      <c r="H1373" s="2" t="s">
        <v>5049</v>
      </c>
      <c r="I1373" s="2" t="s">
        <v>2529</v>
      </c>
      <c r="J1373" s="2" t="s">
        <v>93</v>
      </c>
      <c r="K1373" s="2" t="s">
        <v>113</v>
      </c>
      <c r="L1373" s="7">
        <v>45603.0</v>
      </c>
      <c r="M1373" s="2" t="s">
        <v>94</v>
      </c>
      <c r="N1373" s="2" t="s">
        <v>35</v>
      </c>
      <c r="O1373" s="2" t="s">
        <v>27</v>
      </c>
      <c r="P1373" s="2" t="s">
        <v>36</v>
      </c>
    </row>
    <row r="1374" ht="14.25" customHeight="1">
      <c r="A1374" s="6">
        <v>1.5175822E7</v>
      </c>
      <c r="B1374" s="2" t="s">
        <v>5082</v>
      </c>
      <c r="C1374" s="2" t="s">
        <v>17</v>
      </c>
      <c r="D1374" s="2" t="s">
        <v>88</v>
      </c>
      <c r="E1374" s="2" t="s">
        <v>5083</v>
      </c>
      <c r="F1374" s="2" t="s">
        <v>5083</v>
      </c>
      <c r="G1374" s="2" t="s">
        <v>5084</v>
      </c>
      <c r="H1374" s="2" t="s">
        <v>5049</v>
      </c>
      <c r="I1374" s="2" t="s">
        <v>2529</v>
      </c>
      <c r="J1374" s="2" t="s">
        <v>93</v>
      </c>
      <c r="K1374" s="2" t="s">
        <v>113</v>
      </c>
      <c r="L1374" s="7">
        <v>45603.0</v>
      </c>
      <c r="M1374" s="2" t="s">
        <v>94</v>
      </c>
      <c r="N1374" s="2" t="s">
        <v>35</v>
      </c>
      <c r="O1374" s="2" t="s">
        <v>27</v>
      </c>
      <c r="P1374" s="2" t="s">
        <v>36</v>
      </c>
    </row>
    <row r="1375" ht="14.25" customHeight="1">
      <c r="A1375" s="6">
        <v>2.0362196E7</v>
      </c>
      <c r="B1375" s="2" t="s">
        <v>5085</v>
      </c>
      <c r="C1375" s="2" t="s">
        <v>17</v>
      </c>
      <c r="D1375" s="2" t="s">
        <v>88</v>
      </c>
      <c r="E1375" s="2" t="s">
        <v>5086</v>
      </c>
      <c r="F1375" s="2" t="s">
        <v>5086</v>
      </c>
      <c r="G1375" s="2" t="s">
        <v>5087</v>
      </c>
      <c r="H1375" s="2" t="s">
        <v>5049</v>
      </c>
      <c r="I1375" s="2" t="s">
        <v>120</v>
      </c>
      <c r="J1375" s="2" t="s">
        <v>93</v>
      </c>
      <c r="K1375" s="2" t="s">
        <v>113</v>
      </c>
      <c r="L1375" s="7">
        <v>45600.0</v>
      </c>
      <c r="M1375" s="2" t="s">
        <v>5088</v>
      </c>
      <c r="N1375" s="2" t="s">
        <v>35</v>
      </c>
      <c r="O1375" s="2" t="s">
        <v>27</v>
      </c>
      <c r="P1375" s="2" t="s">
        <v>36</v>
      </c>
    </row>
    <row r="1376" ht="14.25" customHeight="1">
      <c r="A1376" s="6">
        <v>1.4390883E7</v>
      </c>
      <c r="B1376" s="2" t="s">
        <v>5089</v>
      </c>
      <c r="C1376" s="2" t="s">
        <v>17</v>
      </c>
      <c r="D1376" s="2" t="s">
        <v>88</v>
      </c>
      <c r="E1376" s="2" t="s">
        <v>5090</v>
      </c>
      <c r="F1376" s="2" t="s">
        <v>5090</v>
      </c>
      <c r="G1376" s="2" t="s">
        <v>5091</v>
      </c>
      <c r="H1376" s="2" t="s">
        <v>5049</v>
      </c>
      <c r="I1376" s="2" t="s">
        <v>898</v>
      </c>
      <c r="J1376" s="2" t="s">
        <v>93</v>
      </c>
      <c r="K1376" s="2" t="s">
        <v>113</v>
      </c>
      <c r="L1376" s="7">
        <v>45729.0</v>
      </c>
      <c r="M1376" s="2" t="s">
        <v>94</v>
      </c>
      <c r="N1376" s="2" t="s">
        <v>35</v>
      </c>
      <c r="O1376" s="2" t="s">
        <v>27</v>
      </c>
      <c r="P1376" s="2" t="s">
        <v>36</v>
      </c>
    </row>
    <row r="1377" ht="14.25" customHeight="1">
      <c r="A1377" s="6">
        <v>1.3795759E7</v>
      </c>
      <c r="B1377" s="2" t="s">
        <v>5092</v>
      </c>
      <c r="C1377" s="2" t="s">
        <v>17</v>
      </c>
      <c r="D1377" s="2" t="s">
        <v>88</v>
      </c>
      <c r="E1377" s="2" t="s">
        <v>5093</v>
      </c>
      <c r="F1377" s="2" t="s">
        <v>5093</v>
      </c>
      <c r="G1377" s="2" t="s">
        <v>5094</v>
      </c>
      <c r="H1377" s="2" t="s">
        <v>5049</v>
      </c>
      <c r="I1377" s="2" t="s">
        <v>890</v>
      </c>
      <c r="J1377" s="2" t="s">
        <v>93</v>
      </c>
      <c r="K1377" s="2" t="s">
        <v>113</v>
      </c>
      <c r="L1377" s="7">
        <v>45600.0</v>
      </c>
      <c r="M1377" s="2" t="s">
        <v>94</v>
      </c>
      <c r="N1377" s="2" t="s">
        <v>35</v>
      </c>
      <c r="O1377" s="2" t="s">
        <v>27</v>
      </c>
      <c r="P1377" s="2" t="s">
        <v>36</v>
      </c>
    </row>
    <row r="1378" ht="14.25" customHeight="1">
      <c r="A1378" s="6">
        <v>1.8746296E7</v>
      </c>
      <c r="B1378" s="2" t="s">
        <v>5095</v>
      </c>
      <c r="C1378" s="2" t="s">
        <v>17</v>
      </c>
      <c r="D1378" s="2" t="s">
        <v>18</v>
      </c>
      <c r="E1378" s="2" t="s">
        <v>5096</v>
      </c>
      <c r="F1378" s="2" t="s">
        <v>5096</v>
      </c>
      <c r="G1378" s="2" t="s">
        <v>5097</v>
      </c>
      <c r="H1378" s="2" t="s">
        <v>5049</v>
      </c>
      <c r="I1378" s="2" t="s">
        <v>178</v>
      </c>
      <c r="J1378" s="2" t="s">
        <v>93</v>
      </c>
      <c r="K1378" s="2" t="s">
        <v>113</v>
      </c>
      <c r="L1378" s="7">
        <v>45628.0</v>
      </c>
      <c r="M1378" s="2" t="s">
        <v>94</v>
      </c>
      <c r="N1378" s="2" t="s">
        <v>35</v>
      </c>
      <c r="O1378" s="2" t="s">
        <v>27</v>
      </c>
      <c r="P1378" s="2" t="s">
        <v>36</v>
      </c>
    </row>
    <row r="1379" ht="14.25" customHeight="1">
      <c r="A1379" s="6">
        <v>1.9108374E7</v>
      </c>
      <c r="B1379" s="2" t="s">
        <v>5098</v>
      </c>
      <c r="C1379" s="2" t="s">
        <v>17</v>
      </c>
      <c r="D1379" s="2" t="s">
        <v>88</v>
      </c>
      <c r="E1379" s="2" t="s">
        <v>5099</v>
      </c>
      <c r="F1379" s="2" t="s">
        <v>5099</v>
      </c>
      <c r="G1379" s="2" t="s">
        <v>5100</v>
      </c>
      <c r="H1379" s="2" t="s">
        <v>5049</v>
      </c>
      <c r="I1379" s="2" t="s">
        <v>890</v>
      </c>
      <c r="J1379" s="2" t="s">
        <v>93</v>
      </c>
      <c r="K1379" s="2" t="s">
        <v>113</v>
      </c>
      <c r="L1379" s="7">
        <v>45851.0</v>
      </c>
      <c r="M1379" s="2" t="s">
        <v>94</v>
      </c>
      <c r="N1379" s="2" t="s">
        <v>35</v>
      </c>
      <c r="O1379" s="2" t="s">
        <v>27</v>
      </c>
      <c r="P1379" s="2" t="s">
        <v>36</v>
      </c>
    </row>
    <row r="1380" ht="14.25" customHeight="1">
      <c r="A1380" s="6">
        <v>1.3132449E7</v>
      </c>
      <c r="B1380" s="2" t="s">
        <v>5101</v>
      </c>
      <c r="C1380" s="2" t="s">
        <v>17</v>
      </c>
      <c r="D1380" s="2" t="s">
        <v>88</v>
      </c>
      <c r="E1380" s="2" t="s">
        <v>5102</v>
      </c>
      <c r="F1380" s="2" t="s">
        <v>5102</v>
      </c>
      <c r="G1380" s="2" t="s">
        <v>5103</v>
      </c>
      <c r="H1380" s="2" t="s">
        <v>5049</v>
      </c>
      <c r="I1380" s="2" t="s">
        <v>120</v>
      </c>
      <c r="J1380" s="2" t="s">
        <v>93</v>
      </c>
      <c r="K1380" s="2" t="s">
        <v>113</v>
      </c>
      <c r="L1380" s="7">
        <v>45570.0</v>
      </c>
      <c r="M1380" s="2" t="s">
        <v>5088</v>
      </c>
      <c r="N1380" s="2" t="s">
        <v>35</v>
      </c>
      <c r="O1380" s="2" t="s">
        <v>27</v>
      </c>
      <c r="P1380" s="2" t="s">
        <v>36</v>
      </c>
    </row>
    <row r="1381" ht="14.25" customHeight="1">
      <c r="A1381" s="6">
        <v>9233711.0</v>
      </c>
      <c r="B1381" s="2" t="s">
        <v>5104</v>
      </c>
      <c r="C1381" s="2" t="s">
        <v>17</v>
      </c>
      <c r="D1381" s="2" t="s">
        <v>88</v>
      </c>
      <c r="E1381" s="2" t="s">
        <v>5105</v>
      </c>
      <c r="F1381" s="2" t="s">
        <v>5105</v>
      </c>
      <c r="G1381" s="2" t="s">
        <v>5106</v>
      </c>
      <c r="H1381" s="2" t="s">
        <v>5049</v>
      </c>
      <c r="I1381" s="2" t="s">
        <v>890</v>
      </c>
      <c r="J1381" s="2" t="s">
        <v>93</v>
      </c>
      <c r="K1381" s="2" t="s">
        <v>113</v>
      </c>
      <c r="L1381" s="7">
        <v>45588.0</v>
      </c>
      <c r="M1381" s="2" t="s">
        <v>94</v>
      </c>
      <c r="N1381" s="2" t="s">
        <v>35</v>
      </c>
      <c r="O1381" s="2" t="s">
        <v>27</v>
      </c>
      <c r="P1381" s="2" t="s">
        <v>36</v>
      </c>
    </row>
    <row r="1382" ht="14.25" customHeight="1">
      <c r="A1382" s="6">
        <v>1.0957792E7</v>
      </c>
      <c r="B1382" s="2" t="s">
        <v>5107</v>
      </c>
      <c r="C1382" s="2" t="s">
        <v>17</v>
      </c>
      <c r="D1382" s="2" t="s">
        <v>88</v>
      </c>
      <c r="E1382" s="2" t="s">
        <v>5108</v>
      </c>
      <c r="F1382" s="2" t="s">
        <v>5108</v>
      </c>
      <c r="G1382" s="2" t="s">
        <v>5109</v>
      </c>
      <c r="H1382" s="2" t="s">
        <v>5049</v>
      </c>
      <c r="I1382" s="2" t="s">
        <v>2529</v>
      </c>
      <c r="J1382" s="2" t="s">
        <v>93</v>
      </c>
      <c r="K1382" s="2" t="s">
        <v>113</v>
      </c>
      <c r="L1382" s="7">
        <v>45612.0</v>
      </c>
      <c r="M1382" s="2" t="s">
        <v>94</v>
      </c>
      <c r="N1382" s="2" t="s">
        <v>35</v>
      </c>
      <c r="O1382" s="2" t="s">
        <v>27</v>
      </c>
      <c r="P1382" s="2" t="s">
        <v>36</v>
      </c>
    </row>
    <row r="1383" ht="14.25" customHeight="1">
      <c r="A1383" s="6">
        <v>1.6842894E7</v>
      </c>
      <c r="B1383" s="2" t="s">
        <v>5110</v>
      </c>
      <c r="C1383" s="2" t="s">
        <v>17</v>
      </c>
      <c r="D1383" s="2" t="s">
        <v>88</v>
      </c>
      <c r="E1383" s="2" t="s">
        <v>5111</v>
      </c>
      <c r="F1383" s="2" t="s">
        <v>5111</v>
      </c>
      <c r="G1383" s="2" t="s">
        <v>5112</v>
      </c>
      <c r="H1383" s="2" t="s">
        <v>5049</v>
      </c>
      <c r="I1383" s="2" t="s">
        <v>178</v>
      </c>
      <c r="J1383" s="2" t="s">
        <v>93</v>
      </c>
      <c r="K1383" s="2" t="s">
        <v>113</v>
      </c>
      <c r="L1383" s="7">
        <v>45604.0</v>
      </c>
      <c r="M1383" s="2" t="s">
        <v>5088</v>
      </c>
      <c r="N1383" s="2" t="s">
        <v>35</v>
      </c>
      <c r="O1383" s="2" t="s">
        <v>27</v>
      </c>
      <c r="P1383" s="2" t="s">
        <v>36</v>
      </c>
    </row>
    <row r="1384" ht="14.25" customHeight="1">
      <c r="A1384" s="6">
        <v>1.6895201E7</v>
      </c>
      <c r="B1384" s="2" t="s">
        <v>5113</v>
      </c>
      <c r="C1384" s="2" t="s">
        <v>17</v>
      </c>
      <c r="D1384" s="2" t="s">
        <v>38</v>
      </c>
      <c r="E1384" s="2" t="s">
        <v>5114</v>
      </c>
      <c r="F1384" s="2" t="s">
        <v>5114</v>
      </c>
      <c r="G1384" s="2" t="s">
        <v>5115</v>
      </c>
      <c r="H1384" s="2" t="s">
        <v>5049</v>
      </c>
      <c r="I1384" s="2" t="s">
        <v>898</v>
      </c>
      <c r="J1384" s="2" t="s">
        <v>93</v>
      </c>
      <c r="K1384" s="2" t="s">
        <v>113</v>
      </c>
      <c r="L1384" s="7">
        <v>45565.0</v>
      </c>
      <c r="M1384" s="2" t="s">
        <v>94</v>
      </c>
      <c r="N1384" s="2" t="s">
        <v>35</v>
      </c>
      <c r="O1384" s="2" t="s">
        <v>27</v>
      </c>
      <c r="P1384" s="2" t="s">
        <v>36</v>
      </c>
    </row>
    <row r="1385" ht="14.25" customHeight="1">
      <c r="A1385" s="6">
        <v>1.5189064E7</v>
      </c>
      <c r="B1385" s="2" t="s">
        <v>5116</v>
      </c>
      <c r="C1385" s="2" t="s">
        <v>17</v>
      </c>
      <c r="D1385" s="2" t="s">
        <v>88</v>
      </c>
      <c r="E1385" s="2" t="s">
        <v>5117</v>
      </c>
      <c r="F1385" s="2" t="s">
        <v>5117</v>
      </c>
      <c r="G1385" s="2" t="s">
        <v>5118</v>
      </c>
      <c r="H1385" s="2" t="s">
        <v>5049</v>
      </c>
      <c r="I1385" s="2" t="s">
        <v>898</v>
      </c>
      <c r="J1385" s="2" t="s">
        <v>93</v>
      </c>
      <c r="K1385" s="2" t="s">
        <v>113</v>
      </c>
      <c r="L1385" s="7">
        <v>45572.0</v>
      </c>
      <c r="M1385" s="2" t="s">
        <v>94</v>
      </c>
      <c r="N1385" s="2" t="s">
        <v>35</v>
      </c>
      <c r="O1385" s="2" t="s">
        <v>27</v>
      </c>
      <c r="P1385" s="2" t="s">
        <v>36</v>
      </c>
    </row>
    <row r="1386" ht="14.25" customHeight="1">
      <c r="A1386" s="6">
        <v>1.0638434E7</v>
      </c>
      <c r="B1386" s="2" t="s">
        <v>5119</v>
      </c>
      <c r="C1386" s="2" t="s">
        <v>17</v>
      </c>
      <c r="D1386" s="2" t="s">
        <v>88</v>
      </c>
      <c r="E1386" s="2" t="s">
        <v>5120</v>
      </c>
      <c r="F1386" s="2" t="s">
        <v>5120</v>
      </c>
      <c r="G1386" s="2" t="s">
        <v>5121</v>
      </c>
      <c r="H1386" s="2" t="s">
        <v>5049</v>
      </c>
      <c r="I1386" s="2" t="s">
        <v>120</v>
      </c>
      <c r="J1386" s="2" t="s">
        <v>93</v>
      </c>
      <c r="K1386" s="2" t="s">
        <v>113</v>
      </c>
      <c r="L1386" s="7">
        <v>45565.0</v>
      </c>
      <c r="M1386" s="2" t="s">
        <v>94</v>
      </c>
      <c r="N1386" s="2" t="s">
        <v>35</v>
      </c>
      <c r="O1386" s="2" t="s">
        <v>27</v>
      </c>
      <c r="P1386" s="2" t="s">
        <v>36</v>
      </c>
    </row>
    <row r="1387" ht="14.25" customHeight="1">
      <c r="A1387" s="6">
        <v>1.3110112E7</v>
      </c>
      <c r="B1387" s="2" t="s">
        <v>5122</v>
      </c>
      <c r="C1387" s="2" t="s">
        <v>17</v>
      </c>
      <c r="D1387" s="2" t="s">
        <v>88</v>
      </c>
      <c r="E1387" s="2" t="s">
        <v>5123</v>
      </c>
      <c r="F1387" s="2" t="s">
        <v>5123</v>
      </c>
      <c r="G1387" s="2" t="s">
        <v>5124</v>
      </c>
      <c r="H1387" s="2" t="s">
        <v>5049</v>
      </c>
      <c r="I1387" s="2" t="s">
        <v>2529</v>
      </c>
      <c r="J1387" s="2" t="s">
        <v>93</v>
      </c>
      <c r="K1387" s="2" t="s">
        <v>113</v>
      </c>
      <c r="L1387" s="7">
        <v>45562.0</v>
      </c>
      <c r="M1387" s="2" t="s">
        <v>94</v>
      </c>
      <c r="N1387" s="2" t="s">
        <v>35</v>
      </c>
      <c r="O1387" s="2" t="s">
        <v>27</v>
      </c>
      <c r="P1387" s="2" t="s">
        <v>36</v>
      </c>
    </row>
    <row r="1388" ht="14.25" customHeight="1">
      <c r="A1388" s="6">
        <v>8568885.0</v>
      </c>
      <c r="B1388" s="2" t="s">
        <v>5125</v>
      </c>
      <c r="C1388" s="2" t="s">
        <v>17</v>
      </c>
      <c r="D1388" s="2" t="s">
        <v>18</v>
      </c>
      <c r="E1388" s="2" t="s">
        <v>5126</v>
      </c>
      <c r="F1388" s="2" t="s">
        <v>5126</v>
      </c>
      <c r="G1388" s="2" t="s">
        <v>5127</v>
      </c>
      <c r="H1388" s="2" t="s">
        <v>5049</v>
      </c>
      <c r="I1388" s="2" t="s">
        <v>898</v>
      </c>
      <c r="J1388" s="2" t="s">
        <v>93</v>
      </c>
      <c r="K1388" s="2" t="s">
        <v>113</v>
      </c>
      <c r="L1388" s="7">
        <v>45736.0</v>
      </c>
      <c r="M1388" s="2" t="s">
        <v>94</v>
      </c>
      <c r="N1388" s="2" t="s">
        <v>35</v>
      </c>
      <c r="O1388" s="2" t="s">
        <v>27</v>
      </c>
      <c r="P1388" s="2" t="s">
        <v>36</v>
      </c>
    </row>
    <row r="1389" ht="14.25" customHeight="1">
      <c r="A1389" s="6">
        <v>1.7573952E7</v>
      </c>
      <c r="B1389" s="2" t="s">
        <v>5128</v>
      </c>
      <c r="C1389" s="2" t="s">
        <v>17</v>
      </c>
      <c r="D1389" s="2" t="s">
        <v>88</v>
      </c>
      <c r="E1389" s="2" t="s">
        <v>5129</v>
      </c>
      <c r="F1389" s="2" t="s">
        <v>5129</v>
      </c>
      <c r="G1389" s="2" t="s">
        <v>5130</v>
      </c>
      <c r="H1389" s="2" t="s">
        <v>5049</v>
      </c>
      <c r="I1389" s="2" t="s">
        <v>92</v>
      </c>
      <c r="J1389" s="2" t="s">
        <v>93</v>
      </c>
      <c r="K1389" s="2" t="s">
        <v>113</v>
      </c>
      <c r="L1389" s="7">
        <v>45618.0</v>
      </c>
      <c r="M1389" s="2" t="s">
        <v>94</v>
      </c>
      <c r="N1389" s="2" t="s">
        <v>35</v>
      </c>
      <c r="O1389" s="2" t="s">
        <v>27</v>
      </c>
      <c r="P1389" s="2" t="s">
        <v>36</v>
      </c>
    </row>
    <row r="1390" ht="14.25" customHeight="1">
      <c r="A1390" s="6">
        <v>1.0018148E7</v>
      </c>
      <c r="B1390" s="2" t="s">
        <v>5131</v>
      </c>
      <c r="C1390" s="2" t="s">
        <v>17</v>
      </c>
      <c r="D1390" s="2" t="s">
        <v>18</v>
      </c>
      <c r="E1390" s="2" t="s">
        <v>5132</v>
      </c>
      <c r="F1390" s="2" t="s">
        <v>5132</v>
      </c>
      <c r="G1390" s="2" t="s">
        <v>5133</v>
      </c>
      <c r="H1390" s="2" t="s">
        <v>5049</v>
      </c>
      <c r="I1390" s="2" t="s">
        <v>890</v>
      </c>
      <c r="J1390" s="2" t="s">
        <v>93</v>
      </c>
      <c r="K1390" s="2" t="s">
        <v>113</v>
      </c>
      <c r="L1390" s="7">
        <v>40513.0</v>
      </c>
      <c r="M1390" s="2" t="s">
        <v>94</v>
      </c>
      <c r="N1390" s="2" t="s">
        <v>35</v>
      </c>
      <c r="O1390" s="2" t="s">
        <v>27</v>
      </c>
      <c r="P1390" s="2" t="s">
        <v>36</v>
      </c>
    </row>
    <row r="1391" ht="14.25" customHeight="1">
      <c r="A1391" s="6">
        <v>1.0078266E7</v>
      </c>
      <c r="B1391" s="2" t="s">
        <v>5134</v>
      </c>
      <c r="C1391" s="2" t="s">
        <v>17</v>
      </c>
      <c r="D1391" s="2" t="s">
        <v>18</v>
      </c>
      <c r="E1391" s="2" t="s">
        <v>5135</v>
      </c>
      <c r="F1391" s="2" t="s">
        <v>5135</v>
      </c>
      <c r="G1391" s="2" t="s">
        <v>5136</v>
      </c>
      <c r="H1391" s="2" t="s">
        <v>5049</v>
      </c>
      <c r="I1391" s="2" t="s">
        <v>120</v>
      </c>
      <c r="J1391" s="2" t="s">
        <v>93</v>
      </c>
      <c r="K1391" s="2" t="s">
        <v>113</v>
      </c>
      <c r="L1391" s="7">
        <v>43812.0</v>
      </c>
      <c r="M1391" s="2" t="s">
        <v>94</v>
      </c>
      <c r="N1391" s="2" t="s">
        <v>35</v>
      </c>
      <c r="O1391" s="2" t="s">
        <v>27</v>
      </c>
      <c r="P1391" s="2" t="s">
        <v>36</v>
      </c>
    </row>
    <row r="1392" ht="14.25" customHeight="1">
      <c r="A1392" s="6">
        <v>1.0155047E7</v>
      </c>
      <c r="B1392" s="2" t="s">
        <v>5137</v>
      </c>
      <c r="C1392" s="2" t="s">
        <v>17</v>
      </c>
      <c r="D1392" s="2" t="s">
        <v>18</v>
      </c>
      <c r="E1392" s="2" t="s">
        <v>5138</v>
      </c>
      <c r="F1392" s="2" t="s">
        <v>5138</v>
      </c>
      <c r="G1392" s="2" t="s">
        <v>5139</v>
      </c>
      <c r="H1392" s="2" t="s">
        <v>5049</v>
      </c>
      <c r="I1392" s="2" t="s">
        <v>898</v>
      </c>
      <c r="J1392" s="2" t="s">
        <v>93</v>
      </c>
      <c r="K1392" s="2" t="s">
        <v>113</v>
      </c>
      <c r="L1392" s="7">
        <v>40513.0</v>
      </c>
      <c r="M1392" s="2" t="s">
        <v>94</v>
      </c>
      <c r="N1392" s="2" t="s">
        <v>35</v>
      </c>
      <c r="O1392" s="2" t="s">
        <v>27</v>
      </c>
      <c r="P1392" s="2" t="s">
        <v>36</v>
      </c>
    </row>
    <row r="1393" ht="14.25" customHeight="1">
      <c r="A1393" s="6">
        <v>1.0278967E7</v>
      </c>
      <c r="B1393" s="2" t="s">
        <v>5140</v>
      </c>
      <c r="C1393" s="2" t="s">
        <v>17</v>
      </c>
      <c r="D1393" s="2" t="s">
        <v>18</v>
      </c>
      <c r="E1393" s="2" t="s">
        <v>5141</v>
      </c>
      <c r="F1393" s="2" t="s">
        <v>5141</v>
      </c>
      <c r="G1393" s="2" t="s">
        <v>5142</v>
      </c>
      <c r="H1393" s="2" t="s">
        <v>5049</v>
      </c>
      <c r="I1393" s="2" t="s">
        <v>92</v>
      </c>
      <c r="J1393" s="2" t="s">
        <v>93</v>
      </c>
      <c r="K1393" s="2" t="s">
        <v>113</v>
      </c>
      <c r="L1393" s="7">
        <v>40513.0</v>
      </c>
      <c r="M1393" s="2" t="s">
        <v>94</v>
      </c>
      <c r="N1393" s="2" t="s">
        <v>35</v>
      </c>
      <c r="O1393" s="2" t="s">
        <v>27</v>
      </c>
      <c r="P1393" s="2" t="s">
        <v>36</v>
      </c>
    </row>
    <row r="1394" ht="14.25" customHeight="1">
      <c r="A1394" s="6">
        <v>1.0285671E7</v>
      </c>
      <c r="B1394" s="2" t="s">
        <v>5143</v>
      </c>
      <c r="C1394" s="2" t="s">
        <v>17</v>
      </c>
      <c r="D1394" s="2" t="s">
        <v>18</v>
      </c>
      <c r="E1394" s="2" t="s">
        <v>5144</v>
      </c>
      <c r="F1394" s="2" t="s">
        <v>5144</v>
      </c>
      <c r="G1394" s="2" t="s">
        <v>5145</v>
      </c>
      <c r="H1394" s="2" t="s">
        <v>5049</v>
      </c>
      <c r="I1394" s="2" t="s">
        <v>894</v>
      </c>
      <c r="J1394" s="2" t="s">
        <v>93</v>
      </c>
      <c r="K1394" s="2" t="s">
        <v>113</v>
      </c>
      <c r="L1394" s="7">
        <v>40513.0</v>
      </c>
      <c r="M1394" s="2" t="s">
        <v>94</v>
      </c>
      <c r="N1394" s="2" t="s">
        <v>35</v>
      </c>
      <c r="O1394" s="2" t="s">
        <v>27</v>
      </c>
      <c r="P1394" s="2" t="s">
        <v>36</v>
      </c>
    </row>
    <row r="1395" ht="14.25" customHeight="1">
      <c r="A1395" s="6">
        <v>1.0595431E7</v>
      </c>
      <c r="B1395" s="2" t="s">
        <v>5146</v>
      </c>
      <c r="C1395" s="2" t="s">
        <v>17</v>
      </c>
      <c r="D1395" s="2" t="s">
        <v>18</v>
      </c>
      <c r="E1395" s="2" t="s">
        <v>5147</v>
      </c>
      <c r="F1395" s="2" t="s">
        <v>5147</v>
      </c>
      <c r="G1395" s="2" t="s">
        <v>5148</v>
      </c>
      <c r="H1395" s="2" t="s">
        <v>5049</v>
      </c>
      <c r="I1395" s="2" t="s">
        <v>894</v>
      </c>
      <c r="J1395" s="2" t="s">
        <v>93</v>
      </c>
      <c r="K1395" s="2" t="s">
        <v>113</v>
      </c>
      <c r="L1395" s="7">
        <v>40513.0</v>
      </c>
      <c r="M1395" s="2" t="s">
        <v>94</v>
      </c>
      <c r="N1395" s="2" t="s">
        <v>35</v>
      </c>
      <c r="O1395" s="2" t="s">
        <v>27</v>
      </c>
      <c r="P1395" s="2" t="s">
        <v>36</v>
      </c>
    </row>
    <row r="1396" ht="14.25" customHeight="1">
      <c r="A1396" s="6">
        <v>1.1149911E7</v>
      </c>
      <c r="B1396" s="2" t="s">
        <v>5149</v>
      </c>
      <c r="C1396" s="2" t="s">
        <v>17</v>
      </c>
      <c r="D1396" s="2" t="s">
        <v>18</v>
      </c>
      <c r="E1396" s="2" t="s">
        <v>5150</v>
      </c>
      <c r="F1396" s="2" t="s">
        <v>5150</v>
      </c>
      <c r="G1396" s="2" t="s">
        <v>5151</v>
      </c>
      <c r="H1396" s="2" t="s">
        <v>5049</v>
      </c>
      <c r="I1396" s="2" t="s">
        <v>890</v>
      </c>
      <c r="J1396" s="2" t="s">
        <v>93</v>
      </c>
      <c r="K1396" s="2" t="s">
        <v>113</v>
      </c>
      <c r="L1396" s="7">
        <v>40513.0</v>
      </c>
      <c r="M1396" s="2" t="s">
        <v>94</v>
      </c>
      <c r="N1396" s="2" t="s">
        <v>35</v>
      </c>
      <c r="O1396" s="2" t="s">
        <v>27</v>
      </c>
      <c r="P1396" s="2" t="s">
        <v>36</v>
      </c>
    </row>
    <row r="1397" ht="14.25" customHeight="1">
      <c r="A1397" s="6">
        <v>1.1493997E7</v>
      </c>
      <c r="B1397" s="2" t="s">
        <v>5152</v>
      </c>
      <c r="C1397" s="2" t="s">
        <v>17</v>
      </c>
      <c r="D1397" s="2" t="s">
        <v>18</v>
      </c>
      <c r="E1397" s="2" t="s">
        <v>5153</v>
      </c>
      <c r="F1397" s="2" t="s">
        <v>5153</v>
      </c>
      <c r="G1397" s="2" t="s">
        <v>5154</v>
      </c>
      <c r="H1397" s="2" t="s">
        <v>5049</v>
      </c>
      <c r="I1397" s="2" t="s">
        <v>92</v>
      </c>
      <c r="J1397" s="2" t="s">
        <v>93</v>
      </c>
      <c r="K1397" s="2" t="s">
        <v>113</v>
      </c>
      <c r="L1397" s="7">
        <v>40513.0</v>
      </c>
      <c r="M1397" s="2" t="s">
        <v>94</v>
      </c>
      <c r="N1397" s="2" t="s">
        <v>35</v>
      </c>
      <c r="O1397" s="2" t="s">
        <v>27</v>
      </c>
      <c r="P1397" s="2" t="s">
        <v>36</v>
      </c>
    </row>
    <row r="1398" ht="14.25" customHeight="1">
      <c r="A1398" s="6">
        <v>1.1537273E7</v>
      </c>
      <c r="B1398" s="2" t="s">
        <v>5155</v>
      </c>
      <c r="C1398" s="2" t="s">
        <v>17</v>
      </c>
      <c r="D1398" s="2" t="s">
        <v>18</v>
      </c>
      <c r="E1398" s="2" t="s">
        <v>5156</v>
      </c>
      <c r="F1398" s="2" t="s">
        <v>5156</v>
      </c>
      <c r="G1398" s="2" t="s">
        <v>5157</v>
      </c>
      <c r="H1398" s="2" t="s">
        <v>5049</v>
      </c>
      <c r="I1398" s="2" t="s">
        <v>178</v>
      </c>
      <c r="J1398" s="2" t="s">
        <v>93</v>
      </c>
      <c r="K1398" s="2" t="s">
        <v>113</v>
      </c>
      <c r="L1398" s="7">
        <v>43812.0</v>
      </c>
      <c r="M1398" s="2" t="s">
        <v>94</v>
      </c>
      <c r="N1398" s="2" t="s">
        <v>35</v>
      </c>
      <c r="O1398" s="2" t="s">
        <v>27</v>
      </c>
      <c r="P1398" s="2" t="s">
        <v>36</v>
      </c>
    </row>
    <row r="1399" ht="14.25" customHeight="1">
      <c r="A1399" s="6">
        <v>1.1537897E7</v>
      </c>
      <c r="B1399" s="2" t="s">
        <v>5158</v>
      </c>
      <c r="C1399" s="2" t="s">
        <v>17</v>
      </c>
      <c r="D1399" s="2" t="s">
        <v>18</v>
      </c>
      <c r="E1399" s="2" t="s">
        <v>5159</v>
      </c>
      <c r="F1399" s="2" t="s">
        <v>5159</v>
      </c>
      <c r="G1399" s="2" t="s">
        <v>5160</v>
      </c>
      <c r="H1399" s="2" t="s">
        <v>5049</v>
      </c>
      <c r="I1399" s="2" t="s">
        <v>178</v>
      </c>
      <c r="J1399" s="2" t="s">
        <v>93</v>
      </c>
      <c r="K1399" s="2" t="s">
        <v>113</v>
      </c>
      <c r="L1399" s="7">
        <v>43812.0</v>
      </c>
      <c r="M1399" s="2" t="s">
        <v>94</v>
      </c>
      <c r="N1399" s="2" t="s">
        <v>35</v>
      </c>
      <c r="O1399" s="2" t="s">
        <v>27</v>
      </c>
      <c r="P1399" s="2" t="s">
        <v>36</v>
      </c>
    </row>
    <row r="1400" ht="14.25" customHeight="1">
      <c r="A1400" s="6">
        <v>1.1985799E7</v>
      </c>
      <c r="B1400" s="2" t="s">
        <v>5161</v>
      </c>
      <c r="C1400" s="2" t="s">
        <v>17</v>
      </c>
      <c r="D1400" s="2" t="s">
        <v>18</v>
      </c>
      <c r="E1400" s="2" t="s">
        <v>5162</v>
      </c>
      <c r="F1400" s="2" t="s">
        <v>5162</v>
      </c>
      <c r="G1400" s="2" t="s">
        <v>5163</v>
      </c>
      <c r="H1400" s="2" t="s">
        <v>5049</v>
      </c>
      <c r="I1400" s="2" t="s">
        <v>92</v>
      </c>
      <c r="J1400" s="2" t="s">
        <v>93</v>
      </c>
      <c r="K1400" s="2" t="s">
        <v>113</v>
      </c>
      <c r="L1400" s="7">
        <v>40513.0</v>
      </c>
      <c r="M1400" s="2" t="s">
        <v>94</v>
      </c>
      <c r="N1400" s="2" t="s">
        <v>35</v>
      </c>
      <c r="O1400" s="2" t="s">
        <v>27</v>
      </c>
      <c r="P1400" s="2" t="s">
        <v>36</v>
      </c>
    </row>
    <row r="1401" ht="14.25" customHeight="1">
      <c r="A1401" s="6">
        <v>1.2043468E7</v>
      </c>
      <c r="B1401" s="2" t="s">
        <v>5164</v>
      </c>
      <c r="C1401" s="2" t="s">
        <v>17</v>
      </c>
      <c r="D1401" s="2" t="s">
        <v>18</v>
      </c>
      <c r="E1401" s="2" t="s">
        <v>5165</v>
      </c>
      <c r="F1401" s="2" t="s">
        <v>5165</v>
      </c>
      <c r="G1401" s="2" t="s">
        <v>5166</v>
      </c>
      <c r="H1401" s="2" t="s">
        <v>5049</v>
      </c>
      <c r="I1401" s="2" t="s">
        <v>890</v>
      </c>
      <c r="J1401" s="2" t="s">
        <v>93</v>
      </c>
      <c r="K1401" s="2" t="s">
        <v>113</v>
      </c>
      <c r="L1401" s="7">
        <v>40513.0</v>
      </c>
      <c r="M1401" s="2" t="s">
        <v>94</v>
      </c>
      <c r="N1401" s="2" t="s">
        <v>35</v>
      </c>
      <c r="O1401" s="2" t="s">
        <v>27</v>
      </c>
      <c r="P1401" s="2" t="s">
        <v>36</v>
      </c>
    </row>
    <row r="1402" ht="14.25" customHeight="1">
      <c r="A1402" s="6">
        <v>1.230014E7</v>
      </c>
      <c r="B1402" s="2" t="s">
        <v>5167</v>
      </c>
      <c r="C1402" s="2" t="s">
        <v>17</v>
      </c>
      <c r="D1402" s="2" t="s">
        <v>18</v>
      </c>
      <c r="E1402" s="2" t="s">
        <v>5168</v>
      </c>
      <c r="F1402" s="2" t="s">
        <v>5168</v>
      </c>
      <c r="G1402" s="2" t="s">
        <v>5169</v>
      </c>
      <c r="H1402" s="2" t="s">
        <v>5049</v>
      </c>
      <c r="I1402" s="2" t="s">
        <v>894</v>
      </c>
      <c r="J1402" s="2" t="s">
        <v>93</v>
      </c>
      <c r="K1402" s="2" t="s">
        <v>113</v>
      </c>
      <c r="L1402" s="7">
        <v>40560.0</v>
      </c>
      <c r="M1402" s="2" t="s">
        <v>94</v>
      </c>
      <c r="N1402" s="2" t="s">
        <v>35</v>
      </c>
      <c r="O1402" s="2" t="s">
        <v>27</v>
      </c>
      <c r="P1402" s="2" t="s">
        <v>36</v>
      </c>
    </row>
    <row r="1403" ht="14.25" customHeight="1">
      <c r="A1403" s="6">
        <v>1.2303341E7</v>
      </c>
      <c r="B1403" s="2" t="s">
        <v>5170</v>
      </c>
      <c r="C1403" s="2" t="s">
        <v>17</v>
      </c>
      <c r="D1403" s="2" t="s">
        <v>18</v>
      </c>
      <c r="E1403" s="2" t="s">
        <v>5171</v>
      </c>
      <c r="F1403" s="2" t="s">
        <v>5171</v>
      </c>
      <c r="G1403" s="2" t="s">
        <v>5172</v>
      </c>
      <c r="H1403" s="2" t="s">
        <v>5049</v>
      </c>
      <c r="I1403" s="2" t="s">
        <v>894</v>
      </c>
      <c r="J1403" s="2" t="s">
        <v>93</v>
      </c>
      <c r="K1403" s="2" t="s">
        <v>113</v>
      </c>
      <c r="L1403" s="7">
        <v>40513.0</v>
      </c>
      <c r="M1403" s="2" t="s">
        <v>94</v>
      </c>
      <c r="N1403" s="2" t="s">
        <v>35</v>
      </c>
      <c r="O1403" s="2" t="s">
        <v>27</v>
      </c>
      <c r="P1403" s="2" t="s">
        <v>36</v>
      </c>
    </row>
    <row r="1404" ht="14.25" customHeight="1">
      <c r="A1404" s="6">
        <v>1.2303349E7</v>
      </c>
      <c r="B1404" s="2" t="s">
        <v>5173</v>
      </c>
      <c r="C1404" s="2" t="s">
        <v>17</v>
      </c>
      <c r="D1404" s="2" t="s">
        <v>18</v>
      </c>
      <c r="E1404" s="2" t="s">
        <v>5174</v>
      </c>
      <c r="F1404" s="2" t="s">
        <v>5174</v>
      </c>
      <c r="G1404" s="2" t="s">
        <v>5175</v>
      </c>
      <c r="H1404" s="2" t="s">
        <v>5049</v>
      </c>
      <c r="I1404" s="2" t="s">
        <v>120</v>
      </c>
      <c r="J1404" s="2" t="s">
        <v>93</v>
      </c>
      <c r="K1404" s="2" t="s">
        <v>113</v>
      </c>
      <c r="L1404" s="7">
        <v>44200.0</v>
      </c>
      <c r="M1404" s="2" t="s">
        <v>94</v>
      </c>
      <c r="N1404" s="2" t="s">
        <v>35</v>
      </c>
      <c r="O1404" s="2" t="s">
        <v>27</v>
      </c>
      <c r="P1404" s="2" t="s">
        <v>36</v>
      </c>
    </row>
    <row r="1405" ht="14.25" customHeight="1">
      <c r="A1405" s="6">
        <v>1.2305986E7</v>
      </c>
      <c r="B1405" s="2" t="s">
        <v>5176</v>
      </c>
      <c r="C1405" s="2" t="s">
        <v>17</v>
      </c>
      <c r="D1405" s="2" t="s">
        <v>18</v>
      </c>
      <c r="E1405" s="2" t="s">
        <v>5177</v>
      </c>
      <c r="F1405" s="2" t="s">
        <v>5177</v>
      </c>
      <c r="G1405" s="2" t="s">
        <v>5178</v>
      </c>
      <c r="H1405" s="2" t="s">
        <v>5049</v>
      </c>
      <c r="I1405" s="2" t="s">
        <v>120</v>
      </c>
      <c r="J1405" s="2" t="s">
        <v>93</v>
      </c>
      <c r="K1405" s="2" t="s">
        <v>113</v>
      </c>
      <c r="L1405" s="7">
        <v>42278.0</v>
      </c>
      <c r="M1405" s="2" t="s">
        <v>94</v>
      </c>
      <c r="N1405" s="2" t="s">
        <v>35</v>
      </c>
      <c r="O1405" s="2" t="s">
        <v>27</v>
      </c>
      <c r="P1405" s="2" t="s">
        <v>36</v>
      </c>
    </row>
    <row r="1406" ht="14.25" customHeight="1">
      <c r="A1406" s="6">
        <v>1.2379401E7</v>
      </c>
      <c r="B1406" s="2" t="s">
        <v>5179</v>
      </c>
      <c r="C1406" s="2" t="s">
        <v>17</v>
      </c>
      <c r="D1406" s="2" t="s">
        <v>18</v>
      </c>
      <c r="E1406" s="2" t="s">
        <v>5180</v>
      </c>
      <c r="F1406" s="2" t="s">
        <v>5180</v>
      </c>
      <c r="G1406" s="2" t="s">
        <v>5181</v>
      </c>
      <c r="H1406" s="2" t="s">
        <v>5049</v>
      </c>
      <c r="I1406" s="2" t="s">
        <v>890</v>
      </c>
      <c r="J1406" s="2" t="s">
        <v>93</v>
      </c>
      <c r="K1406" s="2" t="s">
        <v>113</v>
      </c>
      <c r="L1406" s="7">
        <v>40513.0</v>
      </c>
      <c r="M1406" s="2" t="s">
        <v>94</v>
      </c>
      <c r="N1406" s="2" t="s">
        <v>35</v>
      </c>
      <c r="O1406" s="2" t="s">
        <v>27</v>
      </c>
      <c r="P1406" s="2" t="s">
        <v>36</v>
      </c>
    </row>
    <row r="1407" ht="14.25" customHeight="1">
      <c r="A1407" s="6">
        <v>1.238245E7</v>
      </c>
      <c r="B1407" s="2" t="s">
        <v>5182</v>
      </c>
      <c r="C1407" s="2" t="s">
        <v>17</v>
      </c>
      <c r="D1407" s="2" t="s">
        <v>18</v>
      </c>
      <c r="E1407" s="2" t="s">
        <v>5183</v>
      </c>
      <c r="F1407" s="2" t="s">
        <v>5183</v>
      </c>
      <c r="G1407" s="2" t="s">
        <v>5184</v>
      </c>
      <c r="H1407" s="2" t="s">
        <v>5049</v>
      </c>
      <c r="I1407" s="2" t="s">
        <v>92</v>
      </c>
      <c r="J1407" s="2" t="s">
        <v>93</v>
      </c>
      <c r="K1407" s="2" t="s">
        <v>113</v>
      </c>
      <c r="L1407" s="7">
        <v>40513.0</v>
      </c>
      <c r="M1407" s="2" t="s">
        <v>94</v>
      </c>
      <c r="N1407" s="2" t="s">
        <v>35</v>
      </c>
      <c r="O1407" s="2" t="s">
        <v>27</v>
      </c>
      <c r="P1407" s="2" t="s">
        <v>36</v>
      </c>
    </row>
    <row r="1408" ht="14.25" customHeight="1">
      <c r="A1408" s="6">
        <v>1.2972457E7</v>
      </c>
      <c r="B1408" s="2" t="s">
        <v>5185</v>
      </c>
      <c r="C1408" s="2" t="s">
        <v>17</v>
      </c>
      <c r="D1408" s="2" t="s">
        <v>18</v>
      </c>
      <c r="E1408" s="2" t="s">
        <v>5186</v>
      </c>
      <c r="F1408" s="2" t="s">
        <v>5186</v>
      </c>
      <c r="G1408" s="2" t="s">
        <v>5187</v>
      </c>
      <c r="H1408" s="2" t="s">
        <v>5049</v>
      </c>
      <c r="I1408" s="2" t="s">
        <v>120</v>
      </c>
      <c r="J1408" s="2" t="s">
        <v>93</v>
      </c>
      <c r="K1408" s="2" t="s">
        <v>113</v>
      </c>
      <c r="L1408" s="7">
        <v>40513.0</v>
      </c>
      <c r="M1408" s="2" t="s">
        <v>94</v>
      </c>
      <c r="N1408" s="2" t="s">
        <v>35</v>
      </c>
      <c r="O1408" s="2" t="s">
        <v>27</v>
      </c>
      <c r="P1408" s="2" t="s">
        <v>36</v>
      </c>
    </row>
    <row r="1409" ht="14.25" customHeight="1">
      <c r="A1409" s="6">
        <v>1.3108346E7</v>
      </c>
      <c r="B1409" s="2" t="s">
        <v>5188</v>
      </c>
      <c r="C1409" s="2" t="s">
        <v>17</v>
      </c>
      <c r="D1409" s="2" t="s">
        <v>18</v>
      </c>
      <c r="E1409" s="2" t="s">
        <v>5189</v>
      </c>
      <c r="F1409" s="2" t="s">
        <v>5189</v>
      </c>
      <c r="G1409" s="2" t="s">
        <v>5190</v>
      </c>
      <c r="H1409" s="2" t="s">
        <v>5049</v>
      </c>
      <c r="I1409" s="2" t="s">
        <v>120</v>
      </c>
      <c r="J1409" s="2" t="s">
        <v>93</v>
      </c>
      <c r="K1409" s="2" t="s">
        <v>113</v>
      </c>
      <c r="L1409" s="7">
        <v>43466.0</v>
      </c>
      <c r="M1409" s="2" t="s">
        <v>94</v>
      </c>
      <c r="N1409" s="2" t="s">
        <v>35</v>
      </c>
      <c r="O1409" s="2" t="s">
        <v>27</v>
      </c>
      <c r="P1409" s="2" t="s">
        <v>36</v>
      </c>
    </row>
    <row r="1410" ht="14.25" customHeight="1">
      <c r="A1410" s="6">
        <v>1.3132889E7</v>
      </c>
      <c r="B1410" s="2" t="s">
        <v>5191</v>
      </c>
      <c r="C1410" s="2" t="s">
        <v>17</v>
      </c>
      <c r="D1410" s="2" t="s">
        <v>18</v>
      </c>
      <c r="E1410" s="2" t="s">
        <v>5192</v>
      </c>
      <c r="F1410" s="2" t="s">
        <v>5192</v>
      </c>
      <c r="G1410" s="2" t="s">
        <v>5193</v>
      </c>
      <c r="H1410" s="2" t="s">
        <v>5049</v>
      </c>
      <c r="I1410" s="2" t="s">
        <v>178</v>
      </c>
      <c r="J1410" s="2" t="s">
        <v>93</v>
      </c>
      <c r="K1410" s="2" t="s">
        <v>113</v>
      </c>
      <c r="L1410" s="7">
        <v>44137.0</v>
      </c>
      <c r="M1410" s="2" t="s">
        <v>94</v>
      </c>
      <c r="N1410" s="2" t="s">
        <v>35</v>
      </c>
      <c r="O1410" s="2" t="s">
        <v>27</v>
      </c>
      <c r="P1410" s="2" t="s">
        <v>36</v>
      </c>
    </row>
    <row r="1411" ht="14.25" customHeight="1">
      <c r="A1411" s="6">
        <v>1.3133266E7</v>
      </c>
      <c r="B1411" s="2" t="s">
        <v>5194</v>
      </c>
      <c r="C1411" s="2" t="s">
        <v>17</v>
      </c>
      <c r="D1411" s="2" t="s">
        <v>18</v>
      </c>
      <c r="E1411" s="2" t="s">
        <v>5195</v>
      </c>
      <c r="F1411" s="2" t="s">
        <v>5195</v>
      </c>
      <c r="G1411" s="2" t="s">
        <v>5196</v>
      </c>
      <c r="H1411" s="2" t="s">
        <v>5049</v>
      </c>
      <c r="I1411" s="2" t="s">
        <v>898</v>
      </c>
      <c r="J1411" s="2" t="s">
        <v>93</v>
      </c>
      <c r="K1411" s="2" t="s">
        <v>113</v>
      </c>
      <c r="L1411" s="7">
        <v>44200.0</v>
      </c>
      <c r="M1411" s="2" t="s">
        <v>94</v>
      </c>
      <c r="N1411" s="2" t="s">
        <v>35</v>
      </c>
      <c r="O1411" s="2" t="s">
        <v>27</v>
      </c>
      <c r="P1411" s="2" t="s">
        <v>36</v>
      </c>
    </row>
    <row r="1412" ht="14.25" customHeight="1">
      <c r="A1412" s="6">
        <v>1.4414395E7</v>
      </c>
      <c r="B1412" s="2" t="s">
        <v>5197</v>
      </c>
      <c r="C1412" s="2" t="s">
        <v>17</v>
      </c>
      <c r="D1412" s="2" t="s">
        <v>18</v>
      </c>
      <c r="E1412" s="2" t="s">
        <v>5198</v>
      </c>
      <c r="F1412" s="2" t="s">
        <v>5198</v>
      </c>
      <c r="G1412" s="2" t="s">
        <v>5199</v>
      </c>
      <c r="H1412" s="2" t="s">
        <v>5049</v>
      </c>
      <c r="I1412" s="2" t="s">
        <v>2529</v>
      </c>
      <c r="J1412" s="2" t="s">
        <v>93</v>
      </c>
      <c r="K1412" s="2" t="s">
        <v>113</v>
      </c>
      <c r="L1412" s="7">
        <v>40513.0</v>
      </c>
      <c r="M1412" s="2" t="s">
        <v>94</v>
      </c>
      <c r="N1412" s="2" t="s">
        <v>35</v>
      </c>
      <c r="O1412" s="2" t="s">
        <v>27</v>
      </c>
      <c r="P1412" s="2" t="s">
        <v>36</v>
      </c>
    </row>
    <row r="1413" ht="14.25" customHeight="1">
      <c r="A1413" s="6">
        <v>1.3150924E7</v>
      </c>
      <c r="B1413" s="2" t="s">
        <v>5200</v>
      </c>
      <c r="C1413" s="2" t="s">
        <v>17</v>
      </c>
      <c r="D1413" s="2" t="s">
        <v>18</v>
      </c>
      <c r="E1413" s="2" t="s">
        <v>5201</v>
      </c>
      <c r="F1413" s="2" t="s">
        <v>5201</v>
      </c>
      <c r="G1413" s="2" t="s">
        <v>5202</v>
      </c>
      <c r="H1413" s="2" t="s">
        <v>5049</v>
      </c>
      <c r="I1413" s="2" t="s">
        <v>120</v>
      </c>
      <c r="J1413" s="2" t="s">
        <v>93</v>
      </c>
      <c r="K1413" s="2" t="s">
        <v>113</v>
      </c>
      <c r="L1413" s="7">
        <v>40513.0</v>
      </c>
      <c r="M1413" s="2" t="s">
        <v>94</v>
      </c>
      <c r="N1413" s="2" t="s">
        <v>35</v>
      </c>
      <c r="O1413" s="2" t="s">
        <v>27</v>
      </c>
      <c r="P1413" s="2" t="s">
        <v>36</v>
      </c>
    </row>
    <row r="1414" ht="14.25" customHeight="1">
      <c r="A1414" s="6">
        <v>1.3620071E7</v>
      </c>
      <c r="B1414" s="2" t="s">
        <v>5203</v>
      </c>
      <c r="C1414" s="2" t="s">
        <v>17</v>
      </c>
      <c r="D1414" s="2" t="s">
        <v>18</v>
      </c>
      <c r="E1414" s="2" t="s">
        <v>5204</v>
      </c>
      <c r="F1414" s="2" t="s">
        <v>5204</v>
      </c>
      <c r="G1414" s="2" t="s">
        <v>5205</v>
      </c>
      <c r="H1414" s="2" t="s">
        <v>5049</v>
      </c>
      <c r="I1414" s="2" t="s">
        <v>120</v>
      </c>
      <c r="J1414" s="2" t="s">
        <v>93</v>
      </c>
      <c r="K1414" s="2" t="s">
        <v>113</v>
      </c>
      <c r="L1414" s="7">
        <v>42278.0</v>
      </c>
      <c r="M1414" s="2" t="s">
        <v>94</v>
      </c>
      <c r="N1414" s="2" t="s">
        <v>35</v>
      </c>
      <c r="O1414" s="2" t="s">
        <v>27</v>
      </c>
      <c r="P1414" s="2" t="s">
        <v>36</v>
      </c>
    </row>
    <row r="1415" ht="14.25" customHeight="1">
      <c r="A1415" s="6">
        <v>1.395776E7</v>
      </c>
      <c r="B1415" s="2" t="s">
        <v>5206</v>
      </c>
      <c r="C1415" s="2" t="s">
        <v>17</v>
      </c>
      <c r="D1415" s="2" t="s">
        <v>18</v>
      </c>
      <c r="E1415" s="2" t="s">
        <v>5207</v>
      </c>
      <c r="F1415" s="2" t="s">
        <v>5207</v>
      </c>
      <c r="G1415" s="2" t="s">
        <v>5208</v>
      </c>
      <c r="H1415" s="2" t="s">
        <v>5049</v>
      </c>
      <c r="I1415" s="2" t="s">
        <v>178</v>
      </c>
      <c r="J1415" s="2" t="s">
        <v>93</v>
      </c>
      <c r="K1415" s="2" t="s">
        <v>113</v>
      </c>
      <c r="L1415" s="7">
        <v>43812.0</v>
      </c>
      <c r="M1415" s="2" t="s">
        <v>94</v>
      </c>
      <c r="N1415" s="2" t="s">
        <v>35</v>
      </c>
      <c r="O1415" s="2" t="s">
        <v>27</v>
      </c>
      <c r="P1415" s="2" t="s">
        <v>36</v>
      </c>
    </row>
    <row r="1416" ht="14.25" customHeight="1">
      <c r="A1416" s="6">
        <v>1.439064E7</v>
      </c>
      <c r="B1416" s="2" t="s">
        <v>5209</v>
      </c>
      <c r="C1416" s="2" t="s">
        <v>17</v>
      </c>
      <c r="D1416" s="2" t="s">
        <v>18</v>
      </c>
      <c r="E1416" s="2" t="s">
        <v>5210</v>
      </c>
      <c r="F1416" s="2" t="s">
        <v>5210</v>
      </c>
      <c r="G1416" s="2" t="s">
        <v>5211</v>
      </c>
      <c r="H1416" s="2" t="s">
        <v>5049</v>
      </c>
      <c r="I1416" s="2" t="s">
        <v>894</v>
      </c>
      <c r="J1416" s="2" t="s">
        <v>93</v>
      </c>
      <c r="K1416" s="2" t="s">
        <v>113</v>
      </c>
      <c r="L1416" s="7">
        <v>40513.0</v>
      </c>
      <c r="M1416" s="2" t="s">
        <v>94</v>
      </c>
      <c r="N1416" s="2" t="s">
        <v>35</v>
      </c>
      <c r="O1416" s="2" t="s">
        <v>27</v>
      </c>
      <c r="P1416" s="2" t="s">
        <v>36</v>
      </c>
    </row>
    <row r="1417" ht="14.25" customHeight="1">
      <c r="A1417" s="6">
        <v>1.4435836E7</v>
      </c>
      <c r="B1417" s="2" t="s">
        <v>5212</v>
      </c>
      <c r="C1417" s="2" t="s">
        <v>17</v>
      </c>
      <c r="D1417" s="2" t="s">
        <v>18</v>
      </c>
      <c r="E1417" s="2" t="s">
        <v>5213</v>
      </c>
      <c r="F1417" s="2" t="s">
        <v>5213</v>
      </c>
      <c r="G1417" s="2" t="s">
        <v>5214</v>
      </c>
      <c r="H1417" s="2" t="s">
        <v>5049</v>
      </c>
      <c r="I1417" s="2" t="s">
        <v>120</v>
      </c>
      <c r="J1417" s="2" t="s">
        <v>93</v>
      </c>
      <c r="K1417" s="2" t="s">
        <v>113</v>
      </c>
      <c r="L1417" s="7">
        <v>44106.0</v>
      </c>
      <c r="M1417" s="2" t="s">
        <v>94</v>
      </c>
      <c r="N1417" s="2" t="s">
        <v>35</v>
      </c>
      <c r="O1417" s="2" t="s">
        <v>27</v>
      </c>
      <c r="P1417" s="2" t="s">
        <v>36</v>
      </c>
    </row>
    <row r="1418" ht="14.25" customHeight="1">
      <c r="A1418" s="6">
        <v>1.5647324E7</v>
      </c>
      <c r="B1418" s="2" t="s">
        <v>5215</v>
      </c>
      <c r="C1418" s="2" t="s">
        <v>17</v>
      </c>
      <c r="D1418" s="2" t="s">
        <v>18</v>
      </c>
      <c r="E1418" s="2" t="s">
        <v>5216</v>
      </c>
      <c r="F1418" s="2" t="s">
        <v>5216</v>
      </c>
      <c r="G1418" s="2" t="s">
        <v>5217</v>
      </c>
      <c r="H1418" s="2" t="s">
        <v>5049</v>
      </c>
      <c r="I1418" s="2" t="s">
        <v>178</v>
      </c>
      <c r="J1418" s="2" t="s">
        <v>93</v>
      </c>
      <c r="K1418" s="2" t="s">
        <v>113</v>
      </c>
      <c r="L1418" s="7">
        <v>40513.0</v>
      </c>
      <c r="M1418" s="2" t="s">
        <v>94</v>
      </c>
      <c r="N1418" s="2" t="s">
        <v>35</v>
      </c>
      <c r="O1418" s="2" t="s">
        <v>27</v>
      </c>
      <c r="P1418" s="2" t="s">
        <v>36</v>
      </c>
    </row>
    <row r="1419" ht="14.25" customHeight="1">
      <c r="A1419" s="6">
        <v>1.580905E7</v>
      </c>
      <c r="B1419" s="2" t="s">
        <v>5218</v>
      </c>
      <c r="C1419" s="2" t="s">
        <v>17</v>
      </c>
      <c r="D1419" s="2" t="s">
        <v>18</v>
      </c>
      <c r="E1419" s="2" t="s">
        <v>5219</v>
      </c>
      <c r="F1419" s="2" t="s">
        <v>5219</v>
      </c>
      <c r="G1419" s="2" t="s">
        <v>5220</v>
      </c>
      <c r="H1419" s="2" t="s">
        <v>5049</v>
      </c>
      <c r="I1419" s="2" t="s">
        <v>178</v>
      </c>
      <c r="J1419" s="2" t="s">
        <v>93</v>
      </c>
      <c r="K1419" s="2" t="s">
        <v>113</v>
      </c>
      <c r="L1419" s="7">
        <v>43812.0</v>
      </c>
      <c r="M1419" s="2" t="s">
        <v>94</v>
      </c>
      <c r="N1419" s="2" t="s">
        <v>35</v>
      </c>
      <c r="O1419" s="2" t="s">
        <v>27</v>
      </c>
      <c r="P1419" s="2" t="s">
        <v>36</v>
      </c>
    </row>
    <row r="1420" ht="14.25" customHeight="1">
      <c r="A1420" s="6">
        <v>1.5929158E7</v>
      </c>
      <c r="B1420" s="2" t="s">
        <v>5221</v>
      </c>
      <c r="C1420" s="2" t="s">
        <v>17</v>
      </c>
      <c r="D1420" s="2" t="s">
        <v>18</v>
      </c>
      <c r="E1420" s="2" t="s">
        <v>5222</v>
      </c>
      <c r="F1420" s="2" t="s">
        <v>5222</v>
      </c>
      <c r="G1420" s="2" t="s">
        <v>5223</v>
      </c>
      <c r="H1420" s="2" t="s">
        <v>5049</v>
      </c>
      <c r="I1420" s="2" t="s">
        <v>178</v>
      </c>
      <c r="J1420" s="2" t="s">
        <v>93</v>
      </c>
      <c r="K1420" s="2" t="s">
        <v>113</v>
      </c>
      <c r="L1420" s="7">
        <v>44200.0</v>
      </c>
      <c r="M1420" s="2" t="s">
        <v>94</v>
      </c>
      <c r="N1420" s="2" t="s">
        <v>35</v>
      </c>
      <c r="O1420" s="2" t="s">
        <v>27</v>
      </c>
      <c r="P1420" s="2" t="s">
        <v>36</v>
      </c>
    </row>
    <row r="1421" ht="14.25" customHeight="1">
      <c r="A1421" s="6">
        <v>1.6818004E7</v>
      </c>
      <c r="B1421" s="2" t="s">
        <v>5224</v>
      </c>
      <c r="C1421" s="2" t="s">
        <v>17</v>
      </c>
      <c r="D1421" s="2" t="s">
        <v>88</v>
      </c>
      <c r="E1421" s="2" t="s">
        <v>5225</v>
      </c>
      <c r="F1421" s="2" t="s">
        <v>5225</v>
      </c>
      <c r="G1421" s="2" t="s">
        <v>5226</v>
      </c>
      <c r="H1421" s="2" t="s">
        <v>5049</v>
      </c>
      <c r="I1421" s="2" t="s">
        <v>92</v>
      </c>
      <c r="J1421" s="2" t="s">
        <v>93</v>
      </c>
      <c r="K1421" s="2" t="s">
        <v>113</v>
      </c>
      <c r="L1421" s="7">
        <v>45901.0</v>
      </c>
      <c r="M1421" s="2" t="s">
        <v>94</v>
      </c>
      <c r="N1421" s="2" t="s">
        <v>35</v>
      </c>
      <c r="O1421" s="2" t="s">
        <v>27</v>
      </c>
      <c r="P1421" s="2" t="s">
        <v>36</v>
      </c>
    </row>
    <row r="1422" ht="14.25" customHeight="1">
      <c r="A1422" s="6">
        <v>1.7348912E7</v>
      </c>
      <c r="B1422" s="2" t="s">
        <v>5227</v>
      </c>
      <c r="C1422" s="2" t="s">
        <v>17</v>
      </c>
      <c r="D1422" s="2" t="s">
        <v>18</v>
      </c>
      <c r="E1422" s="2" t="s">
        <v>5228</v>
      </c>
      <c r="F1422" s="2" t="s">
        <v>5228</v>
      </c>
      <c r="G1422" s="2" t="s">
        <v>5229</v>
      </c>
      <c r="H1422" s="2" t="s">
        <v>5049</v>
      </c>
      <c r="I1422" s="2" t="s">
        <v>120</v>
      </c>
      <c r="J1422" s="2" t="s">
        <v>93</v>
      </c>
      <c r="K1422" s="2" t="s">
        <v>113</v>
      </c>
      <c r="L1422" s="7">
        <v>40513.0</v>
      </c>
      <c r="M1422" s="2" t="s">
        <v>94</v>
      </c>
      <c r="N1422" s="2" t="s">
        <v>35</v>
      </c>
      <c r="O1422" s="2" t="s">
        <v>27</v>
      </c>
      <c r="P1422" s="2" t="s">
        <v>36</v>
      </c>
    </row>
    <row r="1423" ht="14.25" customHeight="1">
      <c r="A1423" s="6">
        <v>1.7843068E7</v>
      </c>
      <c r="B1423" s="2" t="s">
        <v>5230</v>
      </c>
      <c r="C1423" s="2" t="s">
        <v>17</v>
      </c>
      <c r="D1423" s="2" t="s">
        <v>18</v>
      </c>
      <c r="E1423" s="2" t="s">
        <v>5231</v>
      </c>
      <c r="F1423" s="2" t="s">
        <v>5231</v>
      </c>
      <c r="G1423" s="2" t="s">
        <v>5232</v>
      </c>
      <c r="H1423" s="2" t="s">
        <v>5049</v>
      </c>
      <c r="I1423" s="2" t="s">
        <v>92</v>
      </c>
      <c r="J1423" s="2" t="s">
        <v>93</v>
      </c>
      <c r="K1423" s="2" t="s">
        <v>113</v>
      </c>
      <c r="L1423" s="7">
        <v>44562.0</v>
      </c>
      <c r="M1423" s="2" t="s">
        <v>94</v>
      </c>
      <c r="N1423" s="2" t="s">
        <v>35</v>
      </c>
      <c r="O1423" s="2" t="s">
        <v>27</v>
      </c>
      <c r="P1423" s="2" t="s">
        <v>36</v>
      </c>
    </row>
    <row r="1424" ht="14.25" customHeight="1">
      <c r="A1424" s="6">
        <v>1.850042E7</v>
      </c>
      <c r="B1424" s="2" t="s">
        <v>5233</v>
      </c>
      <c r="C1424" s="2" t="s">
        <v>17</v>
      </c>
      <c r="D1424" s="2" t="s">
        <v>18</v>
      </c>
      <c r="E1424" s="2" t="s">
        <v>5234</v>
      </c>
      <c r="F1424" s="2" t="s">
        <v>5234</v>
      </c>
      <c r="G1424" s="2" t="s">
        <v>5235</v>
      </c>
      <c r="H1424" s="2" t="s">
        <v>5049</v>
      </c>
      <c r="I1424" s="2" t="s">
        <v>898</v>
      </c>
      <c r="J1424" s="2" t="s">
        <v>93</v>
      </c>
      <c r="K1424" s="2" t="s">
        <v>113</v>
      </c>
      <c r="L1424" s="7">
        <v>44200.0</v>
      </c>
      <c r="M1424" s="2" t="s">
        <v>94</v>
      </c>
      <c r="N1424" s="2" t="s">
        <v>35</v>
      </c>
      <c r="O1424" s="2" t="s">
        <v>27</v>
      </c>
      <c r="P1424" s="2" t="s">
        <v>36</v>
      </c>
    </row>
    <row r="1425" ht="14.25" customHeight="1">
      <c r="A1425" s="6">
        <v>1.957764E7</v>
      </c>
      <c r="B1425" s="2" t="s">
        <v>5236</v>
      </c>
      <c r="C1425" s="2" t="s">
        <v>17</v>
      </c>
      <c r="D1425" s="2" t="s">
        <v>88</v>
      </c>
      <c r="E1425" s="2" t="s">
        <v>5237</v>
      </c>
      <c r="F1425" s="2" t="s">
        <v>5237</v>
      </c>
      <c r="G1425" s="2" t="s">
        <v>5238</v>
      </c>
      <c r="H1425" s="2" t="s">
        <v>5049</v>
      </c>
      <c r="I1425" s="2" t="s">
        <v>894</v>
      </c>
      <c r="J1425" s="2" t="s">
        <v>93</v>
      </c>
      <c r="K1425" s="2" t="s">
        <v>113</v>
      </c>
      <c r="L1425" s="7">
        <v>45611.0</v>
      </c>
      <c r="M1425" s="2" t="s">
        <v>5088</v>
      </c>
      <c r="N1425" s="2" t="s">
        <v>35</v>
      </c>
      <c r="O1425" s="2" t="s">
        <v>27</v>
      </c>
      <c r="P1425" s="2" t="s">
        <v>36</v>
      </c>
    </row>
    <row r="1426" ht="14.25" customHeight="1">
      <c r="A1426" s="6">
        <v>7392217.0</v>
      </c>
      <c r="B1426" s="2" t="s">
        <v>5239</v>
      </c>
      <c r="C1426" s="2" t="s">
        <v>17</v>
      </c>
      <c r="D1426" s="2" t="s">
        <v>18</v>
      </c>
      <c r="E1426" s="2" t="s">
        <v>5240</v>
      </c>
      <c r="F1426" s="2" t="s">
        <v>5240</v>
      </c>
      <c r="G1426" s="2" t="s">
        <v>5241</v>
      </c>
      <c r="H1426" s="2" t="s">
        <v>5049</v>
      </c>
      <c r="I1426" s="2" t="s">
        <v>178</v>
      </c>
      <c r="J1426" s="2" t="s">
        <v>93</v>
      </c>
      <c r="K1426" s="2" t="s">
        <v>113</v>
      </c>
      <c r="L1426" s="7">
        <v>42278.0</v>
      </c>
      <c r="M1426" s="2" t="s">
        <v>94</v>
      </c>
      <c r="N1426" s="2" t="s">
        <v>35</v>
      </c>
      <c r="O1426" s="2" t="s">
        <v>27</v>
      </c>
      <c r="P1426" s="2" t="s">
        <v>36</v>
      </c>
    </row>
    <row r="1427" ht="14.25" customHeight="1">
      <c r="A1427" s="6">
        <v>7885881.0</v>
      </c>
      <c r="B1427" s="2" t="s">
        <v>5242</v>
      </c>
      <c r="C1427" s="2" t="s">
        <v>17</v>
      </c>
      <c r="D1427" s="2" t="s">
        <v>18</v>
      </c>
      <c r="E1427" s="2" t="s">
        <v>5243</v>
      </c>
      <c r="F1427" s="2" t="s">
        <v>5243</v>
      </c>
      <c r="G1427" s="2" t="s">
        <v>5244</v>
      </c>
      <c r="H1427" s="2" t="s">
        <v>5049</v>
      </c>
      <c r="I1427" s="2" t="s">
        <v>890</v>
      </c>
      <c r="J1427" s="2" t="s">
        <v>93</v>
      </c>
      <c r="K1427" s="2" t="s">
        <v>113</v>
      </c>
      <c r="L1427" s="7">
        <v>40513.0</v>
      </c>
      <c r="M1427" s="2" t="s">
        <v>94</v>
      </c>
      <c r="N1427" s="2" t="s">
        <v>35</v>
      </c>
      <c r="O1427" s="2" t="s">
        <v>27</v>
      </c>
      <c r="P1427" s="2" t="s">
        <v>36</v>
      </c>
    </row>
    <row r="1428" ht="14.25" customHeight="1">
      <c r="A1428" s="6">
        <v>7954690.0</v>
      </c>
      <c r="B1428" s="2" t="s">
        <v>5245</v>
      </c>
      <c r="C1428" s="2" t="s">
        <v>17</v>
      </c>
      <c r="D1428" s="2" t="s">
        <v>18</v>
      </c>
      <c r="E1428" s="2" t="s">
        <v>5246</v>
      </c>
      <c r="F1428" s="2" t="s">
        <v>5246</v>
      </c>
      <c r="G1428" s="2" t="s">
        <v>5247</v>
      </c>
      <c r="H1428" s="2" t="s">
        <v>5049</v>
      </c>
      <c r="I1428" s="2" t="s">
        <v>890</v>
      </c>
      <c r="J1428" s="2" t="s">
        <v>93</v>
      </c>
      <c r="K1428" s="2" t="s">
        <v>113</v>
      </c>
      <c r="L1428" s="7">
        <v>40513.0</v>
      </c>
      <c r="M1428" s="2" t="s">
        <v>94</v>
      </c>
      <c r="N1428" s="2" t="s">
        <v>35</v>
      </c>
      <c r="O1428" s="2" t="s">
        <v>27</v>
      </c>
      <c r="P1428" s="2" t="s">
        <v>36</v>
      </c>
    </row>
    <row r="1429" ht="14.25" customHeight="1">
      <c r="A1429" s="6">
        <v>8701346.0</v>
      </c>
      <c r="B1429" s="2" t="s">
        <v>5248</v>
      </c>
      <c r="C1429" s="2" t="s">
        <v>17</v>
      </c>
      <c r="D1429" s="2" t="s">
        <v>18</v>
      </c>
      <c r="E1429" s="2" t="s">
        <v>5249</v>
      </c>
      <c r="F1429" s="2" t="s">
        <v>5249</v>
      </c>
      <c r="G1429" s="2" t="s">
        <v>5250</v>
      </c>
      <c r="H1429" s="2" t="s">
        <v>5049</v>
      </c>
      <c r="I1429" s="2" t="s">
        <v>898</v>
      </c>
      <c r="J1429" s="2" t="s">
        <v>93</v>
      </c>
      <c r="K1429" s="2" t="s">
        <v>113</v>
      </c>
      <c r="L1429" s="7">
        <v>44111.0</v>
      </c>
      <c r="M1429" s="2" t="s">
        <v>94</v>
      </c>
      <c r="N1429" s="2" t="s">
        <v>35</v>
      </c>
      <c r="O1429" s="2" t="s">
        <v>27</v>
      </c>
      <c r="P1429" s="2" t="s">
        <v>36</v>
      </c>
    </row>
    <row r="1430" ht="14.25" customHeight="1">
      <c r="A1430" s="6">
        <v>8788041.0</v>
      </c>
      <c r="B1430" s="2" t="s">
        <v>5251</v>
      </c>
      <c r="C1430" s="2" t="s">
        <v>17</v>
      </c>
      <c r="D1430" s="2" t="s">
        <v>18</v>
      </c>
      <c r="E1430" s="2" t="s">
        <v>5252</v>
      </c>
      <c r="F1430" s="2" t="s">
        <v>5252</v>
      </c>
      <c r="G1430" s="2" t="s">
        <v>5253</v>
      </c>
      <c r="H1430" s="2" t="s">
        <v>5049</v>
      </c>
      <c r="I1430" s="2" t="s">
        <v>178</v>
      </c>
      <c r="J1430" s="2" t="s">
        <v>93</v>
      </c>
      <c r="K1430" s="2" t="s">
        <v>113</v>
      </c>
      <c r="L1430" s="7">
        <v>40513.0</v>
      </c>
      <c r="M1430" s="2" t="s">
        <v>94</v>
      </c>
      <c r="N1430" s="2" t="s">
        <v>35</v>
      </c>
      <c r="O1430" s="2" t="s">
        <v>27</v>
      </c>
      <c r="P1430" s="2" t="s">
        <v>36</v>
      </c>
    </row>
    <row r="1431" ht="14.25" customHeight="1">
      <c r="A1431" s="6">
        <v>8838521.0</v>
      </c>
      <c r="B1431" s="2" t="s">
        <v>5254</v>
      </c>
      <c r="C1431" s="2" t="s">
        <v>17</v>
      </c>
      <c r="D1431" s="2" t="s">
        <v>18</v>
      </c>
      <c r="E1431" s="2" t="s">
        <v>5255</v>
      </c>
      <c r="F1431" s="2" t="s">
        <v>5255</v>
      </c>
      <c r="G1431" s="2" t="s">
        <v>5256</v>
      </c>
      <c r="H1431" s="2" t="s">
        <v>5049</v>
      </c>
      <c r="I1431" s="2" t="s">
        <v>890</v>
      </c>
      <c r="J1431" s="2" t="s">
        <v>93</v>
      </c>
      <c r="K1431" s="2" t="s">
        <v>113</v>
      </c>
      <c r="L1431" s="7">
        <v>40513.0</v>
      </c>
      <c r="M1431" s="2" t="s">
        <v>94</v>
      </c>
      <c r="N1431" s="2" t="s">
        <v>35</v>
      </c>
      <c r="O1431" s="2" t="s">
        <v>27</v>
      </c>
      <c r="P1431" s="2" t="s">
        <v>36</v>
      </c>
    </row>
    <row r="1432" ht="14.25" customHeight="1">
      <c r="A1432" s="6">
        <v>9131791.0</v>
      </c>
      <c r="B1432" s="2" t="s">
        <v>5257</v>
      </c>
      <c r="C1432" s="2" t="s">
        <v>17</v>
      </c>
      <c r="D1432" s="2" t="s">
        <v>18</v>
      </c>
      <c r="E1432" s="2" t="s">
        <v>5258</v>
      </c>
      <c r="F1432" s="2" t="s">
        <v>5258</v>
      </c>
      <c r="G1432" s="2" t="s">
        <v>5259</v>
      </c>
      <c r="H1432" s="2" t="s">
        <v>5049</v>
      </c>
      <c r="I1432" s="2" t="s">
        <v>898</v>
      </c>
      <c r="J1432" s="2" t="s">
        <v>93</v>
      </c>
      <c r="K1432" s="2" t="s">
        <v>113</v>
      </c>
      <c r="L1432" s="7">
        <v>44127.0</v>
      </c>
      <c r="M1432" s="2" t="s">
        <v>94</v>
      </c>
      <c r="N1432" s="2" t="s">
        <v>35</v>
      </c>
      <c r="O1432" s="2" t="s">
        <v>27</v>
      </c>
      <c r="P1432" s="2" t="s">
        <v>36</v>
      </c>
    </row>
    <row r="1433" ht="14.25" customHeight="1">
      <c r="A1433" s="6">
        <v>9229616.0</v>
      </c>
      <c r="B1433" s="2" t="s">
        <v>5260</v>
      </c>
      <c r="C1433" s="2" t="s">
        <v>17</v>
      </c>
      <c r="D1433" s="2" t="s">
        <v>18</v>
      </c>
      <c r="E1433" s="2" t="s">
        <v>5261</v>
      </c>
      <c r="F1433" s="2" t="s">
        <v>5261</v>
      </c>
      <c r="G1433" s="2" t="s">
        <v>5262</v>
      </c>
      <c r="H1433" s="2" t="s">
        <v>5049</v>
      </c>
      <c r="I1433" s="2" t="s">
        <v>894</v>
      </c>
      <c r="J1433" s="2" t="s">
        <v>93</v>
      </c>
      <c r="K1433" s="2" t="s">
        <v>113</v>
      </c>
      <c r="L1433" s="7">
        <v>40513.0</v>
      </c>
      <c r="M1433" s="2" t="s">
        <v>94</v>
      </c>
      <c r="N1433" s="2" t="s">
        <v>35</v>
      </c>
      <c r="O1433" s="2" t="s">
        <v>27</v>
      </c>
      <c r="P1433" s="2" t="s">
        <v>36</v>
      </c>
    </row>
    <row r="1434" ht="14.25" customHeight="1">
      <c r="A1434" s="6">
        <v>9312597.0</v>
      </c>
      <c r="B1434" s="2" t="s">
        <v>5263</v>
      </c>
      <c r="C1434" s="2" t="s">
        <v>17</v>
      </c>
      <c r="D1434" s="2" t="s">
        <v>18</v>
      </c>
      <c r="E1434" s="2" t="s">
        <v>5264</v>
      </c>
      <c r="F1434" s="2" t="s">
        <v>5264</v>
      </c>
      <c r="G1434" s="2" t="s">
        <v>5265</v>
      </c>
      <c r="H1434" s="2" t="s">
        <v>5049</v>
      </c>
      <c r="I1434" s="2" t="s">
        <v>894</v>
      </c>
      <c r="J1434" s="2" t="s">
        <v>93</v>
      </c>
      <c r="K1434" s="2" t="s">
        <v>113</v>
      </c>
      <c r="L1434" s="7">
        <v>40513.0</v>
      </c>
      <c r="M1434" s="2" t="s">
        <v>94</v>
      </c>
      <c r="N1434" s="2" t="s">
        <v>35</v>
      </c>
      <c r="O1434" s="2" t="s">
        <v>27</v>
      </c>
      <c r="P1434" s="2" t="s">
        <v>36</v>
      </c>
    </row>
    <row r="1435" ht="14.25" customHeight="1">
      <c r="A1435" s="6">
        <v>9391260.0</v>
      </c>
      <c r="B1435" s="2" t="s">
        <v>5266</v>
      </c>
      <c r="C1435" s="2" t="s">
        <v>17</v>
      </c>
      <c r="D1435" s="2" t="s">
        <v>18</v>
      </c>
      <c r="E1435" s="2" t="s">
        <v>5267</v>
      </c>
      <c r="F1435" s="2" t="s">
        <v>5267</v>
      </c>
      <c r="G1435" s="2" t="s">
        <v>5268</v>
      </c>
      <c r="H1435" s="2" t="s">
        <v>5049</v>
      </c>
      <c r="I1435" s="2" t="s">
        <v>92</v>
      </c>
      <c r="J1435" s="2" t="s">
        <v>93</v>
      </c>
      <c r="K1435" s="2" t="s">
        <v>113</v>
      </c>
      <c r="L1435" s="7">
        <v>40513.0</v>
      </c>
      <c r="M1435" s="2" t="s">
        <v>94</v>
      </c>
      <c r="N1435" s="2" t="s">
        <v>35</v>
      </c>
      <c r="O1435" s="2" t="s">
        <v>27</v>
      </c>
      <c r="P1435" s="2" t="s">
        <v>36</v>
      </c>
    </row>
    <row r="1436" ht="14.25" customHeight="1">
      <c r="A1436" s="6">
        <v>9415553.0</v>
      </c>
      <c r="B1436" s="2" t="s">
        <v>5269</v>
      </c>
      <c r="C1436" s="2" t="s">
        <v>17</v>
      </c>
      <c r="D1436" s="2" t="s">
        <v>18</v>
      </c>
      <c r="E1436" s="2" t="s">
        <v>5270</v>
      </c>
      <c r="F1436" s="2" t="s">
        <v>5270</v>
      </c>
      <c r="G1436" s="2" t="s">
        <v>5271</v>
      </c>
      <c r="H1436" s="2" t="s">
        <v>5049</v>
      </c>
      <c r="I1436" s="2" t="s">
        <v>890</v>
      </c>
      <c r="J1436" s="2" t="s">
        <v>93</v>
      </c>
      <c r="K1436" s="2" t="s">
        <v>113</v>
      </c>
      <c r="L1436" s="7">
        <v>40513.0</v>
      </c>
      <c r="M1436" s="2" t="s">
        <v>94</v>
      </c>
      <c r="N1436" s="2" t="s">
        <v>35</v>
      </c>
      <c r="O1436" s="2" t="s">
        <v>27</v>
      </c>
      <c r="P1436" s="2" t="s">
        <v>36</v>
      </c>
    </row>
    <row r="1437" ht="14.25" customHeight="1">
      <c r="A1437" s="6">
        <v>9433607.0</v>
      </c>
      <c r="B1437" s="2" t="s">
        <v>5272</v>
      </c>
      <c r="C1437" s="2" t="s">
        <v>17</v>
      </c>
      <c r="D1437" s="2" t="s">
        <v>18</v>
      </c>
      <c r="E1437" s="2" t="s">
        <v>5273</v>
      </c>
      <c r="F1437" s="2" t="s">
        <v>5273</v>
      </c>
      <c r="G1437" s="2" t="s">
        <v>5274</v>
      </c>
      <c r="H1437" s="2" t="s">
        <v>5049</v>
      </c>
      <c r="I1437" s="2" t="s">
        <v>178</v>
      </c>
      <c r="J1437" s="2" t="s">
        <v>93</v>
      </c>
      <c r="K1437" s="2" t="s">
        <v>113</v>
      </c>
      <c r="L1437" s="7">
        <v>40513.0</v>
      </c>
      <c r="M1437" s="2" t="s">
        <v>94</v>
      </c>
      <c r="N1437" s="2" t="s">
        <v>35</v>
      </c>
      <c r="O1437" s="2" t="s">
        <v>27</v>
      </c>
      <c r="P1437" s="2" t="s">
        <v>36</v>
      </c>
    </row>
    <row r="1438" ht="14.25" customHeight="1">
      <c r="A1438" s="6">
        <v>9433749.0</v>
      </c>
      <c r="B1438" s="2" t="s">
        <v>5275</v>
      </c>
      <c r="C1438" s="2" t="s">
        <v>17</v>
      </c>
      <c r="D1438" s="2" t="s">
        <v>18</v>
      </c>
      <c r="E1438" s="2" t="s">
        <v>5276</v>
      </c>
      <c r="F1438" s="2" t="s">
        <v>5276</v>
      </c>
      <c r="G1438" s="2" t="s">
        <v>5277</v>
      </c>
      <c r="H1438" s="2" t="s">
        <v>5049</v>
      </c>
      <c r="I1438" s="2" t="s">
        <v>894</v>
      </c>
      <c r="J1438" s="2" t="s">
        <v>93</v>
      </c>
      <c r="K1438" s="2" t="s">
        <v>113</v>
      </c>
      <c r="L1438" s="7">
        <v>40513.0</v>
      </c>
      <c r="M1438" s="2" t="s">
        <v>94</v>
      </c>
      <c r="N1438" s="2" t="s">
        <v>35</v>
      </c>
      <c r="O1438" s="2" t="s">
        <v>27</v>
      </c>
      <c r="P1438" s="2" t="s">
        <v>36</v>
      </c>
    </row>
    <row r="1439" ht="14.25" customHeight="1">
      <c r="A1439" s="6">
        <v>9513767.0</v>
      </c>
      <c r="B1439" s="2" t="s">
        <v>5278</v>
      </c>
      <c r="C1439" s="2" t="s">
        <v>17</v>
      </c>
      <c r="D1439" s="2" t="s">
        <v>18</v>
      </c>
      <c r="E1439" s="2" t="s">
        <v>5279</v>
      </c>
      <c r="F1439" s="2" t="s">
        <v>5279</v>
      </c>
      <c r="G1439" s="2" t="s">
        <v>5280</v>
      </c>
      <c r="H1439" s="2" t="s">
        <v>5049</v>
      </c>
      <c r="I1439" s="2" t="s">
        <v>92</v>
      </c>
      <c r="J1439" s="2" t="s">
        <v>93</v>
      </c>
      <c r="K1439" s="2" t="s">
        <v>113</v>
      </c>
      <c r="L1439" s="7">
        <v>40513.0</v>
      </c>
      <c r="M1439" s="2" t="s">
        <v>94</v>
      </c>
      <c r="N1439" s="2" t="s">
        <v>35</v>
      </c>
      <c r="O1439" s="2" t="s">
        <v>27</v>
      </c>
      <c r="P1439" s="2" t="s">
        <v>36</v>
      </c>
    </row>
    <row r="1440" ht="14.25" customHeight="1">
      <c r="A1440" s="6">
        <v>9077491.0</v>
      </c>
      <c r="B1440" s="2" t="s">
        <v>5281</v>
      </c>
      <c r="C1440" s="2" t="s">
        <v>17</v>
      </c>
      <c r="D1440" s="2" t="s">
        <v>18</v>
      </c>
      <c r="E1440" s="2" t="s">
        <v>5282</v>
      </c>
      <c r="F1440" s="2" t="s">
        <v>5282</v>
      </c>
      <c r="G1440" s="2" t="s">
        <v>5283</v>
      </c>
      <c r="H1440" s="2" t="s">
        <v>5049</v>
      </c>
      <c r="I1440" s="2" t="s">
        <v>890</v>
      </c>
      <c r="J1440" s="2" t="s">
        <v>93</v>
      </c>
      <c r="K1440" s="2" t="s">
        <v>113</v>
      </c>
      <c r="L1440" s="7">
        <v>40513.0</v>
      </c>
      <c r="M1440" s="2" t="s">
        <v>94</v>
      </c>
      <c r="N1440" s="2" t="s">
        <v>35</v>
      </c>
      <c r="O1440" s="2" t="s">
        <v>27</v>
      </c>
      <c r="P1440" s="2" t="s">
        <v>36</v>
      </c>
    </row>
    <row r="1441" ht="14.25" customHeight="1">
      <c r="A1441" s="6">
        <v>9221485.0</v>
      </c>
      <c r="B1441" s="2" t="s">
        <v>5284</v>
      </c>
      <c r="C1441" s="2" t="s">
        <v>17</v>
      </c>
      <c r="D1441" s="2" t="s">
        <v>18</v>
      </c>
      <c r="E1441" s="2" t="s">
        <v>5285</v>
      </c>
      <c r="F1441" s="2" t="s">
        <v>5285</v>
      </c>
      <c r="G1441" s="2" t="s">
        <v>5286</v>
      </c>
      <c r="H1441" s="2" t="s">
        <v>5049</v>
      </c>
      <c r="I1441" s="2" t="s">
        <v>890</v>
      </c>
      <c r="J1441" s="2" t="s">
        <v>93</v>
      </c>
      <c r="K1441" s="2" t="s">
        <v>113</v>
      </c>
      <c r="L1441" s="7">
        <v>40513.0</v>
      </c>
      <c r="M1441" s="2" t="s">
        <v>94</v>
      </c>
      <c r="N1441" s="2" t="s">
        <v>35</v>
      </c>
      <c r="O1441" s="2" t="s">
        <v>27</v>
      </c>
      <c r="P1441" s="2" t="s">
        <v>36</v>
      </c>
    </row>
    <row r="1442" ht="14.25" customHeight="1">
      <c r="A1442" s="6">
        <v>9723085.0</v>
      </c>
      <c r="B1442" s="2" t="s">
        <v>5287</v>
      </c>
      <c r="C1442" s="2" t="s">
        <v>17</v>
      </c>
      <c r="D1442" s="2" t="s">
        <v>18</v>
      </c>
      <c r="E1442" s="2" t="s">
        <v>5288</v>
      </c>
      <c r="F1442" s="2" t="s">
        <v>5288</v>
      </c>
      <c r="G1442" s="2" t="s">
        <v>5289</v>
      </c>
      <c r="H1442" s="2" t="s">
        <v>5049</v>
      </c>
      <c r="I1442" s="2" t="s">
        <v>894</v>
      </c>
      <c r="J1442" s="2" t="s">
        <v>93</v>
      </c>
      <c r="K1442" s="2" t="s">
        <v>113</v>
      </c>
      <c r="L1442" s="7">
        <v>40513.0</v>
      </c>
      <c r="M1442" s="2" t="s">
        <v>94</v>
      </c>
      <c r="N1442" s="2" t="s">
        <v>35</v>
      </c>
      <c r="O1442" s="2" t="s">
        <v>27</v>
      </c>
      <c r="P1442" s="2" t="s">
        <v>36</v>
      </c>
    </row>
    <row r="1443" ht="14.25" customHeight="1">
      <c r="A1443" s="6">
        <v>9803423.0</v>
      </c>
      <c r="B1443" s="2" t="s">
        <v>5290</v>
      </c>
      <c r="C1443" s="2" t="s">
        <v>17</v>
      </c>
      <c r="D1443" s="2" t="s">
        <v>18</v>
      </c>
      <c r="E1443" s="2" t="s">
        <v>5291</v>
      </c>
      <c r="F1443" s="2" t="s">
        <v>5291</v>
      </c>
      <c r="G1443" s="2" t="s">
        <v>5292</v>
      </c>
      <c r="H1443" s="2" t="s">
        <v>5049</v>
      </c>
      <c r="I1443" s="2" t="s">
        <v>2529</v>
      </c>
      <c r="J1443" s="2" t="s">
        <v>93</v>
      </c>
      <c r="K1443" s="2" t="s">
        <v>113</v>
      </c>
      <c r="L1443" s="7">
        <v>40513.0</v>
      </c>
      <c r="M1443" s="2" t="s">
        <v>94</v>
      </c>
      <c r="N1443" s="2" t="s">
        <v>35</v>
      </c>
      <c r="O1443" s="2" t="s">
        <v>27</v>
      </c>
      <c r="P1443" s="2" t="s">
        <v>36</v>
      </c>
    </row>
    <row r="1444" ht="14.25" customHeight="1">
      <c r="A1444" s="6">
        <v>1.8317498E7</v>
      </c>
      <c r="B1444" s="2" t="s">
        <v>5293</v>
      </c>
      <c r="C1444" s="2" t="s">
        <v>17</v>
      </c>
      <c r="D1444" s="2" t="s">
        <v>88</v>
      </c>
      <c r="E1444" s="2" t="s">
        <v>5294</v>
      </c>
      <c r="F1444" s="2" t="s">
        <v>5294</v>
      </c>
      <c r="G1444" s="2" t="s">
        <v>5295</v>
      </c>
      <c r="H1444" s="2" t="s">
        <v>5296</v>
      </c>
      <c r="I1444" s="2" t="s">
        <v>514</v>
      </c>
      <c r="J1444" s="2" t="s">
        <v>62</v>
      </c>
      <c r="K1444" s="2" t="s">
        <v>630</v>
      </c>
      <c r="L1444" s="7">
        <v>45908.0</v>
      </c>
      <c r="M1444" s="2" t="s">
        <v>312</v>
      </c>
      <c r="N1444" s="2" t="s">
        <v>35</v>
      </c>
      <c r="O1444" s="2" t="s">
        <v>312</v>
      </c>
      <c r="P1444" s="2" t="s">
        <v>28</v>
      </c>
    </row>
    <row r="1445" ht="14.25" customHeight="1">
      <c r="A1445" s="6">
        <v>1.5595187E7</v>
      </c>
      <c r="B1445" s="2" t="s">
        <v>5297</v>
      </c>
      <c r="C1445" s="2" t="s">
        <v>17</v>
      </c>
      <c r="D1445" s="2" t="s">
        <v>88</v>
      </c>
      <c r="E1445" s="2" t="s">
        <v>5298</v>
      </c>
      <c r="F1445" s="2" t="s">
        <v>5298</v>
      </c>
      <c r="G1445" s="2" t="s">
        <v>5299</v>
      </c>
      <c r="H1445" s="2" t="s">
        <v>5296</v>
      </c>
      <c r="I1445" s="2" t="s">
        <v>514</v>
      </c>
      <c r="J1445" s="2" t="s">
        <v>62</v>
      </c>
      <c r="K1445" s="2" t="s">
        <v>113</v>
      </c>
      <c r="L1445" s="7">
        <v>45154.0</v>
      </c>
      <c r="M1445" s="2" t="s">
        <v>312</v>
      </c>
      <c r="N1445" s="2" t="s">
        <v>35</v>
      </c>
      <c r="O1445" s="2" t="s">
        <v>312</v>
      </c>
      <c r="P1445" s="2" t="s">
        <v>36</v>
      </c>
    </row>
    <row r="1446" ht="14.25" customHeight="1">
      <c r="A1446" s="6">
        <v>8024610.0</v>
      </c>
      <c r="B1446" s="2" t="s">
        <v>5300</v>
      </c>
      <c r="C1446" s="2" t="s">
        <v>17</v>
      </c>
      <c r="D1446" s="2" t="s">
        <v>18</v>
      </c>
      <c r="E1446" s="2" t="s">
        <v>5301</v>
      </c>
      <c r="F1446" s="2" t="s">
        <v>5301</v>
      </c>
      <c r="G1446" s="2" t="s">
        <v>5302</v>
      </c>
      <c r="H1446" s="2" t="s">
        <v>5296</v>
      </c>
      <c r="I1446" s="2" t="s">
        <v>514</v>
      </c>
      <c r="J1446" s="2" t="s">
        <v>62</v>
      </c>
      <c r="K1446" s="2" t="s">
        <v>113</v>
      </c>
      <c r="L1446" s="7">
        <v>40513.0</v>
      </c>
      <c r="M1446" s="2" t="s">
        <v>312</v>
      </c>
      <c r="N1446" s="2" t="s">
        <v>35</v>
      </c>
      <c r="O1446" s="2" t="s">
        <v>312</v>
      </c>
      <c r="P1446" s="2" t="s">
        <v>36</v>
      </c>
    </row>
    <row r="1447" ht="14.25" customHeight="1">
      <c r="A1447" s="6">
        <v>1.5595772E7</v>
      </c>
      <c r="B1447" s="2" t="s">
        <v>5303</v>
      </c>
      <c r="C1447" s="2" t="s">
        <v>17</v>
      </c>
      <c r="D1447" s="2" t="s">
        <v>88</v>
      </c>
      <c r="E1447" s="2" t="s">
        <v>5304</v>
      </c>
      <c r="F1447" s="2" t="s">
        <v>5304</v>
      </c>
      <c r="G1447" s="2" t="s">
        <v>5305</v>
      </c>
      <c r="H1447" s="2" t="s">
        <v>5296</v>
      </c>
      <c r="I1447" s="2" t="s">
        <v>514</v>
      </c>
      <c r="J1447" s="2" t="s">
        <v>62</v>
      </c>
      <c r="K1447" s="2" t="s">
        <v>113</v>
      </c>
      <c r="L1447" s="7">
        <v>45154.0</v>
      </c>
      <c r="M1447" s="2" t="s">
        <v>312</v>
      </c>
      <c r="N1447" s="2" t="s">
        <v>35</v>
      </c>
      <c r="O1447" s="2" t="s">
        <v>312</v>
      </c>
      <c r="P1447" s="2" t="s">
        <v>36</v>
      </c>
    </row>
    <row r="1448" ht="14.25" customHeight="1">
      <c r="A1448" s="6">
        <v>1.1220662E7</v>
      </c>
      <c r="B1448" s="2" t="s">
        <v>5306</v>
      </c>
      <c r="C1448" s="2" t="s">
        <v>17</v>
      </c>
      <c r="D1448" s="2" t="s">
        <v>18</v>
      </c>
      <c r="E1448" s="2" t="s">
        <v>5307</v>
      </c>
      <c r="F1448" s="2" t="s">
        <v>5307</v>
      </c>
      <c r="G1448" s="2" t="s">
        <v>5308</v>
      </c>
      <c r="H1448" s="2" t="s">
        <v>5296</v>
      </c>
      <c r="I1448" s="2" t="s">
        <v>514</v>
      </c>
      <c r="J1448" s="2" t="s">
        <v>62</v>
      </c>
      <c r="K1448" s="2" t="s">
        <v>113</v>
      </c>
      <c r="L1448" s="7">
        <v>41914.0</v>
      </c>
      <c r="M1448" s="2" t="s">
        <v>312</v>
      </c>
      <c r="N1448" s="2" t="s">
        <v>35</v>
      </c>
      <c r="O1448" s="2" t="s">
        <v>312</v>
      </c>
      <c r="P1448" s="2" t="s">
        <v>36</v>
      </c>
    </row>
    <row r="1449" ht="14.25" customHeight="1">
      <c r="A1449" s="6">
        <v>1.2942296E7</v>
      </c>
      <c r="B1449" s="2" t="s">
        <v>5309</v>
      </c>
      <c r="C1449" s="2" t="s">
        <v>17</v>
      </c>
      <c r="D1449" s="2" t="s">
        <v>18</v>
      </c>
      <c r="E1449" s="2" t="s">
        <v>5310</v>
      </c>
      <c r="F1449" s="2" t="s">
        <v>5310</v>
      </c>
      <c r="G1449" s="2" t="s">
        <v>5311</v>
      </c>
      <c r="H1449" s="2" t="s">
        <v>5296</v>
      </c>
      <c r="I1449" s="2" t="s">
        <v>514</v>
      </c>
      <c r="J1449" s="2" t="s">
        <v>62</v>
      </c>
      <c r="K1449" s="2" t="s">
        <v>113</v>
      </c>
      <c r="L1449" s="7">
        <v>42373.0</v>
      </c>
      <c r="M1449" s="2" t="s">
        <v>312</v>
      </c>
      <c r="N1449" s="2" t="s">
        <v>35</v>
      </c>
      <c r="O1449" s="2" t="s">
        <v>312</v>
      </c>
      <c r="P1449" s="2" t="s">
        <v>36</v>
      </c>
    </row>
    <row r="1450" ht="14.25" customHeight="1">
      <c r="A1450" s="6">
        <v>1.421358E7</v>
      </c>
      <c r="B1450" s="2" t="s">
        <v>5312</v>
      </c>
      <c r="C1450" s="2" t="s">
        <v>17</v>
      </c>
      <c r="D1450" s="2" t="s">
        <v>88</v>
      </c>
      <c r="E1450" s="2" t="s">
        <v>5313</v>
      </c>
      <c r="F1450" s="2" t="s">
        <v>5313</v>
      </c>
      <c r="G1450" s="2" t="s">
        <v>5314</v>
      </c>
      <c r="H1450" s="2" t="s">
        <v>91</v>
      </c>
      <c r="I1450" s="2" t="s">
        <v>178</v>
      </c>
      <c r="J1450" s="2" t="s">
        <v>93</v>
      </c>
      <c r="K1450" s="2" t="s">
        <v>24</v>
      </c>
      <c r="L1450" s="7">
        <v>45737.0</v>
      </c>
      <c r="M1450" s="2" t="s">
        <v>94</v>
      </c>
      <c r="N1450" s="2" t="s">
        <v>35</v>
      </c>
      <c r="O1450" s="2" t="s">
        <v>27</v>
      </c>
      <c r="P1450" s="2" t="s">
        <v>28</v>
      </c>
    </row>
    <row r="1451" ht="14.25" customHeight="1">
      <c r="A1451" s="6">
        <v>1.6348663E7</v>
      </c>
      <c r="B1451" s="2" t="s">
        <v>5315</v>
      </c>
      <c r="C1451" s="2" t="s">
        <v>17</v>
      </c>
      <c r="D1451" s="2" t="s">
        <v>88</v>
      </c>
      <c r="E1451" s="2" t="s">
        <v>5316</v>
      </c>
      <c r="F1451" s="2" t="s">
        <v>5317</v>
      </c>
      <c r="G1451" s="2" t="s">
        <v>5318</v>
      </c>
      <c r="H1451" s="2" t="s">
        <v>91</v>
      </c>
      <c r="I1451" s="2" t="s">
        <v>178</v>
      </c>
      <c r="J1451" s="2" t="s">
        <v>93</v>
      </c>
      <c r="K1451" s="2" t="s">
        <v>24</v>
      </c>
      <c r="L1451" s="7">
        <v>45932.0</v>
      </c>
      <c r="M1451" s="2" t="s">
        <v>94</v>
      </c>
      <c r="N1451" s="2" t="s">
        <v>35</v>
      </c>
      <c r="O1451" s="2" t="s">
        <v>27</v>
      </c>
      <c r="P1451" s="2" t="s">
        <v>28</v>
      </c>
    </row>
    <row r="1452" ht="14.25" customHeight="1">
      <c r="A1452" s="6">
        <v>1.0040648E7</v>
      </c>
      <c r="B1452" s="2" t="s">
        <v>5319</v>
      </c>
      <c r="C1452" s="2" t="s">
        <v>17</v>
      </c>
      <c r="D1452" s="2" t="s">
        <v>88</v>
      </c>
      <c r="E1452" s="2" t="s">
        <v>5320</v>
      </c>
      <c r="F1452" s="2" t="s">
        <v>5320</v>
      </c>
      <c r="G1452" s="2" t="s">
        <v>5321</v>
      </c>
      <c r="H1452" s="2" t="s">
        <v>91</v>
      </c>
      <c r="I1452" s="2" t="s">
        <v>178</v>
      </c>
      <c r="J1452" s="2" t="s">
        <v>93</v>
      </c>
      <c r="K1452" s="2" t="s">
        <v>24</v>
      </c>
      <c r="L1452" s="7">
        <v>45932.0</v>
      </c>
      <c r="M1452" s="2" t="s">
        <v>94</v>
      </c>
      <c r="N1452" s="2" t="s">
        <v>35</v>
      </c>
      <c r="O1452" s="2" t="s">
        <v>27</v>
      </c>
      <c r="P1452" s="2" t="s">
        <v>28</v>
      </c>
    </row>
    <row r="1453" ht="14.25" customHeight="1">
      <c r="A1453" s="6">
        <v>1.1182489E7</v>
      </c>
      <c r="B1453" s="2" t="s">
        <v>5322</v>
      </c>
      <c r="C1453" s="2" t="s">
        <v>17</v>
      </c>
      <c r="D1453" s="2" t="s">
        <v>88</v>
      </c>
      <c r="E1453" s="2" t="s">
        <v>5323</v>
      </c>
      <c r="F1453" s="2" t="s">
        <v>5323</v>
      </c>
      <c r="G1453" s="2" t="s">
        <v>5324</v>
      </c>
      <c r="H1453" s="2" t="s">
        <v>91</v>
      </c>
      <c r="I1453" s="2" t="s">
        <v>898</v>
      </c>
      <c r="J1453" s="2" t="s">
        <v>93</v>
      </c>
      <c r="K1453" s="2" t="s">
        <v>24</v>
      </c>
      <c r="L1453" s="7">
        <v>45940.0</v>
      </c>
      <c r="M1453" s="2" t="s">
        <v>94</v>
      </c>
      <c r="N1453" s="2" t="s">
        <v>35</v>
      </c>
      <c r="O1453" s="2" t="s">
        <v>27</v>
      </c>
      <c r="P1453" s="2" t="s">
        <v>28</v>
      </c>
    </row>
    <row r="1454" ht="14.25" customHeight="1">
      <c r="A1454" s="6">
        <v>1.6354824E7</v>
      </c>
      <c r="B1454" s="2" t="s">
        <v>5325</v>
      </c>
      <c r="C1454" s="2" t="s">
        <v>17</v>
      </c>
      <c r="D1454" s="2" t="s">
        <v>38</v>
      </c>
      <c r="E1454" s="2" t="s">
        <v>5326</v>
      </c>
      <c r="F1454" s="2" t="s">
        <v>5326</v>
      </c>
      <c r="G1454" s="2" t="s">
        <v>5327</v>
      </c>
      <c r="H1454" s="2" t="s">
        <v>91</v>
      </c>
      <c r="I1454" s="2" t="s">
        <v>92</v>
      </c>
      <c r="J1454" s="2" t="s">
        <v>93</v>
      </c>
      <c r="K1454" s="2" t="s">
        <v>24</v>
      </c>
      <c r="L1454" s="7">
        <v>45940.0</v>
      </c>
      <c r="M1454" s="2" t="s">
        <v>94</v>
      </c>
      <c r="N1454" s="2" t="s">
        <v>35</v>
      </c>
      <c r="O1454" s="2" t="s">
        <v>27</v>
      </c>
      <c r="P1454" s="2" t="s">
        <v>28</v>
      </c>
    </row>
    <row r="1455" ht="14.25" customHeight="1">
      <c r="A1455" s="6">
        <v>1.1294095E7</v>
      </c>
      <c r="B1455" s="2" t="s">
        <v>5328</v>
      </c>
      <c r="C1455" s="2" t="s">
        <v>17</v>
      </c>
      <c r="D1455" s="2" t="s">
        <v>18</v>
      </c>
      <c r="E1455" s="2" t="s">
        <v>5329</v>
      </c>
      <c r="F1455" s="2" t="s">
        <v>5329</v>
      </c>
      <c r="G1455" s="2" t="s">
        <v>5330</v>
      </c>
      <c r="H1455" s="2" t="s">
        <v>5331</v>
      </c>
      <c r="I1455" s="2" t="s">
        <v>5332</v>
      </c>
      <c r="J1455" s="2" t="s">
        <v>185</v>
      </c>
      <c r="K1455" s="2" t="s">
        <v>113</v>
      </c>
      <c r="L1455" s="7">
        <v>40513.0</v>
      </c>
      <c r="M1455" s="2" t="s">
        <v>25</v>
      </c>
      <c r="N1455" s="2" t="s">
        <v>186</v>
      </c>
      <c r="O1455" s="2" t="s">
        <v>27</v>
      </c>
      <c r="P1455" s="2" t="s">
        <v>36</v>
      </c>
    </row>
    <row r="1456" ht="14.25" customHeight="1">
      <c r="A1456" s="6">
        <v>8190712.0</v>
      </c>
      <c r="B1456" s="2" t="s">
        <v>5333</v>
      </c>
      <c r="C1456" s="2" t="s">
        <v>17</v>
      </c>
      <c r="D1456" s="2" t="s">
        <v>18</v>
      </c>
      <c r="E1456" s="2" t="s">
        <v>5334</v>
      </c>
      <c r="F1456" s="2" t="s">
        <v>5334</v>
      </c>
      <c r="G1456" s="2" t="s">
        <v>5335</v>
      </c>
      <c r="H1456" s="2" t="s">
        <v>5331</v>
      </c>
      <c r="I1456" s="2" t="s">
        <v>5332</v>
      </c>
      <c r="J1456" s="2" t="s">
        <v>185</v>
      </c>
      <c r="K1456" s="2" t="s">
        <v>113</v>
      </c>
      <c r="L1456" s="7">
        <v>42254.0</v>
      </c>
      <c r="M1456" s="2" t="s">
        <v>25</v>
      </c>
      <c r="N1456" s="2" t="s">
        <v>186</v>
      </c>
      <c r="O1456" s="2" t="s">
        <v>27</v>
      </c>
      <c r="P1456" s="2" t="s">
        <v>36</v>
      </c>
    </row>
    <row r="1457" ht="14.25" customHeight="1">
      <c r="A1457" s="6">
        <v>1.0792976E7</v>
      </c>
      <c r="B1457" s="2" t="s">
        <v>5336</v>
      </c>
      <c r="C1457" s="2" t="s">
        <v>17</v>
      </c>
      <c r="D1457" s="2" t="s">
        <v>18</v>
      </c>
      <c r="E1457" s="2" t="s">
        <v>5337</v>
      </c>
      <c r="F1457" s="2" t="s">
        <v>5337</v>
      </c>
      <c r="G1457" s="2" t="s">
        <v>5338</v>
      </c>
      <c r="H1457" s="2" t="s">
        <v>5331</v>
      </c>
      <c r="I1457" s="2" t="s">
        <v>5332</v>
      </c>
      <c r="J1457" s="2" t="s">
        <v>185</v>
      </c>
      <c r="K1457" s="2" t="s">
        <v>113</v>
      </c>
      <c r="L1457" s="7">
        <v>40513.0</v>
      </c>
      <c r="M1457" s="2" t="s">
        <v>25</v>
      </c>
      <c r="N1457" s="2" t="s">
        <v>186</v>
      </c>
      <c r="O1457" s="2" t="s">
        <v>27</v>
      </c>
      <c r="P1457" s="2" t="s">
        <v>36</v>
      </c>
    </row>
    <row r="1458" ht="14.25" customHeight="1">
      <c r="A1458" s="6">
        <v>9647007.0</v>
      </c>
      <c r="B1458" s="2" t="s">
        <v>5339</v>
      </c>
      <c r="C1458" s="2" t="s">
        <v>17</v>
      </c>
      <c r="D1458" s="2" t="s">
        <v>18</v>
      </c>
      <c r="E1458" s="2" t="s">
        <v>5340</v>
      </c>
      <c r="F1458" s="2" t="s">
        <v>5340</v>
      </c>
      <c r="G1458" s="2" t="s">
        <v>5341</v>
      </c>
      <c r="H1458" s="2" t="s">
        <v>5331</v>
      </c>
      <c r="I1458" s="2" t="s">
        <v>5332</v>
      </c>
      <c r="J1458" s="2" t="s">
        <v>185</v>
      </c>
      <c r="K1458" s="2" t="s">
        <v>113</v>
      </c>
      <c r="L1458" s="7">
        <v>40513.0</v>
      </c>
      <c r="M1458" s="2" t="s">
        <v>25</v>
      </c>
      <c r="N1458" s="2" t="s">
        <v>186</v>
      </c>
      <c r="O1458" s="2" t="s">
        <v>27</v>
      </c>
      <c r="P1458" s="2" t="s">
        <v>36</v>
      </c>
    </row>
    <row r="1459" ht="14.25" customHeight="1">
      <c r="A1459" s="6">
        <v>1.6872446E7</v>
      </c>
      <c r="B1459" s="2" t="s">
        <v>5342</v>
      </c>
      <c r="C1459" s="2" t="s">
        <v>17</v>
      </c>
      <c r="D1459" s="2" t="s">
        <v>18</v>
      </c>
      <c r="E1459" s="2" t="s">
        <v>5343</v>
      </c>
      <c r="F1459" s="2" t="s">
        <v>5343</v>
      </c>
      <c r="G1459" s="2" t="s">
        <v>5344</v>
      </c>
      <c r="H1459" s="2" t="s">
        <v>5331</v>
      </c>
      <c r="I1459" s="2" t="s">
        <v>5332</v>
      </c>
      <c r="J1459" s="2" t="s">
        <v>185</v>
      </c>
      <c r="K1459" s="2" t="s">
        <v>113</v>
      </c>
      <c r="L1459" s="7">
        <v>45323.0</v>
      </c>
      <c r="M1459" s="2" t="s">
        <v>25</v>
      </c>
      <c r="N1459" s="2" t="s">
        <v>186</v>
      </c>
      <c r="O1459" s="2" t="s">
        <v>27</v>
      </c>
      <c r="P1459" s="2" t="s">
        <v>36</v>
      </c>
    </row>
    <row r="1460" ht="14.25" customHeight="1">
      <c r="A1460" s="6">
        <v>1.8821706E7</v>
      </c>
      <c r="B1460" s="2" t="s">
        <v>5345</v>
      </c>
      <c r="C1460" s="2" t="s">
        <v>17</v>
      </c>
      <c r="D1460" s="2" t="s">
        <v>18</v>
      </c>
      <c r="E1460" s="2" t="s">
        <v>5346</v>
      </c>
      <c r="F1460" s="2" t="s">
        <v>5346</v>
      </c>
      <c r="G1460" s="2" t="s">
        <v>5347</v>
      </c>
      <c r="H1460" s="2" t="s">
        <v>5331</v>
      </c>
      <c r="I1460" s="2" t="s">
        <v>5332</v>
      </c>
      <c r="J1460" s="2" t="s">
        <v>185</v>
      </c>
      <c r="K1460" s="2" t="s">
        <v>113</v>
      </c>
      <c r="L1460" s="7">
        <v>45663.0</v>
      </c>
      <c r="M1460" s="2" t="s">
        <v>25</v>
      </c>
      <c r="N1460" s="2" t="s">
        <v>186</v>
      </c>
      <c r="O1460" s="2" t="s">
        <v>27</v>
      </c>
      <c r="P1460" s="2" t="s">
        <v>36</v>
      </c>
    </row>
    <row r="1461" ht="14.25" customHeight="1">
      <c r="A1461" s="6">
        <v>9517256.0</v>
      </c>
      <c r="B1461" s="2" t="s">
        <v>5348</v>
      </c>
      <c r="C1461" s="2" t="s">
        <v>17</v>
      </c>
      <c r="D1461" s="2" t="s">
        <v>18</v>
      </c>
      <c r="E1461" s="2" t="s">
        <v>5349</v>
      </c>
      <c r="F1461" s="2" t="s">
        <v>5349</v>
      </c>
      <c r="G1461" s="2" t="s">
        <v>5350</v>
      </c>
      <c r="H1461" s="2" t="s">
        <v>5331</v>
      </c>
      <c r="I1461" s="2" t="s">
        <v>5332</v>
      </c>
      <c r="J1461" s="2" t="s">
        <v>185</v>
      </c>
      <c r="K1461" s="2" t="s">
        <v>113</v>
      </c>
      <c r="L1461" s="7">
        <v>40513.0</v>
      </c>
      <c r="M1461" s="2" t="s">
        <v>25</v>
      </c>
      <c r="N1461" s="2" t="s">
        <v>186</v>
      </c>
      <c r="O1461" s="2" t="s">
        <v>27</v>
      </c>
      <c r="P1461" s="2" t="s">
        <v>36</v>
      </c>
    </row>
    <row r="1462" ht="14.25" customHeight="1">
      <c r="A1462" s="6">
        <v>9790969.0</v>
      </c>
      <c r="B1462" s="2" t="s">
        <v>5351</v>
      </c>
      <c r="C1462" s="2" t="s">
        <v>17</v>
      </c>
      <c r="D1462" s="2" t="s">
        <v>18</v>
      </c>
      <c r="E1462" s="2" t="s">
        <v>5352</v>
      </c>
      <c r="F1462" s="2" t="s">
        <v>5352</v>
      </c>
      <c r="G1462" s="2" t="s">
        <v>5353</v>
      </c>
      <c r="H1462" s="2" t="s">
        <v>5331</v>
      </c>
      <c r="I1462" s="2" t="s">
        <v>5332</v>
      </c>
      <c r="J1462" s="2" t="s">
        <v>185</v>
      </c>
      <c r="K1462" s="2" t="s">
        <v>113</v>
      </c>
      <c r="L1462" s="7">
        <v>40513.0</v>
      </c>
      <c r="M1462" s="2" t="s">
        <v>25</v>
      </c>
      <c r="N1462" s="2" t="s">
        <v>186</v>
      </c>
      <c r="O1462" s="2" t="s">
        <v>27</v>
      </c>
      <c r="P1462" s="2" t="s">
        <v>36</v>
      </c>
    </row>
    <row r="1463" ht="14.25" customHeight="1">
      <c r="A1463" s="6">
        <v>7124442.0</v>
      </c>
      <c r="B1463" s="2" t="s">
        <v>5354</v>
      </c>
      <c r="C1463" s="2" t="s">
        <v>17</v>
      </c>
      <c r="D1463" s="2" t="s">
        <v>18</v>
      </c>
      <c r="E1463" s="2" t="s">
        <v>5355</v>
      </c>
      <c r="F1463" s="2" t="s">
        <v>5355</v>
      </c>
      <c r="G1463" s="2" t="s">
        <v>5356</v>
      </c>
      <c r="H1463" s="2" t="s">
        <v>5357</v>
      </c>
      <c r="I1463" s="2" t="s">
        <v>5358</v>
      </c>
      <c r="J1463" s="2" t="s">
        <v>93</v>
      </c>
      <c r="K1463" s="2" t="s">
        <v>113</v>
      </c>
      <c r="L1463" s="7">
        <v>40513.0</v>
      </c>
      <c r="M1463" s="2" t="s">
        <v>25</v>
      </c>
      <c r="N1463" s="2" t="s">
        <v>35</v>
      </c>
      <c r="O1463" s="2" t="s">
        <v>200</v>
      </c>
      <c r="P1463" s="2" t="s">
        <v>36</v>
      </c>
    </row>
    <row r="1464" ht="14.25" customHeight="1">
      <c r="A1464" s="6">
        <v>1.0028039E7</v>
      </c>
      <c r="B1464" s="2" t="s">
        <v>5359</v>
      </c>
      <c r="C1464" s="2" t="s">
        <v>17</v>
      </c>
      <c r="D1464" s="2" t="s">
        <v>18</v>
      </c>
      <c r="E1464" s="2" t="s">
        <v>5360</v>
      </c>
      <c r="F1464" s="2" t="s">
        <v>5360</v>
      </c>
      <c r="G1464" s="2" t="s">
        <v>5361</v>
      </c>
      <c r="H1464" s="2" t="s">
        <v>5357</v>
      </c>
      <c r="I1464" s="2" t="s">
        <v>825</v>
      </c>
      <c r="J1464" s="2" t="s">
        <v>93</v>
      </c>
      <c r="K1464" s="2" t="s">
        <v>113</v>
      </c>
      <c r="L1464" s="7">
        <v>40513.0</v>
      </c>
      <c r="M1464" s="2" t="s">
        <v>25</v>
      </c>
      <c r="N1464" s="2" t="s">
        <v>35</v>
      </c>
      <c r="O1464" s="2" t="s">
        <v>27</v>
      </c>
      <c r="P1464" s="2" t="s">
        <v>36</v>
      </c>
    </row>
    <row r="1465" ht="14.25" customHeight="1">
      <c r="A1465" s="6">
        <v>1.4271559E7</v>
      </c>
      <c r="B1465" s="2" t="s">
        <v>5362</v>
      </c>
      <c r="C1465" s="2" t="s">
        <v>17</v>
      </c>
      <c r="D1465" s="2" t="s">
        <v>18</v>
      </c>
      <c r="E1465" s="2" t="s">
        <v>5363</v>
      </c>
      <c r="F1465" s="2" t="s">
        <v>5363</v>
      </c>
      <c r="G1465" s="2" t="s">
        <v>5364</v>
      </c>
      <c r="H1465" s="2" t="s">
        <v>5357</v>
      </c>
      <c r="I1465" s="2" t="s">
        <v>5358</v>
      </c>
      <c r="J1465" s="2" t="s">
        <v>93</v>
      </c>
      <c r="K1465" s="2" t="s">
        <v>113</v>
      </c>
      <c r="L1465" s="7">
        <v>42186.0</v>
      </c>
      <c r="M1465" s="2" t="s">
        <v>25</v>
      </c>
      <c r="N1465" s="2" t="s">
        <v>35</v>
      </c>
      <c r="O1465" s="2" t="s">
        <v>1895</v>
      </c>
      <c r="P1465" s="2" t="s">
        <v>36</v>
      </c>
    </row>
    <row r="1466" ht="14.25" customHeight="1">
      <c r="A1466" s="6">
        <v>9504113.0</v>
      </c>
      <c r="B1466" s="2" t="s">
        <v>5365</v>
      </c>
      <c r="C1466" s="2" t="s">
        <v>17</v>
      </c>
      <c r="D1466" s="2" t="s">
        <v>18</v>
      </c>
      <c r="E1466" s="2" t="s">
        <v>5366</v>
      </c>
      <c r="F1466" s="2" t="s">
        <v>5366</v>
      </c>
      <c r="G1466" s="2" t="s">
        <v>5367</v>
      </c>
      <c r="H1466" s="2" t="s">
        <v>5357</v>
      </c>
      <c r="I1466" s="2" t="s">
        <v>5358</v>
      </c>
      <c r="J1466" s="2" t="s">
        <v>93</v>
      </c>
      <c r="K1466" s="2" t="s">
        <v>113</v>
      </c>
      <c r="L1466" s="7">
        <v>40513.0</v>
      </c>
      <c r="M1466" s="2" t="s">
        <v>25</v>
      </c>
      <c r="N1466" s="2" t="s">
        <v>35</v>
      </c>
      <c r="O1466" s="2" t="s">
        <v>1895</v>
      </c>
      <c r="P1466" s="2" t="s">
        <v>36</v>
      </c>
    </row>
    <row r="1467" ht="14.25" customHeight="1">
      <c r="A1467" s="6">
        <v>1.189651E7</v>
      </c>
      <c r="B1467" s="2" t="s">
        <v>5368</v>
      </c>
      <c r="C1467" s="2" t="s">
        <v>17</v>
      </c>
      <c r="D1467" s="2" t="s">
        <v>18</v>
      </c>
      <c r="E1467" s="2" t="s">
        <v>5369</v>
      </c>
      <c r="F1467" s="2" t="s">
        <v>5369</v>
      </c>
      <c r="G1467" s="2" t="s">
        <v>5370</v>
      </c>
      <c r="H1467" s="2" t="s">
        <v>5357</v>
      </c>
      <c r="I1467" s="2" t="s">
        <v>825</v>
      </c>
      <c r="J1467" s="2" t="s">
        <v>93</v>
      </c>
      <c r="K1467" s="2" t="s">
        <v>113</v>
      </c>
      <c r="L1467" s="7">
        <v>45217.0</v>
      </c>
      <c r="M1467" s="2" t="s">
        <v>25</v>
      </c>
      <c r="N1467" s="2" t="s">
        <v>35</v>
      </c>
      <c r="O1467" s="2" t="s">
        <v>27</v>
      </c>
      <c r="P1467" s="2" t="s">
        <v>36</v>
      </c>
    </row>
    <row r="1468" ht="14.25" customHeight="1">
      <c r="A1468" s="6">
        <v>1.6328931E7</v>
      </c>
      <c r="B1468" s="2" t="s">
        <v>5371</v>
      </c>
      <c r="C1468" s="2" t="s">
        <v>17</v>
      </c>
      <c r="D1468" s="2" t="s">
        <v>18</v>
      </c>
      <c r="E1468" s="2" t="s">
        <v>5372</v>
      </c>
      <c r="F1468" s="2" t="s">
        <v>5373</v>
      </c>
      <c r="G1468" s="2" t="s">
        <v>5374</v>
      </c>
      <c r="H1468" s="2" t="s">
        <v>5357</v>
      </c>
      <c r="I1468" s="2" t="s">
        <v>5358</v>
      </c>
      <c r="J1468" s="2" t="s">
        <v>93</v>
      </c>
      <c r="K1468" s="2" t="s">
        <v>113</v>
      </c>
      <c r="L1468" s="7">
        <v>42186.0</v>
      </c>
      <c r="M1468" s="2" t="s">
        <v>25</v>
      </c>
      <c r="N1468" s="2" t="s">
        <v>35</v>
      </c>
      <c r="O1468" s="2" t="s">
        <v>1895</v>
      </c>
      <c r="P1468" s="2" t="s">
        <v>36</v>
      </c>
    </row>
    <row r="1469" ht="14.25" customHeight="1">
      <c r="A1469" s="6">
        <v>1.0346348E7</v>
      </c>
      <c r="B1469" s="2" t="s">
        <v>5375</v>
      </c>
      <c r="C1469" s="2" t="s">
        <v>17</v>
      </c>
      <c r="D1469" s="2" t="s">
        <v>18</v>
      </c>
      <c r="E1469" s="2" t="s">
        <v>5376</v>
      </c>
      <c r="F1469" s="2" t="s">
        <v>5376</v>
      </c>
      <c r="G1469" s="2" t="s">
        <v>5377</v>
      </c>
      <c r="H1469" s="2" t="s">
        <v>5357</v>
      </c>
      <c r="I1469" s="2" t="s">
        <v>825</v>
      </c>
      <c r="J1469" s="2" t="s">
        <v>93</v>
      </c>
      <c r="K1469" s="2" t="s">
        <v>113</v>
      </c>
      <c r="L1469" s="7">
        <v>40513.0</v>
      </c>
      <c r="M1469" s="2" t="s">
        <v>25</v>
      </c>
      <c r="N1469" s="2" t="s">
        <v>35</v>
      </c>
      <c r="O1469" s="2" t="s">
        <v>27</v>
      </c>
      <c r="P1469" s="2" t="s">
        <v>36</v>
      </c>
    </row>
    <row r="1470" ht="14.25" customHeight="1">
      <c r="A1470" s="6">
        <v>9644023.0</v>
      </c>
      <c r="B1470" s="2" t="s">
        <v>5378</v>
      </c>
      <c r="C1470" s="2" t="s">
        <v>17</v>
      </c>
      <c r="D1470" s="2" t="s">
        <v>18</v>
      </c>
      <c r="E1470" s="2" t="s">
        <v>5379</v>
      </c>
      <c r="F1470" s="2" t="s">
        <v>5379</v>
      </c>
      <c r="G1470" s="2" t="s">
        <v>5380</v>
      </c>
      <c r="H1470" s="2" t="s">
        <v>5357</v>
      </c>
      <c r="I1470" s="2" t="s">
        <v>5358</v>
      </c>
      <c r="J1470" s="2" t="s">
        <v>93</v>
      </c>
      <c r="K1470" s="2" t="s">
        <v>113</v>
      </c>
      <c r="L1470" s="7">
        <v>40588.0</v>
      </c>
      <c r="M1470" s="2" t="s">
        <v>25</v>
      </c>
      <c r="N1470" s="2" t="s">
        <v>35</v>
      </c>
      <c r="O1470" s="2" t="s">
        <v>1895</v>
      </c>
      <c r="P1470" s="2" t="s">
        <v>36</v>
      </c>
    </row>
    <row r="1471" ht="14.25" customHeight="1">
      <c r="A1471" s="6">
        <v>9363125.0</v>
      </c>
      <c r="B1471" s="2" t="s">
        <v>5381</v>
      </c>
      <c r="C1471" s="2" t="s">
        <v>17</v>
      </c>
      <c r="D1471" s="2" t="s">
        <v>18</v>
      </c>
      <c r="E1471" s="2" t="s">
        <v>5382</v>
      </c>
      <c r="F1471" s="2" t="s">
        <v>5382</v>
      </c>
      <c r="G1471" s="2" t="s">
        <v>5383</v>
      </c>
      <c r="H1471" s="2" t="s">
        <v>5357</v>
      </c>
      <c r="I1471" s="2" t="s">
        <v>825</v>
      </c>
      <c r="J1471" s="2" t="s">
        <v>93</v>
      </c>
      <c r="K1471" s="2" t="s">
        <v>113</v>
      </c>
      <c r="L1471" s="7">
        <v>40513.0</v>
      </c>
      <c r="M1471" s="2" t="s">
        <v>25</v>
      </c>
      <c r="N1471" s="2" t="s">
        <v>35</v>
      </c>
      <c r="O1471" s="2" t="s">
        <v>27</v>
      </c>
      <c r="P1471" s="2" t="s">
        <v>36</v>
      </c>
    </row>
    <row r="1472" ht="14.25" customHeight="1">
      <c r="A1472" s="6">
        <v>1.2381818E7</v>
      </c>
      <c r="B1472" s="2" t="s">
        <v>5384</v>
      </c>
      <c r="C1472" s="2" t="s">
        <v>17</v>
      </c>
      <c r="D1472" s="2" t="s">
        <v>18</v>
      </c>
      <c r="E1472" s="2" t="s">
        <v>5385</v>
      </c>
      <c r="F1472" s="2" t="s">
        <v>5385</v>
      </c>
      <c r="G1472" s="2" t="s">
        <v>5386</v>
      </c>
      <c r="H1472" s="2" t="s">
        <v>5357</v>
      </c>
      <c r="I1472" s="2" t="s">
        <v>5358</v>
      </c>
      <c r="J1472" s="2" t="s">
        <v>93</v>
      </c>
      <c r="K1472" s="2" t="s">
        <v>113</v>
      </c>
      <c r="L1472" s="7">
        <v>40513.0</v>
      </c>
      <c r="M1472" s="2" t="s">
        <v>25</v>
      </c>
      <c r="N1472" s="2" t="s">
        <v>35</v>
      </c>
      <c r="O1472" s="2" t="s">
        <v>1895</v>
      </c>
      <c r="P1472" s="2" t="s">
        <v>36</v>
      </c>
    </row>
    <row r="1473" ht="14.25" customHeight="1">
      <c r="A1473" s="6">
        <v>7799509.0</v>
      </c>
      <c r="B1473" s="2" t="s">
        <v>5387</v>
      </c>
      <c r="C1473" s="2" t="s">
        <v>17</v>
      </c>
      <c r="D1473" s="2" t="s">
        <v>18</v>
      </c>
      <c r="E1473" s="2" t="s">
        <v>5388</v>
      </c>
      <c r="F1473" s="2" t="s">
        <v>5388</v>
      </c>
      <c r="G1473" s="2" t="s">
        <v>5389</v>
      </c>
      <c r="H1473" s="2" t="s">
        <v>5357</v>
      </c>
      <c r="I1473" s="2" t="s">
        <v>5358</v>
      </c>
      <c r="J1473" s="2" t="s">
        <v>93</v>
      </c>
      <c r="K1473" s="2" t="s">
        <v>113</v>
      </c>
      <c r="L1473" s="7">
        <v>40513.0</v>
      </c>
      <c r="M1473" s="2" t="s">
        <v>25</v>
      </c>
      <c r="N1473" s="2" t="s">
        <v>35</v>
      </c>
      <c r="O1473" s="2" t="s">
        <v>1895</v>
      </c>
      <c r="P1473" s="2" t="s">
        <v>36</v>
      </c>
    </row>
    <row r="1474" ht="14.25" customHeight="1">
      <c r="A1474" s="6">
        <v>1.9297194E7</v>
      </c>
      <c r="B1474" s="2" t="s">
        <v>5390</v>
      </c>
      <c r="C1474" s="2" t="s">
        <v>17</v>
      </c>
      <c r="D1474" s="2" t="s">
        <v>18</v>
      </c>
      <c r="E1474" s="2" t="s">
        <v>5391</v>
      </c>
      <c r="F1474" s="2" t="s">
        <v>5391</v>
      </c>
      <c r="G1474" s="2" t="s">
        <v>5392</v>
      </c>
      <c r="H1474" s="2" t="s">
        <v>5357</v>
      </c>
      <c r="I1474" s="2" t="s">
        <v>825</v>
      </c>
      <c r="J1474" s="2" t="s">
        <v>93</v>
      </c>
      <c r="K1474" s="2" t="s">
        <v>113</v>
      </c>
      <c r="L1474" s="7">
        <v>45706.0</v>
      </c>
      <c r="M1474" s="2" t="s">
        <v>25</v>
      </c>
      <c r="N1474" s="2" t="s">
        <v>35</v>
      </c>
      <c r="O1474" s="2" t="s">
        <v>27</v>
      </c>
      <c r="P1474" s="2" t="s">
        <v>36</v>
      </c>
    </row>
    <row r="1475" ht="14.25" customHeight="1">
      <c r="A1475" s="6">
        <v>7757307.0</v>
      </c>
      <c r="B1475" s="2" t="s">
        <v>5393</v>
      </c>
      <c r="C1475" s="2" t="s">
        <v>17</v>
      </c>
      <c r="D1475" s="2" t="s">
        <v>18</v>
      </c>
      <c r="E1475" s="2" t="s">
        <v>5394</v>
      </c>
      <c r="F1475" s="2" t="s">
        <v>5394</v>
      </c>
      <c r="G1475" s="2" t="s">
        <v>5395</v>
      </c>
      <c r="H1475" s="2" t="s">
        <v>5357</v>
      </c>
      <c r="I1475" s="2" t="s">
        <v>825</v>
      </c>
      <c r="J1475" s="2" t="s">
        <v>93</v>
      </c>
      <c r="K1475" s="2" t="s">
        <v>113</v>
      </c>
      <c r="L1475" s="7">
        <v>40513.0</v>
      </c>
      <c r="M1475" s="2" t="s">
        <v>25</v>
      </c>
      <c r="N1475" s="2" t="s">
        <v>35</v>
      </c>
      <c r="O1475" s="2" t="s">
        <v>27</v>
      </c>
      <c r="P1475" s="2" t="s">
        <v>36</v>
      </c>
    </row>
    <row r="1476" ht="14.25" customHeight="1">
      <c r="A1476" s="6">
        <v>9234240.0</v>
      </c>
      <c r="B1476" s="2" t="s">
        <v>5396</v>
      </c>
      <c r="C1476" s="2" t="s">
        <v>17</v>
      </c>
      <c r="D1476" s="2" t="s">
        <v>18</v>
      </c>
      <c r="E1476" s="2" t="s">
        <v>5397</v>
      </c>
      <c r="F1476" s="2" t="s">
        <v>5397</v>
      </c>
      <c r="G1476" s="2" t="s">
        <v>5398</v>
      </c>
      <c r="H1476" s="2" t="s">
        <v>5357</v>
      </c>
      <c r="I1476" s="2" t="s">
        <v>825</v>
      </c>
      <c r="J1476" s="2" t="s">
        <v>93</v>
      </c>
      <c r="K1476" s="2" t="s">
        <v>113</v>
      </c>
      <c r="L1476" s="7">
        <v>40513.0</v>
      </c>
      <c r="M1476" s="2" t="s">
        <v>25</v>
      </c>
      <c r="N1476" s="2" t="s">
        <v>35</v>
      </c>
      <c r="O1476" s="2" t="s">
        <v>27</v>
      </c>
      <c r="P1476" s="2" t="s">
        <v>36</v>
      </c>
    </row>
    <row r="1477" ht="14.25" customHeight="1">
      <c r="A1477" s="11">
        <v>1.0</v>
      </c>
      <c r="B1477" s="12" t="s">
        <v>5399</v>
      </c>
      <c r="C1477" s="12" t="s">
        <v>5399</v>
      </c>
      <c r="D1477" s="12" t="s">
        <v>5399</v>
      </c>
      <c r="E1477" s="12" t="s">
        <v>5399</v>
      </c>
      <c r="F1477" s="12" t="s">
        <v>5399</v>
      </c>
      <c r="G1477" s="12" t="s">
        <v>5399</v>
      </c>
      <c r="H1477" s="12" t="s">
        <v>5399</v>
      </c>
      <c r="I1477" s="12" t="s">
        <v>5399</v>
      </c>
      <c r="J1477" s="12" t="s">
        <v>5399</v>
      </c>
      <c r="K1477" s="12" t="s">
        <v>5399</v>
      </c>
      <c r="L1477" s="12" t="s">
        <v>5399</v>
      </c>
      <c r="M1477" s="12" t="s">
        <v>5399</v>
      </c>
      <c r="N1477" s="12" t="s">
        <v>5399</v>
      </c>
      <c r="O1477" s="12" t="s">
        <v>5399</v>
      </c>
      <c r="P1477" s="12" t="s">
        <v>5399</v>
      </c>
    </row>
    <row r="1478" ht="14.25" customHeight="1">
      <c r="A1478" s="13">
        <v>1.372343E7</v>
      </c>
      <c r="B1478" s="14" t="s">
        <v>5400</v>
      </c>
      <c r="C1478" s="15" t="s">
        <v>5401</v>
      </c>
      <c r="D1478" s="2" t="s">
        <v>18</v>
      </c>
      <c r="G1478" s="14" t="s">
        <v>5402</v>
      </c>
      <c r="H1478" s="14" t="s">
        <v>5403</v>
      </c>
      <c r="I1478" s="14" t="s">
        <v>5404</v>
      </c>
      <c r="J1478" s="14" t="s">
        <v>5405</v>
      </c>
      <c r="K1478" s="2" t="s">
        <v>24</v>
      </c>
      <c r="L1478" s="16">
        <v>45824.0</v>
      </c>
      <c r="M1478" s="15" t="s">
        <v>5401</v>
      </c>
      <c r="N1478" s="14" t="s">
        <v>5406</v>
      </c>
      <c r="O1478" s="14" t="s">
        <v>200</v>
      </c>
    </row>
    <row r="1479" ht="14.25" customHeight="1">
      <c r="A1479" s="17">
        <v>1.3311551E7</v>
      </c>
      <c r="B1479" s="14" t="s">
        <v>5407</v>
      </c>
      <c r="C1479" s="15" t="s">
        <v>5401</v>
      </c>
      <c r="D1479" s="2" t="s">
        <v>18</v>
      </c>
      <c r="G1479" s="14" t="s">
        <v>5408</v>
      </c>
      <c r="H1479" s="14" t="s">
        <v>5409</v>
      </c>
      <c r="I1479" s="14" t="s">
        <v>5410</v>
      </c>
      <c r="J1479" s="14" t="s">
        <v>5411</v>
      </c>
      <c r="K1479" s="2" t="s">
        <v>24</v>
      </c>
      <c r="L1479" s="16">
        <v>45839.0</v>
      </c>
      <c r="M1479" s="15" t="s">
        <v>5401</v>
      </c>
      <c r="N1479" s="14" t="s">
        <v>5406</v>
      </c>
      <c r="O1479" s="14" t="s">
        <v>27</v>
      </c>
    </row>
    <row r="1480" ht="14.25" customHeight="1">
      <c r="A1480" s="17">
        <v>1.9108549E7</v>
      </c>
      <c r="B1480" s="14" t="s">
        <v>5412</v>
      </c>
      <c r="C1480" s="15" t="s">
        <v>5401</v>
      </c>
      <c r="D1480" s="2" t="s">
        <v>18</v>
      </c>
      <c r="G1480" s="14" t="s">
        <v>5413</v>
      </c>
      <c r="H1480" s="14" t="s">
        <v>5414</v>
      </c>
      <c r="I1480" s="14" t="s">
        <v>5415</v>
      </c>
      <c r="J1480" s="14" t="s">
        <v>5416</v>
      </c>
      <c r="K1480" s="2" t="s">
        <v>24</v>
      </c>
      <c r="L1480" s="7"/>
      <c r="M1480" s="15" t="s">
        <v>5401</v>
      </c>
      <c r="N1480" s="14" t="s">
        <v>26</v>
      </c>
      <c r="O1480" s="14" t="s">
        <v>200</v>
      </c>
    </row>
    <row r="1481" ht="14.25" customHeight="1">
      <c r="A1481" s="17">
        <v>1.3956371E7</v>
      </c>
      <c r="B1481" s="14" t="s">
        <v>5417</v>
      </c>
      <c r="C1481" s="15" t="s">
        <v>5401</v>
      </c>
      <c r="D1481" s="2" t="s">
        <v>18</v>
      </c>
      <c r="G1481" s="14" t="s">
        <v>5418</v>
      </c>
      <c r="H1481" s="14" t="s">
        <v>5403</v>
      </c>
      <c r="I1481" s="14" t="s">
        <v>5404</v>
      </c>
      <c r="J1481" s="14" t="s">
        <v>5405</v>
      </c>
      <c r="K1481" s="2" t="s">
        <v>24</v>
      </c>
      <c r="L1481" s="16">
        <v>45873.0</v>
      </c>
      <c r="M1481" s="15" t="s">
        <v>5401</v>
      </c>
      <c r="N1481" s="14" t="s">
        <v>5406</v>
      </c>
      <c r="O1481" s="14" t="s">
        <v>27</v>
      </c>
    </row>
    <row r="1482" ht="14.25" customHeight="1">
      <c r="A1482" s="17">
        <v>1.5756187E7</v>
      </c>
      <c r="B1482" s="14" t="s">
        <v>5419</v>
      </c>
      <c r="C1482" s="15" t="s">
        <v>5401</v>
      </c>
      <c r="D1482" s="2" t="s">
        <v>18</v>
      </c>
      <c r="G1482" s="14" t="s">
        <v>5420</v>
      </c>
      <c r="H1482" s="14" t="s">
        <v>5421</v>
      </c>
      <c r="I1482" s="14" t="s">
        <v>5410</v>
      </c>
      <c r="J1482" s="14" t="s">
        <v>5411</v>
      </c>
      <c r="K1482" s="2" t="s">
        <v>24</v>
      </c>
      <c r="L1482" s="16">
        <v>45870.0</v>
      </c>
      <c r="M1482" s="15" t="s">
        <v>5401</v>
      </c>
      <c r="N1482" s="14" t="s">
        <v>5406</v>
      </c>
      <c r="O1482" s="14" t="s">
        <v>27</v>
      </c>
    </row>
    <row r="1483" ht="14.25" customHeight="1">
      <c r="A1483" s="17">
        <v>1.2923955E7</v>
      </c>
      <c r="B1483" s="14" t="s">
        <v>5422</v>
      </c>
      <c r="C1483" s="15" t="s">
        <v>5401</v>
      </c>
      <c r="D1483" s="2" t="s">
        <v>18</v>
      </c>
      <c r="G1483" s="14" t="s">
        <v>5423</v>
      </c>
      <c r="H1483" s="14" t="s">
        <v>5403</v>
      </c>
      <c r="I1483" s="14" t="s">
        <v>5404</v>
      </c>
      <c r="J1483" s="14" t="s">
        <v>5405</v>
      </c>
      <c r="K1483" s="2" t="s">
        <v>24</v>
      </c>
      <c r="L1483" s="16">
        <v>45870.0</v>
      </c>
      <c r="M1483" s="15" t="s">
        <v>5401</v>
      </c>
      <c r="N1483" s="14" t="s">
        <v>5406</v>
      </c>
      <c r="O1483" s="14" t="s">
        <v>27</v>
      </c>
    </row>
    <row r="1484" ht="14.25" customHeight="1">
      <c r="A1484" s="17">
        <v>1.3974341E7</v>
      </c>
      <c r="B1484" s="14" t="s">
        <v>5424</v>
      </c>
      <c r="C1484" s="15" t="s">
        <v>5401</v>
      </c>
      <c r="D1484" s="2" t="s">
        <v>18</v>
      </c>
      <c r="G1484" s="14" t="s">
        <v>5425</v>
      </c>
      <c r="H1484" s="14" t="s">
        <v>5426</v>
      </c>
      <c r="I1484" s="14" t="s">
        <v>5427</v>
      </c>
      <c r="J1484" s="14" t="s">
        <v>5428</v>
      </c>
      <c r="K1484" s="2" t="s">
        <v>24</v>
      </c>
      <c r="L1484" s="7"/>
      <c r="M1484" s="15" t="s">
        <v>5401</v>
      </c>
      <c r="N1484" s="14" t="s">
        <v>5406</v>
      </c>
      <c r="O1484" s="14" t="s">
        <v>312</v>
      </c>
    </row>
    <row r="1485" ht="14.25" customHeight="1">
      <c r="A1485" s="17">
        <v>1.5943984E7</v>
      </c>
      <c r="B1485" s="14" t="s">
        <v>5429</v>
      </c>
      <c r="C1485" s="15" t="s">
        <v>5401</v>
      </c>
      <c r="D1485" s="2" t="s">
        <v>18</v>
      </c>
      <c r="G1485" s="14" t="s">
        <v>5430</v>
      </c>
      <c r="H1485" s="14" t="s">
        <v>5431</v>
      </c>
      <c r="I1485" s="14" t="s">
        <v>5432</v>
      </c>
      <c r="J1485" s="14" t="s">
        <v>5433</v>
      </c>
      <c r="K1485" s="2" t="s">
        <v>24</v>
      </c>
      <c r="L1485" s="16">
        <v>45803.0</v>
      </c>
      <c r="M1485" s="15" t="s">
        <v>5401</v>
      </c>
      <c r="N1485" s="14" t="s">
        <v>26</v>
      </c>
      <c r="O1485" s="14" t="s">
        <v>200</v>
      </c>
    </row>
    <row r="1486" ht="14.25" customHeight="1">
      <c r="A1486" s="17">
        <v>1.7288706E7</v>
      </c>
      <c r="B1486" s="14" t="s">
        <v>5434</v>
      </c>
      <c r="C1486" s="15" t="s">
        <v>5401</v>
      </c>
      <c r="D1486" s="2" t="s">
        <v>18</v>
      </c>
      <c r="G1486" s="14" t="s">
        <v>5435</v>
      </c>
      <c r="H1486" s="14" t="s">
        <v>5436</v>
      </c>
      <c r="I1486" s="14" t="s">
        <v>5437</v>
      </c>
      <c r="J1486" s="14" t="s">
        <v>5438</v>
      </c>
      <c r="K1486" s="2" t="s">
        <v>24</v>
      </c>
      <c r="L1486" s="7"/>
      <c r="M1486" s="15" t="s">
        <v>5401</v>
      </c>
      <c r="N1486" s="14" t="s">
        <v>5406</v>
      </c>
      <c r="O1486" s="14" t="s">
        <v>5439</v>
      </c>
    </row>
    <row r="1487" ht="14.25" customHeight="1">
      <c r="A1487" s="17">
        <v>1.9180153E7</v>
      </c>
      <c r="B1487" s="14" t="s">
        <v>5440</v>
      </c>
      <c r="C1487" s="15" t="s">
        <v>5401</v>
      </c>
      <c r="D1487" s="2" t="s">
        <v>18</v>
      </c>
      <c r="G1487" s="14" t="s">
        <v>5441</v>
      </c>
      <c r="H1487" s="14" t="s">
        <v>5442</v>
      </c>
      <c r="I1487" s="14" t="s">
        <v>5443</v>
      </c>
      <c r="J1487" s="14" t="s">
        <v>5444</v>
      </c>
      <c r="K1487" s="2" t="s">
        <v>24</v>
      </c>
      <c r="L1487" s="16">
        <v>45922.0</v>
      </c>
      <c r="M1487" s="15" t="s">
        <v>5401</v>
      </c>
      <c r="N1487" s="14" t="s">
        <v>5406</v>
      </c>
      <c r="O1487" s="14" t="s">
        <v>27</v>
      </c>
    </row>
    <row r="1488" ht="14.25" customHeight="1">
      <c r="A1488" s="17">
        <v>2.7555933E7</v>
      </c>
      <c r="B1488" s="14" t="s">
        <v>5445</v>
      </c>
      <c r="C1488" s="15" t="s">
        <v>5401</v>
      </c>
      <c r="D1488" s="2" t="s">
        <v>18</v>
      </c>
      <c r="G1488" s="14" t="s">
        <v>5446</v>
      </c>
      <c r="H1488" s="14" t="s">
        <v>5447</v>
      </c>
      <c r="I1488" s="14" t="s">
        <v>5448</v>
      </c>
      <c r="J1488" s="14" t="s">
        <v>5449</v>
      </c>
      <c r="K1488" s="2" t="s">
        <v>24</v>
      </c>
      <c r="L1488" s="16">
        <v>45839.0</v>
      </c>
      <c r="M1488" s="15" t="s">
        <v>5401</v>
      </c>
      <c r="N1488" s="14" t="s">
        <v>161</v>
      </c>
      <c r="O1488" s="14" t="s">
        <v>116</v>
      </c>
    </row>
    <row r="1489" ht="14.25" customHeight="1">
      <c r="A1489" s="17">
        <v>1.5529012E7</v>
      </c>
      <c r="B1489" s="14" t="s">
        <v>5450</v>
      </c>
      <c r="C1489" s="15" t="s">
        <v>5401</v>
      </c>
      <c r="D1489" s="2" t="s">
        <v>18</v>
      </c>
      <c r="G1489" s="14" t="s">
        <v>5451</v>
      </c>
      <c r="H1489" s="14" t="s">
        <v>5421</v>
      </c>
      <c r="I1489" s="14" t="s">
        <v>5410</v>
      </c>
      <c r="J1489" s="14" t="s">
        <v>5411</v>
      </c>
      <c r="K1489" s="2" t="s">
        <v>24</v>
      </c>
      <c r="L1489" s="16">
        <v>45870.0</v>
      </c>
      <c r="M1489" s="15" t="s">
        <v>5401</v>
      </c>
      <c r="N1489" s="14" t="s">
        <v>5406</v>
      </c>
      <c r="O1489" s="14" t="s">
        <v>27</v>
      </c>
    </row>
    <row r="1490" ht="14.25" customHeight="1">
      <c r="A1490" s="17">
        <v>1.1683573E7</v>
      </c>
      <c r="B1490" s="14" t="s">
        <v>5452</v>
      </c>
      <c r="C1490" s="15" t="s">
        <v>5401</v>
      </c>
      <c r="D1490" s="2" t="s">
        <v>18</v>
      </c>
      <c r="G1490" s="14" t="s">
        <v>5453</v>
      </c>
      <c r="H1490" s="14" t="s">
        <v>5454</v>
      </c>
      <c r="I1490" s="14" t="s">
        <v>61</v>
      </c>
      <c r="J1490" s="14" t="s">
        <v>5455</v>
      </c>
      <c r="K1490" s="2" t="s">
        <v>24</v>
      </c>
      <c r="L1490" s="16">
        <v>45870.0</v>
      </c>
      <c r="M1490" s="15" t="s">
        <v>5401</v>
      </c>
      <c r="N1490" s="14" t="s">
        <v>5406</v>
      </c>
      <c r="O1490" s="14" t="s">
        <v>27</v>
      </c>
    </row>
    <row r="1491" ht="14.25" customHeight="1">
      <c r="A1491" s="17">
        <v>2.0510099E7</v>
      </c>
      <c r="B1491" s="14" t="s">
        <v>5456</v>
      </c>
      <c r="C1491" s="15" t="s">
        <v>5401</v>
      </c>
      <c r="D1491" s="2" t="s">
        <v>18</v>
      </c>
      <c r="G1491" s="14" t="s">
        <v>5457</v>
      </c>
      <c r="H1491" s="14" t="s">
        <v>5458</v>
      </c>
      <c r="I1491" s="14" t="s">
        <v>5459</v>
      </c>
      <c r="J1491" s="14" t="s">
        <v>5460</v>
      </c>
      <c r="K1491" s="2" t="s">
        <v>24</v>
      </c>
      <c r="L1491" s="16">
        <v>45870.0</v>
      </c>
      <c r="M1491" s="15" t="s">
        <v>5401</v>
      </c>
      <c r="N1491" s="14" t="s">
        <v>26</v>
      </c>
      <c r="O1491" s="14" t="s">
        <v>116</v>
      </c>
    </row>
    <row r="1492" ht="14.25" customHeight="1">
      <c r="A1492" s="17">
        <v>1.9812833E7</v>
      </c>
      <c r="B1492" s="14" t="s">
        <v>5461</v>
      </c>
      <c r="C1492" s="15" t="s">
        <v>5401</v>
      </c>
      <c r="D1492" s="2" t="s">
        <v>18</v>
      </c>
      <c r="G1492" s="14" t="s">
        <v>5462</v>
      </c>
      <c r="H1492" s="14" t="s">
        <v>5463</v>
      </c>
      <c r="I1492" s="14" t="s">
        <v>5464</v>
      </c>
      <c r="J1492" s="14" t="s">
        <v>5465</v>
      </c>
      <c r="K1492" s="2" t="s">
        <v>24</v>
      </c>
      <c r="L1492" s="7"/>
      <c r="M1492" s="15" t="s">
        <v>5401</v>
      </c>
      <c r="N1492" s="14" t="s">
        <v>186</v>
      </c>
      <c r="O1492" s="14" t="s">
        <v>27</v>
      </c>
    </row>
    <row r="1493" ht="14.25" customHeight="1">
      <c r="A1493" s="17">
        <v>2.5607065E7</v>
      </c>
      <c r="B1493" s="14" t="s">
        <v>5466</v>
      </c>
      <c r="C1493" s="15" t="s">
        <v>5401</v>
      </c>
      <c r="D1493" s="2" t="s">
        <v>18</v>
      </c>
      <c r="G1493" s="14" t="s">
        <v>5467</v>
      </c>
      <c r="H1493" s="14" t="s">
        <v>5468</v>
      </c>
      <c r="I1493" s="14" t="s">
        <v>5469</v>
      </c>
      <c r="J1493" s="14" t="s">
        <v>5470</v>
      </c>
      <c r="K1493" s="2" t="s">
        <v>24</v>
      </c>
      <c r="L1493" s="16">
        <v>45904.0</v>
      </c>
      <c r="M1493" s="15" t="s">
        <v>5401</v>
      </c>
      <c r="N1493" s="14" t="s">
        <v>26</v>
      </c>
      <c r="O1493" s="14" t="s">
        <v>116</v>
      </c>
    </row>
    <row r="1494" ht="14.25" customHeight="1">
      <c r="A1494" s="17">
        <v>1.6347769E7</v>
      </c>
      <c r="B1494" s="14" t="s">
        <v>5471</v>
      </c>
      <c r="C1494" s="15" t="s">
        <v>5401</v>
      </c>
      <c r="D1494" s="2" t="s">
        <v>18</v>
      </c>
      <c r="G1494" s="14" t="s">
        <v>5472</v>
      </c>
      <c r="H1494" s="14" t="s">
        <v>5473</v>
      </c>
      <c r="I1494" s="14" t="s">
        <v>5410</v>
      </c>
      <c r="J1494" s="14" t="s">
        <v>5411</v>
      </c>
      <c r="K1494" s="2" t="s">
        <v>24</v>
      </c>
      <c r="L1494" s="16">
        <v>45852.0</v>
      </c>
      <c r="M1494" s="15" t="s">
        <v>5401</v>
      </c>
      <c r="N1494" s="14" t="s">
        <v>5406</v>
      </c>
      <c r="O1494" s="14" t="s">
        <v>27</v>
      </c>
    </row>
    <row r="1495" ht="14.25" customHeight="1">
      <c r="A1495" s="17">
        <v>1.9121011E7</v>
      </c>
      <c r="B1495" s="14" t="s">
        <v>5474</v>
      </c>
      <c r="C1495" s="15" t="s">
        <v>5401</v>
      </c>
      <c r="D1495" s="2" t="s">
        <v>18</v>
      </c>
      <c r="G1495" s="14" t="s">
        <v>5475</v>
      </c>
      <c r="H1495" s="14" t="s">
        <v>5476</v>
      </c>
      <c r="I1495" s="14" t="s">
        <v>5477</v>
      </c>
      <c r="J1495" s="14" t="s">
        <v>5478</v>
      </c>
      <c r="K1495" s="2" t="s">
        <v>24</v>
      </c>
      <c r="L1495" s="16">
        <v>45750.0</v>
      </c>
      <c r="M1495" s="15" t="s">
        <v>5401</v>
      </c>
      <c r="N1495" s="14" t="s">
        <v>5406</v>
      </c>
      <c r="O1495" s="14" t="s">
        <v>27</v>
      </c>
    </row>
    <row r="1496" ht="14.25" customHeight="1">
      <c r="A1496" s="17">
        <v>1.9799192E7</v>
      </c>
      <c r="B1496" s="14" t="s">
        <v>5479</v>
      </c>
      <c r="C1496" s="15" t="s">
        <v>5401</v>
      </c>
      <c r="D1496" s="2" t="s">
        <v>18</v>
      </c>
      <c r="G1496" s="14" t="s">
        <v>5480</v>
      </c>
      <c r="H1496" s="14" t="s">
        <v>5481</v>
      </c>
      <c r="I1496" s="14" t="s">
        <v>5404</v>
      </c>
      <c r="J1496" s="14" t="s">
        <v>5405</v>
      </c>
      <c r="K1496" s="2" t="s">
        <v>24</v>
      </c>
      <c r="L1496" s="16">
        <v>45870.0</v>
      </c>
      <c r="M1496" s="15" t="s">
        <v>5401</v>
      </c>
      <c r="N1496" s="14" t="s">
        <v>5406</v>
      </c>
      <c r="O1496" s="14" t="s">
        <v>27</v>
      </c>
    </row>
    <row r="1497" ht="14.25" customHeight="1">
      <c r="A1497" s="17">
        <v>1.2529467E7</v>
      </c>
      <c r="B1497" s="14" t="s">
        <v>5482</v>
      </c>
      <c r="C1497" s="15" t="s">
        <v>5401</v>
      </c>
      <c r="D1497" s="2" t="s">
        <v>18</v>
      </c>
      <c r="G1497" s="14" t="s">
        <v>5483</v>
      </c>
      <c r="H1497" s="14" t="s">
        <v>5484</v>
      </c>
      <c r="I1497" s="14" t="s">
        <v>61</v>
      </c>
      <c r="J1497" s="14" t="s">
        <v>5455</v>
      </c>
      <c r="K1497" s="2" t="s">
        <v>24</v>
      </c>
      <c r="L1497" s="16">
        <v>45870.0</v>
      </c>
      <c r="M1497" s="15" t="s">
        <v>5401</v>
      </c>
      <c r="N1497" s="14" t="s">
        <v>5406</v>
      </c>
      <c r="O1497" s="14" t="s">
        <v>27</v>
      </c>
    </row>
    <row r="1498" ht="14.25" customHeight="1">
      <c r="A1498" s="17">
        <v>1.2926052E7</v>
      </c>
      <c r="B1498" s="14" t="s">
        <v>5485</v>
      </c>
      <c r="C1498" s="15" t="s">
        <v>5401</v>
      </c>
      <c r="D1498" s="2" t="s">
        <v>18</v>
      </c>
      <c r="G1498" s="14" t="s">
        <v>5486</v>
      </c>
      <c r="H1498" s="14" t="s">
        <v>5421</v>
      </c>
      <c r="I1498" s="14" t="s">
        <v>5410</v>
      </c>
      <c r="J1498" s="14" t="s">
        <v>5411</v>
      </c>
      <c r="K1498" s="2" t="s">
        <v>24</v>
      </c>
      <c r="L1498" s="16">
        <v>45873.0</v>
      </c>
      <c r="M1498" s="15" t="s">
        <v>5401</v>
      </c>
      <c r="N1498" s="14" t="s">
        <v>5406</v>
      </c>
      <c r="O1498" s="14" t="s">
        <v>27</v>
      </c>
    </row>
    <row r="1499" ht="14.25" customHeight="1">
      <c r="A1499" s="17">
        <v>1.8137625E7</v>
      </c>
      <c r="B1499" s="14" t="s">
        <v>5487</v>
      </c>
      <c r="C1499" s="15" t="s">
        <v>5401</v>
      </c>
      <c r="D1499" s="2" t="s">
        <v>18</v>
      </c>
      <c r="G1499" s="14" t="s">
        <v>5488</v>
      </c>
      <c r="H1499" s="14" t="s">
        <v>5403</v>
      </c>
      <c r="I1499" s="14" t="s">
        <v>5404</v>
      </c>
      <c r="J1499" s="14" t="s">
        <v>5405</v>
      </c>
      <c r="K1499" s="2" t="s">
        <v>24</v>
      </c>
      <c r="L1499" s="16">
        <v>45873.0</v>
      </c>
      <c r="M1499" s="15" t="s">
        <v>5401</v>
      </c>
      <c r="N1499" s="14" t="s">
        <v>5406</v>
      </c>
      <c r="O1499" s="14" t="s">
        <v>27</v>
      </c>
    </row>
    <row r="1500" ht="14.25" customHeight="1">
      <c r="A1500" s="17">
        <v>1.6599294E7</v>
      </c>
      <c r="B1500" s="14" t="s">
        <v>5489</v>
      </c>
      <c r="C1500" s="15" t="s">
        <v>5401</v>
      </c>
      <c r="D1500" s="2" t="s">
        <v>18</v>
      </c>
      <c r="G1500" s="14" t="s">
        <v>5490</v>
      </c>
      <c r="H1500" s="14" t="s">
        <v>5491</v>
      </c>
      <c r="I1500" s="14" t="s">
        <v>381</v>
      </c>
      <c r="J1500" s="14" t="s">
        <v>5492</v>
      </c>
      <c r="K1500" s="2" t="s">
        <v>24</v>
      </c>
      <c r="L1500" s="16">
        <v>45839.0</v>
      </c>
      <c r="M1500" s="15" t="s">
        <v>5401</v>
      </c>
      <c r="N1500" s="14" t="s">
        <v>5406</v>
      </c>
      <c r="O1500" s="14" t="s">
        <v>27</v>
      </c>
    </row>
    <row r="1501" ht="14.25" customHeight="1">
      <c r="A1501" s="17">
        <v>1.1572728E7</v>
      </c>
      <c r="B1501" s="14" t="s">
        <v>5493</v>
      </c>
      <c r="C1501" s="15" t="s">
        <v>5401</v>
      </c>
      <c r="D1501" s="2" t="s">
        <v>18</v>
      </c>
      <c r="G1501" s="14" t="s">
        <v>5494</v>
      </c>
      <c r="H1501" s="14" t="s">
        <v>5495</v>
      </c>
      <c r="I1501" s="14" t="s">
        <v>61</v>
      </c>
      <c r="J1501" s="14" t="s">
        <v>5455</v>
      </c>
      <c r="K1501" s="2" t="s">
        <v>24</v>
      </c>
      <c r="L1501" s="16">
        <v>45870.0</v>
      </c>
      <c r="M1501" s="15" t="s">
        <v>5401</v>
      </c>
      <c r="N1501" s="14" t="s">
        <v>5406</v>
      </c>
      <c r="O1501" s="14" t="s">
        <v>27</v>
      </c>
    </row>
    <row r="1502" ht="14.25" customHeight="1">
      <c r="A1502" s="17">
        <v>1.3727178E7</v>
      </c>
      <c r="B1502" s="14" t="s">
        <v>5496</v>
      </c>
      <c r="C1502" s="15" t="s">
        <v>5401</v>
      </c>
      <c r="D1502" s="2" t="s">
        <v>18</v>
      </c>
      <c r="G1502" s="14" t="s">
        <v>5497</v>
      </c>
      <c r="H1502" s="14" t="s">
        <v>5421</v>
      </c>
      <c r="I1502" s="14" t="s">
        <v>5410</v>
      </c>
      <c r="J1502" s="14" t="s">
        <v>5411</v>
      </c>
      <c r="K1502" s="2" t="s">
        <v>24</v>
      </c>
      <c r="L1502" s="16">
        <v>45873.0</v>
      </c>
      <c r="M1502" s="15" t="s">
        <v>5401</v>
      </c>
      <c r="N1502" s="14" t="s">
        <v>5406</v>
      </c>
      <c r="O1502" s="14" t="s">
        <v>27</v>
      </c>
    </row>
    <row r="1503" ht="14.25" customHeight="1">
      <c r="A1503" s="17">
        <v>1.9297636E7</v>
      </c>
      <c r="B1503" s="14" t="s">
        <v>5498</v>
      </c>
      <c r="C1503" s="15" t="s">
        <v>5401</v>
      </c>
      <c r="D1503" s="2" t="s">
        <v>18</v>
      </c>
      <c r="G1503" s="14" t="s">
        <v>5499</v>
      </c>
      <c r="H1503" s="14" t="s">
        <v>5403</v>
      </c>
      <c r="I1503" s="14" t="s">
        <v>5404</v>
      </c>
      <c r="J1503" s="14" t="s">
        <v>5405</v>
      </c>
      <c r="K1503" s="2" t="s">
        <v>24</v>
      </c>
      <c r="L1503" s="16">
        <v>45873.0</v>
      </c>
      <c r="M1503" s="15" t="s">
        <v>5401</v>
      </c>
      <c r="N1503" s="14" t="s">
        <v>5406</v>
      </c>
      <c r="O1503" s="14" t="s">
        <v>27</v>
      </c>
    </row>
    <row r="1504" ht="14.25" customHeight="1">
      <c r="A1504" s="17">
        <v>2.0019547E7</v>
      </c>
      <c r="B1504" s="14" t="s">
        <v>5500</v>
      </c>
      <c r="C1504" s="15" t="s">
        <v>5401</v>
      </c>
      <c r="D1504" s="2" t="s">
        <v>18</v>
      </c>
      <c r="G1504" s="14" t="s">
        <v>5501</v>
      </c>
      <c r="H1504" s="14" t="s">
        <v>5502</v>
      </c>
      <c r="I1504" s="14" t="s">
        <v>5503</v>
      </c>
      <c r="J1504" s="14" t="s">
        <v>5504</v>
      </c>
      <c r="K1504" s="2" t="s">
        <v>24</v>
      </c>
      <c r="L1504" s="16">
        <v>45901.0</v>
      </c>
      <c r="M1504" s="15" t="s">
        <v>5401</v>
      </c>
      <c r="N1504" s="14" t="s">
        <v>5406</v>
      </c>
      <c r="O1504" s="14" t="s">
        <v>27</v>
      </c>
    </row>
    <row r="1505" ht="14.25" customHeight="1">
      <c r="A1505" s="17">
        <v>1.8821635E7</v>
      </c>
      <c r="B1505" s="14" t="s">
        <v>5505</v>
      </c>
      <c r="C1505" s="15" t="s">
        <v>5401</v>
      </c>
      <c r="D1505" s="2" t="s">
        <v>18</v>
      </c>
      <c r="G1505" s="14" t="s">
        <v>5506</v>
      </c>
      <c r="H1505" s="14" t="s">
        <v>5421</v>
      </c>
      <c r="I1505" s="14" t="s">
        <v>5410</v>
      </c>
      <c r="J1505" s="14" t="s">
        <v>5411</v>
      </c>
      <c r="K1505" s="2" t="s">
        <v>24</v>
      </c>
      <c r="L1505" s="16">
        <v>45901.0</v>
      </c>
      <c r="M1505" s="15" t="s">
        <v>5401</v>
      </c>
      <c r="N1505" s="14" t="s">
        <v>5406</v>
      </c>
      <c r="O1505" s="14" t="s">
        <v>27</v>
      </c>
    </row>
    <row r="1506" ht="14.25" customHeight="1">
      <c r="A1506" s="17">
        <v>2.0830689E7</v>
      </c>
      <c r="B1506" s="14" t="s">
        <v>5507</v>
      </c>
      <c r="C1506" s="15" t="s">
        <v>5401</v>
      </c>
      <c r="D1506" s="2" t="s">
        <v>18</v>
      </c>
      <c r="G1506" s="14" t="s">
        <v>5508</v>
      </c>
      <c r="H1506" s="14" t="s">
        <v>5509</v>
      </c>
      <c r="I1506" s="14" t="s">
        <v>5510</v>
      </c>
      <c r="J1506" s="14" t="s">
        <v>5511</v>
      </c>
      <c r="K1506" s="2" t="s">
        <v>24</v>
      </c>
      <c r="L1506" s="16">
        <v>45783.0</v>
      </c>
      <c r="M1506" s="15" t="s">
        <v>5401</v>
      </c>
      <c r="N1506" s="14" t="s">
        <v>5406</v>
      </c>
      <c r="O1506" s="14" t="s">
        <v>27</v>
      </c>
    </row>
    <row r="1507" ht="14.25" customHeight="1">
      <c r="A1507" s="17">
        <v>2.0868591E7</v>
      </c>
      <c r="B1507" s="14" t="s">
        <v>5512</v>
      </c>
      <c r="C1507" s="15" t="s">
        <v>5401</v>
      </c>
      <c r="D1507" s="2" t="s">
        <v>18</v>
      </c>
      <c r="G1507" s="14" t="s">
        <v>5513</v>
      </c>
      <c r="H1507" s="14" t="s">
        <v>5403</v>
      </c>
      <c r="I1507" s="14" t="s">
        <v>5404</v>
      </c>
      <c r="J1507" s="14" t="s">
        <v>5405</v>
      </c>
      <c r="K1507" s="2" t="s">
        <v>24</v>
      </c>
      <c r="L1507" s="16">
        <v>45873.0</v>
      </c>
      <c r="M1507" s="15" t="s">
        <v>5401</v>
      </c>
      <c r="N1507" s="14" t="s">
        <v>5406</v>
      </c>
      <c r="O1507" s="14" t="s">
        <v>27</v>
      </c>
    </row>
    <row r="1508" ht="14.25" customHeight="1">
      <c r="A1508" s="17">
        <v>1.9799962E7</v>
      </c>
      <c r="B1508" s="14" t="s">
        <v>5514</v>
      </c>
      <c r="C1508" s="15" t="s">
        <v>5401</v>
      </c>
      <c r="D1508" s="2" t="s">
        <v>18</v>
      </c>
      <c r="G1508" s="14" t="s">
        <v>5515</v>
      </c>
      <c r="H1508" s="14" t="s">
        <v>5516</v>
      </c>
      <c r="I1508" s="14" t="s">
        <v>622</v>
      </c>
      <c r="J1508" s="14" t="s">
        <v>5517</v>
      </c>
      <c r="K1508" s="2" t="s">
        <v>24</v>
      </c>
      <c r="L1508" s="16">
        <v>45911.0</v>
      </c>
      <c r="M1508" s="15" t="s">
        <v>5401</v>
      </c>
      <c r="N1508" s="14" t="s">
        <v>5406</v>
      </c>
      <c r="O1508" s="14" t="s">
        <v>27</v>
      </c>
    </row>
    <row r="1509" ht="14.25" customHeight="1">
      <c r="A1509" s="17">
        <v>1.6012172E7</v>
      </c>
      <c r="B1509" s="14" t="s">
        <v>5518</v>
      </c>
      <c r="C1509" s="15" t="s">
        <v>5401</v>
      </c>
      <c r="D1509" s="2" t="s">
        <v>18</v>
      </c>
      <c r="G1509" s="14" t="s">
        <v>5519</v>
      </c>
      <c r="H1509" s="14" t="s">
        <v>5421</v>
      </c>
      <c r="I1509" s="14" t="s">
        <v>5410</v>
      </c>
      <c r="J1509" s="14" t="s">
        <v>5411</v>
      </c>
      <c r="K1509" s="2" t="s">
        <v>24</v>
      </c>
      <c r="L1509" s="16">
        <v>45870.0</v>
      </c>
      <c r="M1509" s="15" t="s">
        <v>5401</v>
      </c>
      <c r="N1509" s="14" t="s">
        <v>5406</v>
      </c>
      <c r="O1509" s="14" t="s">
        <v>27</v>
      </c>
    </row>
    <row r="1510" ht="14.25" customHeight="1">
      <c r="A1510" s="17">
        <v>1.9508172E7</v>
      </c>
      <c r="B1510" s="14" t="s">
        <v>5520</v>
      </c>
      <c r="C1510" s="15" t="s">
        <v>5401</v>
      </c>
      <c r="D1510" s="2" t="s">
        <v>18</v>
      </c>
      <c r="G1510" s="14" t="s">
        <v>5521</v>
      </c>
      <c r="H1510" s="14" t="s">
        <v>5409</v>
      </c>
      <c r="I1510" s="14" t="s">
        <v>5410</v>
      </c>
      <c r="J1510" s="14" t="s">
        <v>5411</v>
      </c>
      <c r="K1510" s="2" t="s">
        <v>24</v>
      </c>
      <c r="L1510" s="16">
        <v>45839.0</v>
      </c>
      <c r="M1510" s="15" t="s">
        <v>5401</v>
      </c>
      <c r="N1510" s="14" t="s">
        <v>5406</v>
      </c>
      <c r="O1510" s="14" t="s">
        <v>27</v>
      </c>
    </row>
    <row r="1511" ht="14.25" customHeight="1">
      <c r="A1511" s="17">
        <v>1.8833082E7</v>
      </c>
      <c r="B1511" s="14" t="s">
        <v>5522</v>
      </c>
      <c r="C1511" s="15" t="s">
        <v>5401</v>
      </c>
      <c r="D1511" s="2" t="s">
        <v>18</v>
      </c>
      <c r="G1511" s="14" t="s">
        <v>5523</v>
      </c>
      <c r="H1511" s="14" t="s">
        <v>5524</v>
      </c>
      <c r="I1511" s="14" t="s">
        <v>5525</v>
      </c>
      <c r="J1511" s="14" t="s">
        <v>5526</v>
      </c>
      <c r="K1511" s="2" t="s">
        <v>24</v>
      </c>
      <c r="L1511" s="7"/>
      <c r="M1511" s="15" t="s">
        <v>5401</v>
      </c>
      <c r="N1511" s="14" t="s">
        <v>208</v>
      </c>
      <c r="O1511" s="14" t="s">
        <v>116</v>
      </c>
    </row>
    <row r="1512" ht="14.25" customHeight="1">
      <c r="A1512" s="17">
        <v>1.3108553E7</v>
      </c>
      <c r="B1512" s="14" t="s">
        <v>5527</v>
      </c>
      <c r="C1512" s="15" t="s">
        <v>5401</v>
      </c>
      <c r="D1512" s="2" t="s">
        <v>18</v>
      </c>
      <c r="G1512" s="14" t="s">
        <v>5528</v>
      </c>
      <c r="H1512" s="14" t="s">
        <v>5484</v>
      </c>
      <c r="I1512" s="14" t="s">
        <v>61</v>
      </c>
      <c r="J1512" s="14" t="s">
        <v>5455</v>
      </c>
      <c r="K1512" s="2" t="s">
        <v>24</v>
      </c>
      <c r="L1512" s="16">
        <v>45870.0</v>
      </c>
      <c r="M1512" s="15" t="s">
        <v>5401</v>
      </c>
      <c r="N1512" s="14" t="s">
        <v>5406</v>
      </c>
      <c r="O1512" s="14" t="s">
        <v>27</v>
      </c>
    </row>
    <row r="1513" ht="14.25" customHeight="1">
      <c r="A1513" s="17">
        <v>1.4211835E7</v>
      </c>
      <c r="B1513" s="14" t="s">
        <v>5529</v>
      </c>
      <c r="C1513" s="15" t="s">
        <v>5401</v>
      </c>
      <c r="D1513" s="2" t="s">
        <v>18</v>
      </c>
      <c r="G1513" s="14" t="s">
        <v>5530</v>
      </c>
      <c r="H1513" s="14" t="s">
        <v>5403</v>
      </c>
      <c r="I1513" s="14" t="s">
        <v>5404</v>
      </c>
      <c r="J1513" s="14" t="s">
        <v>5405</v>
      </c>
      <c r="K1513" s="2" t="s">
        <v>24</v>
      </c>
      <c r="L1513" s="16">
        <v>45873.0</v>
      </c>
      <c r="M1513" s="15" t="s">
        <v>5401</v>
      </c>
      <c r="N1513" s="14" t="s">
        <v>5406</v>
      </c>
      <c r="O1513" s="14" t="s">
        <v>27</v>
      </c>
    </row>
    <row r="1514" ht="14.25" customHeight="1">
      <c r="A1514" s="17">
        <v>1.9139174E7</v>
      </c>
      <c r="B1514" s="14" t="s">
        <v>5531</v>
      </c>
      <c r="C1514" s="15" t="s">
        <v>5401</v>
      </c>
      <c r="D1514" s="2" t="s">
        <v>18</v>
      </c>
      <c r="G1514" s="14" t="s">
        <v>5532</v>
      </c>
      <c r="H1514" s="14" t="s">
        <v>5502</v>
      </c>
      <c r="I1514" s="14" t="s">
        <v>5503</v>
      </c>
      <c r="J1514" s="14" t="s">
        <v>5504</v>
      </c>
      <c r="K1514" s="2" t="s">
        <v>24</v>
      </c>
      <c r="L1514" s="16">
        <v>45901.0</v>
      </c>
      <c r="M1514" s="15" t="s">
        <v>5401</v>
      </c>
      <c r="N1514" s="14" t="s">
        <v>5406</v>
      </c>
      <c r="O1514" s="14" t="s">
        <v>27</v>
      </c>
    </row>
    <row r="1515" ht="14.25" customHeight="1">
      <c r="A1515" s="17">
        <v>1.7116768E7</v>
      </c>
      <c r="B1515" s="14" t="s">
        <v>5533</v>
      </c>
      <c r="C1515" s="15" t="s">
        <v>5401</v>
      </c>
      <c r="D1515" s="2" t="s">
        <v>18</v>
      </c>
      <c r="G1515" s="14" t="s">
        <v>5534</v>
      </c>
      <c r="H1515" s="14" t="s">
        <v>5409</v>
      </c>
      <c r="I1515" s="14" t="s">
        <v>5410</v>
      </c>
      <c r="J1515" s="14" t="s">
        <v>5411</v>
      </c>
      <c r="K1515" s="2" t="s">
        <v>24</v>
      </c>
      <c r="L1515" s="16">
        <v>45839.0</v>
      </c>
      <c r="M1515" s="15" t="s">
        <v>5401</v>
      </c>
      <c r="N1515" s="14" t="s">
        <v>5406</v>
      </c>
      <c r="O1515" s="14" t="s">
        <v>27</v>
      </c>
    </row>
    <row r="1516" ht="14.25" customHeight="1">
      <c r="A1516" s="17">
        <v>1.7845204E7</v>
      </c>
      <c r="B1516" s="14" t="s">
        <v>5535</v>
      </c>
      <c r="C1516" s="15" t="s">
        <v>5401</v>
      </c>
      <c r="D1516" s="2" t="s">
        <v>18</v>
      </c>
      <c r="G1516" s="14" t="s">
        <v>5536</v>
      </c>
      <c r="H1516" s="14" t="s">
        <v>5484</v>
      </c>
      <c r="I1516" s="14" t="s">
        <v>61</v>
      </c>
      <c r="J1516" s="14" t="s">
        <v>5455</v>
      </c>
      <c r="K1516" s="2" t="s">
        <v>24</v>
      </c>
      <c r="L1516" s="16">
        <v>45870.0</v>
      </c>
      <c r="M1516" s="15" t="s">
        <v>5401</v>
      </c>
      <c r="N1516" s="14" t="s">
        <v>5406</v>
      </c>
      <c r="O1516" s="14" t="s">
        <v>27</v>
      </c>
    </row>
    <row r="1517" ht="14.25" customHeight="1">
      <c r="A1517" s="17">
        <v>1.6328477E7</v>
      </c>
      <c r="B1517" s="14" t="s">
        <v>5537</v>
      </c>
      <c r="C1517" s="15" t="s">
        <v>5401</v>
      </c>
      <c r="D1517" s="2" t="s">
        <v>18</v>
      </c>
      <c r="G1517" s="14" t="s">
        <v>5538</v>
      </c>
      <c r="H1517" s="14" t="s">
        <v>5409</v>
      </c>
      <c r="I1517" s="14" t="s">
        <v>5410</v>
      </c>
      <c r="J1517" s="14" t="s">
        <v>5411</v>
      </c>
      <c r="K1517" s="2" t="s">
        <v>24</v>
      </c>
      <c r="L1517" s="16">
        <v>45839.0</v>
      </c>
      <c r="M1517" s="15" t="s">
        <v>5401</v>
      </c>
      <c r="N1517" s="14" t="s">
        <v>5406</v>
      </c>
      <c r="O1517" s="14" t="s">
        <v>27</v>
      </c>
    </row>
    <row r="1518" ht="14.25" customHeight="1">
      <c r="A1518" s="17">
        <v>1.2303616E7</v>
      </c>
      <c r="B1518" s="14" t="s">
        <v>5539</v>
      </c>
      <c r="C1518" s="15" t="s">
        <v>5401</v>
      </c>
      <c r="D1518" s="2" t="s">
        <v>18</v>
      </c>
      <c r="G1518" s="14" t="s">
        <v>5540</v>
      </c>
      <c r="H1518" s="14" t="s">
        <v>5421</v>
      </c>
      <c r="I1518" s="14" t="s">
        <v>5410</v>
      </c>
      <c r="J1518" s="14" t="s">
        <v>5411</v>
      </c>
      <c r="K1518" s="2" t="s">
        <v>24</v>
      </c>
      <c r="L1518" s="16">
        <v>45880.0</v>
      </c>
      <c r="M1518" s="15" t="s">
        <v>5401</v>
      </c>
      <c r="N1518" s="14" t="s">
        <v>5406</v>
      </c>
      <c r="O1518" s="14" t="s">
        <v>27</v>
      </c>
    </row>
    <row r="1519" ht="14.25" customHeight="1">
      <c r="A1519" s="17">
        <v>1.6348085E7</v>
      </c>
      <c r="B1519" s="14" t="s">
        <v>5541</v>
      </c>
      <c r="C1519" s="15" t="s">
        <v>5401</v>
      </c>
      <c r="D1519" s="2" t="s">
        <v>18</v>
      </c>
      <c r="G1519" s="14" t="s">
        <v>5542</v>
      </c>
      <c r="H1519" s="14" t="s">
        <v>5421</v>
      </c>
      <c r="I1519" s="14" t="s">
        <v>5410</v>
      </c>
      <c r="J1519" s="14" t="s">
        <v>5411</v>
      </c>
      <c r="K1519" s="2" t="s">
        <v>24</v>
      </c>
      <c r="L1519" s="16">
        <v>45873.0</v>
      </c>
      <c r="M1519" s="15" t="s">
        <v>5401</v>
      </c>
      <c r="N1519" s="14" t="s">
        <v>5406</v>
      </c>
      <c r="O1519" s="14" t="s">
        <v>27</v>
      </c>
    </row>
    <row r="1520" ht="14.25" customHeight="1">
      <c r="A1520" s="17">
        <v>1.744468E7</v>
      </c>
      <c r="B1520" s="14" t="s">
        <v>5543</v>
      </c>
      <c r="C1520" s="15" t="s">
        <v>5401</v>
      </c>
      <c r="D1520" s="2" t="s">
        <v>18</v>
      </c>
      <c r="G1520" s="14" t="s">
        <v>5544</v>
      </c>
      <c r="H1520" s="14" t="s">
        <v>5421</v>
      </c>
      <c r="I1520" s="14" t="s">
        <v>5410</v>
      </c>
      <c r="J1520" s="14" t="s">
        <v>5411</v>
      </c>
      <c r="K1520" s="2" t="s">
        <v>24</v>
      </c>
      <c r="L1520" s="16">
        <v>45870.0</v>
      </c>
      <c r="M1520" s="15" t="s">
        <v>5401</v>
      </c>
      <c r="N1520" s="14" t="s">
        <v>5406</v>
      </c>
      <c r="O1520" s="14" t="s">
        <v>27</v>
      </c>
    </row>
    <row r="1521" ht="14.25" customHeight="1">
      <c r="A1521" s="17">
        <v>1.9531159E7</v>
      </c>
      <c r="B1521" s="14" t="s">
        <v>5545</v>
      </c>
      <c r="C1521" s="15" t="s">
        <v>5401</v>
      </c>
      <c r="D1521" s="2" t="s">
        <v>18</v>
      </c>
      <c r="G1521" s="14" t="s">
        <v>5546</v>
      </c>
      <c r="H1521" s="14" t="s">
        <v>5421</v>
      </c>
      <c r="I1521" s="14" t="s">
        <v>5410</v>
      </c>
      <c r="J1521" s="14" t="s">
        <v>5411</v>
      </c>
      <c r="K1521" s="2" t="s">
        <v>24</v>
      </c>
      <c r="L1521" s="16">
        <v>45870.0</v>
      </c>
      <c r="M1521" s="15" t="s">
        <v>5401</v>
      </c>
      <c r="N1521" s="14" t="s">
        <v>5406</v>
      </c>
      <c r="O1521" s="14" t="s">
        <v>27</v>
      </c>
    </row>
    <row r="1522" ht="14.25" customHeight="1">
      <c r="A1522" s="17">
        <v>1.7572986E7</v>
      </c>
      <c r="B1522" s="14" t="s">
        <v>5547</v>
      </c>
      <c r="C1522" s="15" t="s">
        <v>5401</v>
      </c>
      <c r="D1522" s="2" t="s">
        <v>18</v>
      </c>
      <c r="G1522" s="14" t="s">
        <v>5548</v>
      </c>
      <c r="H1522" s="14" t="s">
        <v>5549</v>
      </c>
      <c r="I1522" s="14" t="s">
        <v>5432</v>
      </c>
      <c r="J1522" s="14" t="s">
        <v>5433</v>
      </c>
      <c r="K1522" s="2" t="s">
        <v>24</v>
      </c>
      <c r="L1522" s="16">
        <v>45717.0</v>
      </c>
      <c r="M1522" s="15" t="s">
        <v>5401</v>
      </c>
      <c r="N1522" s="14" t="s">
        <v>26</v>
      </c>
      <c r="O1522" s="14" t="s">
        <v>200</v>
      </c>
    </row>
    <row r="1523" ht="14.25" customHeight="1">
      <c r="A1523" s="17">
        <v>1.4502748E7</v>
      </c>
      <c r="B1523" s="14" t="s">
        <v>5550</v>
      </c>
      <c r="C1523" s="15" t="s">
        <v>5401</v>
      </c>
      <c r="D1523" s="2" t="s">
        <v>18</v>
      </c>
      <c r="G1523" s="14" t="s">
        <v>5551</v>
      </c>
      <c r="H1523" s="14" t="s">
        <v>5552</v>
      </c>
      <c r="I1523" s="14" t="s">
        <v>5553</v>
      </c>
      <c r="J1523" s="14" t="s">
        <v>5554</v>
      </c>
      <c r="K1523" s="2" t="s">
        <v>24</v>
      </c>
      <c r="L1523" s="16">
        <v>45910.0</v>
      </c>
      <c r="M1523" s="15" t="s">
        <v>5401</v>
      </c>
      <c r="N1523" s="14" t="s">
        <v>161</v>
      </c>
      <c r="O1523" s="14" t="s">
        <v>116</v>
      </c>
    </row>
    <row r="1524" ht="14.25" customHeight="1">
      <c r="A1524" s="17">
        <v>1.9800022E7</v>
      </c>
      <c r="B1524" s="14" t="s">
        <v>5555</v>
      </c>
      <c r="C1524" s="15" t="s">
        <v>5401</v>
      </c>
      <c r="D1524" s="2" t="s">
        <v>18</v>
      </c>
      <c r="G1524" s="14" t="s">
        <v>5556</v>
      </c>
      <c r="H1524" s="14" t="s">
        <v>5421</v>
      </c>
      <c r="I1524" s="14" t="s">
        <v>5410</v>
      </c>
      <c r="J1524" s="14" t="s">
        <v>5411</v>
      </c>
      <c r="K1524" s="2" t="s">
        <v>24</v>
      </c>
      <c r="L1524" s="16">
        <v>45870.0</v>
      </c>
      <c r="M1524" s="15" t="s">
        <v>5401</v>
      </c>
      <c r="N1524" s="14" t="s">
        <v>5406</v>
      </c>
      <c r="O1524" s="14" t="s">
        <v>27</v>
      </c>
    </row>
    <row r="1525" ht="14.25" customHeight="1">
      <c r="A1525" s="17">
        <v>1.6504102E7</v>
      </c>
      <c r="B1525" s="14" t="s">
        <v>5557</v>
      </c>
      <c r="C1525" s="15" t="s">
        <v>5401</v>
      </c>
      <c r="D1525" s="2" t="s">
        <v>18</v>
      </c>
      <c r="G1525" s="14" t="s">
        <v>5558</v>
      </c>
      <c r="H1525" s="14" t="s">
        <v>5559</v>
      </c>
      <c r="I1525" s="14" t="s">
        <v>5560</v>
      </c>
      <c r="J1525" s="14" t="s">
        <v>5561</v>
      </c>
      <c r="K1525" s="2" t="s">
        <v>24</v>
      </c>
      <c r="L1525" s="16">
        <v>45831.0</v>
      </c>
      <c r="M1525" s="15" t="s">
        <v>5401</v>
      </c>
      <c r="N1525" s="14" t="s">
        <v>161</v>
      </c>
      <c r="O1525" s="14" t="s">
        <v>27</v>
      </c>
    </row>
    <row r="1526" ht="14.25" customHeight="1">
      <c r="A1526" s="18">
        <v>1.9087375E7</v>
      </c>
      <c r="B1526" s="14" t="s">
        <v>5562</v>
      </c>
      <c r="C1526" s="15" t="s">
        <v>5401</v>
      </c>
      <c r="D1526" s="2" t="s">
        <v>18</v>
      </c>
      <c r="G1526" s="14" t="s">
        <v>5563</v>
      </c>
      <c r="H1526" s="14" t="s">
        <v>5442</v>
      </c>
      <c r="I1526" s="14" t="s">
        <v>5443</v>
      </c>
      <c r="J1526" s="14" t="s">
        <v>5444</v>
      </c>
      <c r="K1526" s="2" t="s">
        <v>24</v>
      </c>
      <c r="L1526" s="16">
        <v>45916.0</v>
      </c>
      <c r="M1526" s="15" t="s">
        <v>5401</v>
      </c>
      <c r="N1526" s="14" t="s">
        <v>5406</v>
      </c>
      <c r="O1526" s="14" t="s">
        <v>27</v>
      </c>
    </row>
  </sheetData>
  <autoFilter ref="$A$1:$P$1526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88"/>
    <col customWidth="1" min="2" max="2" width="14.13"/>
    <col customWidth="1" min="3" max="3" width="31.25"/>
    <col customWidth="1" min="4" max="4" width="47.63"/>
    <col hidden="1" min="5" max="5" width="12.63"/>
    <col customWidth="1" hidden="1" min="6" max="6" width="10.13"/>
    <col customWidth="1" hidden="1" min="7" max="7" width="16.13"/>
    <col customWidth="1" hidden="1" min="8" max="8" width="26.5"/>
    <col customWidth="1" hidden="1" min="9" max="9" width="7.88"/>
    <col customWidth="1" hidden="1" min="10" max="10" width="48.88"/>
    <col customWidth="1" hidden="1" min="11" max="11" width="10.13"/>
    <col customWidth="1" hidden="1" min="12" max="13" width="10.88"/>
    <col customWidth="1" hidden="1" min="14" max="14" width="22.88"/>
    <col customWidth="1" min="15" max="16" width="10.88"/>
    <col customWidth="1" min="17" max="17" width="19.0"/>
    <col customWidth="1" min="18" max="18" width="56.38"/>
    <col customWidth="1" min="19" max="19" width="47.13"/>
    <col customWidth="1" min="20" max="20" width="12.0"/>
    <col customWidth="1" min="21" max="41" width="10.63"/>
  </cols>
  <sheetData>
    <row r="1" ht="19.5" customHeight="1">
      <c r="A1" s="19" t="s">
        <v>5564</v>
      </c>
      <c r="B1" s="20" t="s">
        <v>0</v>
      </c>
      <c r="C1" s="20" t="s">
        <v>5565</v>
      </c>
      <c r="D1" s="20" t="s">
        <v>7</v>
      </c>
      <c r="E1" s="20" t="s">
        <v>5566</v>
      </c>
      <c r="F1" s="20" t="s">
        <v>5567</v>
      </c>
      <c r="G1" s="20" t="s">
        <v>5568</v>
      </c>
      <c r="H1" s="20" t="s">
        <v>5569</v>
      </c>
      <c r="I1" s="20" t="s">
        <v>5570</v>
      </c>
      <c r="J1" s="20" t="s">
        <v>5571</v>
      </c>
      <c r="K1" s="21" t="s">
        <v>5572</v>
      </c>
      <c r="L1" s="20" t="s">
        <v>5573</v>
      </c>
      <c r="M1" s="20" t="s">
        <v>5574</v>
      </c>
      <c r="N1" s="20" t="s">
        <v>5575</v>
      </c>
      <c r="O1" s="20" t="s">
        <v>5576</v>
      </c>
      <c r="P1" s="19" t="s">
        <v>5577</v>
      </c>
      <c r="Q1" s="20" t="s">
        <v>5578</v>
      </c>
      <c r="R1" s="20" t="s">
        <v>5579</v>
      </c>
      <c r="S1" s="20" t="s">
        <v>5580</v>
      </c>
      <c r="T1" s="19" t="s">
        <v>5581</v>
      </c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</row>
    <row r="2" ht="14.25" customHeight="1">
      <c r="A2" s="23">
        <v>1.957764E7</v>
      </c>
      <c r="B2" s="24" t="str">
        <f>VLOOKUP(A2,BBDD!$1:$1048653,2,0)</f>
        <v>19.577.640-7</v>
      </c>
      <c r="C2" s="25" t="str">
        <f>VLOOKUP(A2,BBDD!$1:$1048653,7,0)</f>
        <v>Faundez Roa Jorge Nicolás</v>
      </c>
      <c r="D2" s="24" t="str">
        <f>VLOOKUP(A2,BBDD!$1:$1048653,8,0)</f>
        <v>Tripulante</v>
      </c>
      <c r="E2" s="24" t="str">
        <f>VLOOKUP(A2,BBDD!$1:$1048653,10,0)</f>
        <v>Gerencia de Flota y Abastecimiento de Materias Primas</v>
      </c>
      <c r="F2" s="24" t="str">
        <f>VLOOKUP(A2,BBDD!$1:$1048653,11,0)</f>
        <v>Indefinido</v>
      </c>
      <c r="G2" s="24" t="str">
        <f>VLOOKUP(A2,BBDD!$1:$1048653,13,0)</f>
        <v>Coronel Rol flota</v>
      </c>
      <c r="H2" s="24" t="str">
        <f>VLOOKUP(A2,BBDD!$1:$1048653,14,0)</f>
        <v>Gerencia Corp. Negocio Seafood</v>
      </c>
      <c r="I2" s="24" t="str">
        <f>VLOOKUP(A2,BBDD!$1:$1048653,16,0)</f>
        <v>Rol General (Cargo permanente o proyección indefinido)</v>
      </c>
      <c r="J2" s="24" t="str">
        <f>VLOOKUP(A2,BBDD!$1:$1048653,17,0)</f>
        <v/>
      </c>
      <c r="K2" s="26">
        <f>VLOOKUP(A2,BBDD!$1:$1048653,12,0)</f>
        <v>45611</v>
      </c>
      <c r="L2" s="26" t="str">
        <f>VLOOKUP(A2,BBDD!$1:$1048653,3,0)</f>
        <v>Orizon S.A</v>
      </c>
      <c r="M2" s="26" t="str">
        <f>VLOOKUP(A2,BBDD!$1:$1048653,4,0)</f>
        <v>F2</v>
      </c>
      <c r="N2" s="26" t="str">
        <f>VLOOKUP(A2,BBDD!$1:$1048653,5,0)</f>
        <v>nicolasfaundezr@hotmail.com</v>
      </c>
      <c r="O2" s="27">
        <v>45953.0</v>
      </c>
      <c r="P2" s="23" t="s">
        <v>5582</v>
      </c>
      <c r="Q2" s="23" t="s">
        <v>5583</v>
      </c>
      <c r="R2" s="23" t="s">
        <v>5584</v>
      </c>
      <c r="S2" s="24"/>
      <c r="T2" s="23" t="s">
        <v>5585</v>
      </c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</row>
    <row r="3" ht="14.25" customHeight="1">
      <c r="A3" s="23">
        <v>1.9800216E7</v>
      </c>
      <c r="B3" s="24" t="str">
        <f>VLOOKUP(A3,BBDD!$1:$1048653,2,0)</f>
        <v>19.800.216-k</v>
      </c>
      <c r="C3" s="25" t="str">
        <f>VLOOKUP(A3,BBDD!$1:$1048653,7,0)</f>
        <v>Saez Torres Estefania Alejandra</v>
      </c>
      <c r="D3" s="24" t="str">
        <f>VLOOKUP(A3,BBDD!$1:$1048653,8,0)</f>
        <v>Operario Apoyo Elaboracion</v>
      </c>
      <c r="E3" s="24" t="str">
        <f>VLOOKUP(A3,BBDD!$1:$1048653,10,0)</f>
        <v>Gerencia Producción Pesca</v>
      </c>
      <c r="F3" s="24" t="str">
        <f>VLOOKUP(A3,BBDD!$1:$1048653,11,0)</f>
        <v>Plazo fijo</v>
      </c>
      <c r="G3" s="24" t="str">
        <f>VLOOKUP(A3,BBDD!$1:$1048653,13,0)</f>
        <v>Coronel Rol Eventual</v>
      </c>
      <c r="H3" s="24" t="str">
        <f>VLOOKUP(A3,BBDD!$1:$1048653,14,0)</f>
        <v>Gerencia Corp. Negocio Seafood</v>
      </c>
      <c r="I3" s="24" t="str">
        <f>VLOOKUP(A3,BBDD!$1:$1048653,16,0)</f>
        <v>Temporada (Con ocasión Temporada de Pesca)</v>
      </c>
      <c r="J3" s="24" t="str">
        <f>VLOOKUP(A3,BBDD!$1:$1048653,17,0)</f>
        <v/>
      </c>
      <c r="K3" s="26">
        <f>VLOOKUP(A3,BBDD!$1:$1048653,12,0)</f>
        <v>45941</v>
      </c>
      <c r="L3" s="26" t="str">
        <f>VLOOKUP(A3,BBDD!$1:$1048653,3,0)</f>
        <v>Orizon S.A</v>
      </c>
      <c r="M3" s="26" t="str">
        <f>VLOOKUP(A3,BBDD!$1:$1048653,4,0)</f>
        <v>F1</v>
      </c>
      <c r="N3" s="26" t="str">
        <f>VLOOKUP(A3,BBDD!$1:$1048653,5,0)</f>
        <v>saeztorres16@gmail.com</v>
      </c>
      <c r="O3" s="27">
        <v>45953.0</v>
      </c>
      <c r="P3" s="23" t="s">
        <v>5582</v>
      </c>
      <c r="Q3" s="23" t="s">
        <v>5586</v>
      </c>
      <c r="R3" s="23" t="s">
        <v>5587</v>
      </c>
      <c r="S3" s="23" t="s">
        <v>5588</v>
      </c>
      <c r="T3" s="23" t="s">
        <v>5585</v>
      </c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</row>
    <row r="4" ht="14.25" customHeight="1">
      <c r="A4" s="23">
        <v>1.7320823E7</v>
      </c>
      <c r="B4" s="24" t="str">
        <f>VLOOKUP(A4,BBDD!$1:$1048653,2,0)</f>
        <v>17.320.823-5</v>
      </c>
      <c r="C4" s="25" t="str">
        <f>VLOOKUP(A4,BBDD!$1:$1048653,7,0)</f>
        <v>Fonseca Cardenas Melisa Isabel</v>
      </c>
      <c r="D4" s="24" t="str">
        <f>VLOOKUP(A4,BBDD!$1:$1048653,8,0)</f>
        <v>Administrativo(A) Prod Sap Y Sernapesca</v>
      </c>
      <c r="E4" s="24" t="str">
        <f>VLOOKUP(A4,BBDD!$1:$1048653,10,0)</f>
        <v>Gerencia Producción Pesca</v>
      </c>
      <c r="F4" s="24" t="str">
        <f>VLOOKUP(A4,BBDD!$1:$1048653,11,0)</f>
        <v>Indefinido</v>
      </c>
      <c r="G4" s="24" t="str">
        <f>VLOOKUP(A4,BBDD!$1:$1048653,13,0)</f>
        <v>Coronel Rol Tierra</v>
      </c>
      <c r="H4" s="24" t="str">
        <f>VLOOKUP(A4,BBDD!$1:$1048653,14,0)</f>
        <v>Gerencia Corp. Negocio Seafood</v>
      </c>
      <c r="I4" s="24" t="str">
        <f>VLOOKUP(A4,BBDD!$1:$1048653,16,0)</f>
        <v>Rol General (Cargo permanente o proyección indefinido)</v>
      </c>
      <c r="J4" s="24" t="str">
        <f>VLOOKUP(A4,BBDD!$1:$1048653,17,0)</f>
        <v/>
      </c>
      <c r="K4" s="26">
        <f>VLOOKUP(A4,BBDD!$1:$1048653,12,0)</f>
        <v>42738</v>
      </c>
      <c r="L4" s="26" t="str">
        <f>VLOOKUP(A4,BBDD!$1:$1048653,3,0)</f>
        <v>Orizon S.A</v>
      </c>
      <c r="M4" s="26" t="str">
        <f>VLOOKUP(A4,BBDD!$1:$1048653,4,0)</f>
        <v>F1</v>
      </c>
      <c r="N4" s="26" t="str">
        <f>VLOOKUP(A4,BBDD!$1:$1048653,5,0)</f>
        <v>melissa.fonseca@orizon.cl</v>
      </c>
      <c r="O4" s="27">
        <v>45953.0</v>
      </c>
      <c r="P4" s="23" t="s">
        <v>5582</v>
      </c>
      <c r="Q4" s="23" t="s">
        <v>5589</v>
      </c>
      <c r="R4" s="23" t="s">
        <v>5590</v>
      </c>
      <c r="S4" s="24"/>
      <c r="T4" s="23" t="s">
        <v>5585</v>
      </c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</row>
    <row r="5" ht="14.25" customHeight="1">
      <c r="A5" s="23">
        <v>1.613801E7</v>
      </c>
      <c r="B5" s="24" t="str">
        <f>VLOOKUP(A5,BBDD!$1:$1048653,2,0)</f>
        <v>16.138.010-5</v>
      </c>
      <c r="C5" s="25" t="str">
        <f>VLOOKUP(A5,BBDD!$1:$1048653,7,0)</f>
        <v>Saldias Soto Robinson Antonio</v>
      </c>
      <c r="D5" s="24" t="str">
        <f>VLOOKUP(A5,BBDD!$1:$1048653,8,0)</f>
        <v>Despachador(A) Logistico</v>
      </c>
      <c r="E5" s="24" t="str">
        <f>VLOOKUP(A5,BBDD!$1:$1048653,10,0)</f>
        <v>Gerencia Sales Harinas y Aceite</v>
      </c>
      <c r="F5" s="24" t="str">
        <f>VLOOKUP(A5,BBDD!$1:$1048653,11,0)</f>
        <v>Indefinido</v>
      </c>
      <c r="G5" s="24" t="str">
        <f>VLOOKUP(A5,BBDD!$1:$1048653,13,0)</f>
        <v>Coronel Rol Tierra</v>
      </c>
      <c r="H5" s="24" t="str">
        <f>VLOOKUP(A5,BBDD!$1:$1048653,14,0)</f>
        <v>Gerencia Corp. Supply Chain</v>
      </c>
      <c r="I5" s="24" t="str">
        <f>VLOOKUP(A5,BBDD!$1:$1048653,16,0)</f>
        <v>Rol General (Cargo permanente o proyección indefinido)</v>
      </c>
      <c r="J5" s="24" t="str">
        <f>VLOOKUP(A5,BBDD!$1:$1048653,17,0)</f>
        <v/>
      </c>
      <c r="K5" s="26">
        <f>VLOOKUP(A5,BBDD!$1:$1048653,12,0)</f>
        <v>44896</v>
      </c>
      <c r="L5" s="26" t="str">
        <f>VLOOKUP(A5,BBDD!$1:$1048653,3,0)</f>
        <v>Orizon S.A</v>
      </c>
      <c r="M5" s="26" t="str">
        <f>VLOOKUP(A5,BBDD!$1:$1048653,4,0)</f>
        <v>F1</v>
      </c>
      <c r="N5" s="26" t="str">
        <f>VLOOKUP(A5,BBDD!$1:$1048653,5,0)</f>
        <v>robinson.saldias@orizon.cl</v>
      </c>
      <c r="O5" s="27">
        <v>45953.0</v>
      </c>
      <c r="P5" s="23" t="s">
        <v>5575</v>
      </c>
      <c r="Q5" s="23" t="s">
        <v>5591</v>
      </c>
      <c r="R5" s="23"/>
      <c r="S5" s="23" t="s">
        <v>5592</v>
      </c>
      <c r="T5" s="23" t="s">
        <v>5585</v>
      </c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</row>
    <row r="6" ht="14.25" customHeight="1">
      <c r="A6" s="23">
        <v>1.385303E7</v>
      </c>
      <c r="B6" s="24" t="str">
        <f>VLOOKUP(A6,BBDD!$1:$1048653,2,0)</f>
        <v>13.853.030-2</v>
      </c>
      <c r="C6" s="25" t="str">
        <f>VLOOKUP(A6,BBDD!$1:$1048653,7,0)</f>
        <v>Burgos Zavala Larisa Andrea</v>
      </c>
      <c r="D6" s="24" t="str">
        <f>VLOOKUP(A6,BBDD!$1:$1048653,8,0)</f>
        <v>Jefe(A) De Inocuidad E Higiene Consumo Humano</v>
      </c>
      <c r="E6" s="24" t="str">
        <f>VLOOKUP(A6,BBDD!$1:$1048653,10,0)</f>
        <v>Gerencia Gestión Integrada y Calidad</v>
      </c>
      <c r="F6" s="24" t="str">
        <f>VLOOKUP(A6,BBDD!$1:$1048653,11,0)</f>
        <v>Indefinido</v>
      </c>
      <c r="G6" s="24" t="str">
        <f>VLOOKUP(A6,BBDD!$1:$1048653,13,0)</f>
        <v>Coronel Rol Tierra</v>
      </c>
      <c r="H6" s="24" t="str">
        <f>VLOOKUP(A6,BBDD!$1:$1048653,14,0)</f>
        <v>Gerencia Corp. Negocio Seafood</v>
      </c>
      <c r="I6" s="24" t="str">
        <f>VLOOKUP(A6,BBDD!$1:$1048653,16,0)</f>
        <v>Rol General (Cargo permanente o proyección indefinido)</v>
      </c>
      <c r="J6" s="24" t="str">
        <f>VLOOKUP(A6,BBDD!$1:$1048653,17,0)</f>
        <v/>
      </c>
      <c r="K6" s="26">
        <f>VLOOKUP(A6,BBDD!$1:$1048653,12,0)</f>
        <v>40513</v>
      </c>
      <c r="L6" s="26" t="str">
        <f>VLOOKUP(A6,BBDD!$1:$1048653,3,0)</f>
        <v>Orizon S.A</v>
      </c>
      <c r="M6" s="26" t="str">
        <f>VLOOKUP(A6,BBDD!$1:$1048653,4,0)</f>
        <v>F1</v>
      </c>
      <c r="N6" s="26" t="str">
        <f>VLOOKUP(A6,BBDD!$1:$1048653,5,0)</f>
        <v>larisa.burgos@orizon.cl</v>
      </c>
      <c r="O6" s="27">
        <v>45953.0</v>
      </c>
      <c r="P6" s="23" t="s">
        <v>5582</v>
      </c>
      <c r="Q6" s="23" t="s">
        <v>5589</v>
      </c>
      <c r="R6" s="23" t="s">
        <v>5593</v>
      </c>
      <c r="S6" s="23"/>
      <c r="T6" s="23" t="s">
        <v>5585</v>
      </c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</row>
    <row r="7" ht="14.25" customHeight="1">
      <c r="A7" s="23">
        <v>1.8384012E7</v>
      </c>
      <c r="B7" s="24" t="str">
        <f>VLOOKUP(A7,BBDD!$1:$1048653,2,0)</f>
        <v>18.384.012-6</v>
      </c>
      <c r="C7" s="25" t="str">
        <f>VLOOKUP(A7,BBDD!$1:$1048653,7,0)</f>
        <v>Contreras Alegria Andrea Nicole</v>
      </c>
      <c r="D7" s="24" t="str">
        <f>VLOOKUP(A7,BBDD!$1:$1048653,8,0)</f>
        <v>Analista De Producto Final</v>
      </c>
      <c r="E7" s="24" t="str">
        <f>VLOOKUP(A7,BBDD!$1:$1048653,10,0)</f>
        <v>Gerencia Gestión Integrada y Calidad</v>
      </c>
      <c r="F7" s="24" t="str">
        <f>VLOOKUP(A7,BBDD!$1:$1048653,11,0)</f>
        <v>Indefinido</v>
      </c>
      <c r="G7" s="24" t="str">
        <f>VLOOKUP(A7,BBDD!$1:$1048653,13,0)</f>
        <v>Coronel Rol Tierra</v>
      </c>
      <c r="H7" s="24" t="str">
        <f>VLOOKUP(A7,BBDD!$1:$1048653,14,0)</f>
        <v>Gerencia Corp. Negocio Seafood</v>
      </c>
      <c r="I7" s="24" t="str">
        <f>VLOOKUP(A7,BBDD!$1:$1048653,16,0)</f>
        <v>Rol General (Cargo permanente o proyección indefinido)</v>
      </c>
      <c r="J7" s="24" t="str">
        <f>VLOOKUP(A7,BBDD!$1:$1048653,17,0)</f>
        <v/>
      </c>
      <c r="K7" s="26">
        <f>VLOOKUP(A7,BBDD!$1:$1048653,12,0)</f>
        <v>45303</v>
      </c>
      <c r="L7" s="26" t="str">
        <f>VLOOKUP(A7,BBDD!$1:$1048653,3,0)</f>
        <v>Orizon S.A</v>
      </c>
      <c r="M7" s="26" t="str">
        <f>VLOOKUP(A7,BBDD!$1:$1048653,4,0)</f>
        <v>F1</v>
      </c>
      <c r="N7" s="26" t="str">
        <f>VLOOKUP(A7,BBDD!$1:$1048653,5,0)</f>
        <v>andreanicolecontrerasalegria@gmail.com</v>
      </c>
      <c r="O7" s="27">
        <v>45953.0</v>
      </c>
      <c r="P7" s="23" t="s">
        <v>5594</v>
      </c>
      <c r="Q7" s="28" t="s">
        <v>5591</v>
      </c>
      <c r="R7" s="23" t="s">
        <v>5595</v>
      </c>
      <c r="S7" s="23"/>
      <c r="T7" s="23" t="s">
        <v>5585</v>
      </c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</row>
    <row r="8" ht="14.25" customHeight="1">
      <c r="A8" s="23">
        <v>1.8383966E7</v>
      </c>
      <c r="B8" s="24" t="str">
        <f>VLOOKUP(A8,BBDD!$1:$1048653,2,0)</f>
        <v>18.383.966-7</v>
      </c>
      <c r="C8" s="25" t="str">
        <f>VLOOKUP(A8,BBDD!$1:$1048653,7,0)</f>
        <v>Riffo Contreras Gabriela Andrea</v>
      </c>
      <c r="D8" s="24" t="str">
        <f>VLOOKUP(A8,BBDD!$1:$1048653,8,0)</f>
        <v>Administrativo(A) Prod Sap Y Sernapesca</v>
      </c>
      <c r="E8" s="24" t="str">
        <f>VLOOKUP(A8,BBDD!$1:$1048653,10,0)</f>
        <v>Gerencia Producción Pesca</v>
      </c>
      <c r="F8" s="24" t="str">
        <f>VLOOKUP(A8,BBDD!$1:$1048653,11,0)</f>
        <v>Indefinido</v>
      </c>
      <c r="G8" s="24" t="str">
        <f>VLOOKUP(A8,BBDD!$1:$1048653,13,0)</f>
        <v>Coronel Rol Tierra</v>
      </c>
      <c r="H8" s="24" t="str">
        <f>VLOOKUP(A8,BBDD!$1:$1048653,14,0)</f>
        <v>Gerencia Corp. Negocio Seafood</v>
      </c>
      <c r="I8" s="24" t="str">
        <f>VLOOKUP(A8,BBDD!$1:$1048653,16,0)</f>
        <v>Rol General (Cargo permanente o proyección indefinido)</v>
      </c>
      <c r="J8" s="24" t="str">
        <f>VLOOKUP(A8,BBDD!$1:$1048653,17,0)</f>
        <v/>
      </c>
      <c r="K8" s="26">
        <f>VLOOKUP(A8,BBDD!$1:$1048653,12,0)</f>
        <v>44553</v>
      </c>
      <c r="L8" s="26" t="str">
        <f>VLOOKUP(A8,BBDD!$1:$1048653,3,0)</f>
        <v>Orizon S.A</v>
      </c>
      <c r="M8" s="26" t="str">
        <f>VLOOKUP(A8,BBDD!$1:$1048653,4,0)</f>
        <v>F1</v>
      </c>
      <c r="N8" s="26" t="str">
        <f>VLOOKUP(A8,BBDD!$1:$1048653,5,0)</f>
        <v>gabriela.riffo@orizon.cl</v>
      </c>
      <c r="O8" s="27">
        <v>45953.0</v>
      </c>
      <c r="P8" s="23" t="s">
        <v>5594</v>
      </c>
      <c r="Q8" s="28" t="s">
        <v>5591</v>
      </c>
      <c r="R8" s="23" t="s">
        <v>5595</v>
      </c>
      <c r="S8" s="23"/>
      <c r="T8" s="23" t="s">
        <v>5585</v>
      </c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</row>
    <row r="9" ht="14.25" customHeight="1">
      <c r="A9" s="23">
        <v>1.0117554E7</v>
      </c>
      <c r="B9" s="24" t="str">
        <f>VLOOKUP(A9,BBDD!$1:$1048653,2,0)</f>
        <v>10.117.554-5</v>
      </c>
      <c r="C9" s="25" t="str">
        <f>VLOOKUP(A9,BBDD!$1:$1048653,7,0)</f>
        <v>Torres Torres Marcelo</v>
      </c>
      <c r="D9" s="24" t="str">
        <f>VLOOKUP(A9,BBDD!$1:$1048653,8,0)</f>
        <v>Mecanico De Turno</v>
      </c>
      <c r="E9" s="24" t="str">
        <f>VLOOKUP(A9,BBDD!$1:$1048653,10,0)</f>
        <v>Departamento Ingeniería</v>
      </c>
      <c r="F9" s="24" t="str">
        <f>VLOOKUP(A9,BBDD!$1:$1048653,11,0)</f>
        <v>Indefinido</v>
      </c>
      <c r="G9" s="24" t="str">
        <f>VLOOKUP(A9,BBDD!$1:$1048653,13,0)</f>
        <v>Coronel Rol Tierra</v>
      </c>
      <c r="H9" s="24" t="str">
        <f>VLOOKUP(A9,BBDD!$1:$1048653,14,0)</f>
        <v>Gerencia Corp. Negocio Seafood</v>
      </c>
      <c r="I9" s="24" t="str">
        <f>VLOOKUP(A9,BBDD!$1:$1048653,16,0)</f>
        <v>Rol General (Cargo permanente o proyección indefinido)</v>
      </c>
      <c r="J9" s="24" t="str">
        <f>VLOOKUP(A9,BBDD!$1:$1048653,17,0)</f>
        <v/>
      </c>
      <c r="K9" s="26">
        <f>VLOOKUP(A9,BBDD!$1:$1048653,12,0)</f>
        <v>44525</v>
      </c>
      <c r="L9" s="26" t="str">
        <f>VLOOKUP(A9,BBDD!$1:$1048653,3,0)</f>
        <v>Orizon S.A</v>
      </c>
      <c r="M9" s="26" t="str">
        <f>VLOOKUP(A9,BBDD!$1:$1048653,4,0)</f>
        <v>F1</v>
      </c>
      <c r="N9" s="26" t="str">
        <f>VLOOKUP(A9,BBDD!$1:$1048653,5,0)</f>
        <v>torres.marceloalejandro@gmail.com</v>
      </c>
      <c r="O9" s="27">
        <v>45953.0</v>
      </c>
      <c r="P9" s="23" t="s">
        <v>5594</v>
      </c>
      <c r="Q9" s="23" t="s">
        <v>5583</v>
      </c>
      <c r="R9" s="23" t="s">
        <v>5596</v>
      </c>
      <c r="S9" s="23"/>
      <c r="T9" s="23" t="s">
        <v>5585</v>
      </c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</row>
    <row r="10" ht="14.25" customHeight="1">
      <c r="A10" s="23">
        <v>1.634851E7</v>
      </c>
      <c r="B10" s="24" t="str">
        <f>VLOOKUP(A10,BBDD!$1:$1048653,2,0)</f>
        <v>16.348.510-9</v>
      </c>
      <c r="C10" s="25" t="str">
        <f>VLOOKUP(A10,BBDD!$1:$1048653,7,0)</f>
        <v>Jara Gallardo Jose Miguel</v>
      </c>
      <c r="D10" s="24" t="str">
        <f>VLOOKUP(A10,BBDD!$1:$1048653,8,0)</f>
        <v>Encargado De Trazabilidad Y Sistema De Pesaje</v>
      </c>
      <c r="E10" s="24" t="str">
        <f>VLOOKUP(A10,BBDD!$1:$1048653,10,0)</f>
        <v>Gerencia Producción Pesca</v>
      </c>
      <c r="F10" s="24" t="str">
        <f>VLOOKUP(A10,BBDD!$1:$1048653,11,0)</f>
        <v>Indefinido</v>
      </c>
      <c r="G10" s="24" t="str">
        <f>VLOOKUP(A10,BBDD!$1:$1048653,13,0)</f>
        <v>Coronel Rol Tierra</v>
      </c>
      <c r="H10" s="24" t="str">
        <f>VLOOKUP(A10,BBDD!$1:$1048653,14,0)</f>
        <v>Gerencia Corp. Negocio Seafood</v>
      </c>
      <c r="I10" s="24" t="str">
        <f>VLOOKUP(A10,BBDD!$1:$1048653,16,0)</f>
        <v>Rol General (Cargo permanente o proyección indefinido)</v>
      </c>
      <c r="J10" s="24" t="str">
        <f>VLOOKUP(A10,BBDD!$1:$1048653,17,0)</f>
        <v/>
      </c>
      <c r="K10" s="26">
        <f>VLOOKUP(A10,BBDD!$1:$1048653,12,0)</f>
        <v>41659</v>
      </c>
      <c r="L10" s="26" t="str">
        <f>VLOOKUP(A10,BBDD!$1:$1048653,3,0)</f>
        <v>Orizon S.A</v>
      </c>
      <c r="M10" s="26" t="str">
        <f>VLOOKUP(A10,BBDD!$1:$1048653,4,0)</f>
        <v>F1</v>
      </c>
      <c r="N10" s="26" t="str">
        <f>VLOOKUP(A10,BBDD!$1:$1048653,5,0)</f>
        <v>jose.jara@orizon.cl</v>
      </c>
      <c r="O10" s="27">
        <v>45953.0</v>
      </c>
      <c r="P10" s="23" t="s">
        <v>5594</v>
      </c>
      <c r="Q10" s="23" t="s">
        <v>5597</v>
      </c>
      <c r="R10" s="23"/>
      <c r="S10" s="23"/>
      <c r="T10" s="23" t="s">
        <v>5585</v>
      </c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</row>
    <row r="11" ht="14.25" customHeight="1">
      <c r="A11" s="23">
        <v>1.1353351E7</v>
      </c>
      <c r="B11" s="24" t="str">
        <f>VLOOKUP(A11,BBDD!$1:$1048653,2,0)</f>
        <v>11.353.351-k</v>
      </c>
      <c r="C11" s="25" t="str">
        <f>VLOOKUP(A11,BBDD!$1:$1048653,7,0)</f>
        <v>Guevara Letelier Narciso Wilfredo</v>
      </c>
      <c r="D11" s="24" t="str">
        <f>VLOOKUP(A11,BBDD!$1:$1048653,8,0)</f>
        <v>Logistico Intermedio</v>
      </c>
      <c r="E11" s="24" t="str">
        <f>VLOOKUP(A11,BBDD!$1:$1048653,10,0)</f>
        <v>Gerencia Abastecimiento</v>
      </c>
      <c r="F11" s="24" t="str">
        <f>VLOOKUP(A11,BBDD!$1:$1048653,11,0)</f>
        <v>Indefinido</v>
      </c>
      <c r="G11" s="24" t="str">
        <f>VLOOKUP(A11,BBDD!$1:$1048653,13,0)</f>
        <v>Coronel Rol Tierra</v>
      </c>
      <c r="H11" s="24" t="str">
        <f>VLOOKUP(A11,BBDD!$1:$1048653,14,0)</f>
        <v>Gerencia Corp. Supply Chain</v>
      </c>
      <c r="I11" s="24" t="str">
        <f>VLOOKUP(A11,BBDD!$1:$1048653,16,0)</f>
        <v>Rol General (Cargo permanente o proyección indefinido)</v>
      </c>
      <c r="J11" s="24" t="str">
        <f>VLOOKUP(A11,BBDD!$1:$1048653,17,0)</f>
        <v/>
      </c>
      <c r="K11" s="26">
        <f>VLOOKUP(A11,BBDD!$1:$1048653,12,0)</f>
        <v>40513</v>
      </c>
      <c r="L11" s="26" t="str">
        <f>VLOOKUP(A11,BBDD!$1:$1048653,3,0)</f>
        <v>Orizon S.A</v>
      </c>
      <c r="M11" s="26" t="str">
        <f>VLOOKUP(A11,BBDD!$1:$1048653,4,0)</f>
        <v>F1</v>
      </c>
      <c r="N11" s="26" t="str">
        <f>VLOOKUP(A11,BBDD!$1:$1048653,5,0)</f>
        <v>narciso.guevara@orizon.cl</v>
      </c>
      <c r="O11" s="27">
        <v>45953.0</v>
      </c>
      <c r="P11" s="23" t="s">
        <v>5594</v>
      </c>
      <c r="Q11" s="23" t="s">
        <v>5598</v>
      </c>
      <c r="R11" s="23"/>
      <c r="S11" s="23"/>
      <c r="T11" s="23" t="s">
        <v>5585</v>
      </c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</row>
    <row r="12" ht="14.25" customHeight="1">
      <c r="A12" s="23">
        <v>9753137.0</v>
      </c>
      <c r="B12" s="24" t="str">
        <f>VLOOKUP(A12,BBDD!$1:$1048653,2,0)</f>
        <v>9.753.137-4</v>
      </c>
      <c r="C12" s="25" t="str">
        <f>VLOOKUP(A12,BBDD!$1:$1048653,7,0)</f>
        <v>Manriquez Duran Fabian Gustavo</v>
      </c>
      <c r="D12" s="24" t="str">
        <f>VLOOKUP(A12,BBDD!$1:$1048653,8,0)</f>
        <v>Contramaestre</v>
      </c>
      <c r="E12" s="24" t="str">
        <f>VLOOKUP(A12,BBDD!$1:$1048653,10,0)</f>
        <v>Gerencia de Flota y Abastecimiento de Materias Primas</v>
      </c>
      <c r="F12" s="24" t="str">
        <f>VLOOKUP(A12,BBDD!$1:$1048653,11,0)</f>
        <v>Indefinido</v>
      </c>
      <c r="G12" s="24" t="str">
        <f>VLOOKUP(A12,BBDD!$1:$1048653,13,0)</f>
        <v>Coronel Rol Flota</v>
      </c>
      <c r="H12" s="24" t="str">
        <f>VLOOKUP(A12,BBDD!$1:$1048653,14,0)</f>
        <v>Gerencia Corp. Negocio Seafood</v>
      </c>
      <c r="I12" s="24" t="str">
        <f>VLOOKUP(A12,BBDD!$1:$1048653,16,0)</f>
        <v>Rol General (Cargo permanente o proyección indefinido)</v>
      </c>
      <c r="J12" s="24" t="str">
        <f>VLOOKUP(A12,BBDD!$1:$1048653,17,0)</f>
        <v/>
      </c>
      <c r="K12" s="26">
        <f>VLOOKUP(A12,BBDD!$1:$1048653,12,0)</f>
        <v>40513</v>
      </c>
      <c r="L12" s="26" t="str">
        <f>VLOOKUP(A12,BBDD!$1:$1048653,3,0)</f>
        <v>Orizon S.A</v>
      </c>
      <c r="M12" s="26" t="str">
        <f>VLOOKUP(A12,BBDD!$1:$1048653,4,0)</f>
        <v>F1</v>
      </c>
      <c r="N12" s="26" t="str">
        <f>VLOOKUP(A12,BBDD!$1:$1048653,5,0)</f>
        <v>fmanriquezd@gmail.com</v>
      </c>
      <c r="O12" s="27">
        <v>45953.0</v>
      </c>
      <c r="P12" s="23" t="s">
        <v>5594</v>
      </c>
      <c r="Q12" s="28" t="s">
        <v>5599</v>
      </c>
      <c r="R12" s="23" t="s">
        <v>5600</v>
      </c>
      <c r="S12" s="23"/>
      <c r="T12" s="23" t="s">
        <v>5585</v>
      </c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</row>
    <row r="13" ht="14.25" customHeight="1">
      <c r="A13" s="23">
        <v>1.0</v>
      </c>
      <c r="B13" s="24" t="str">
        <f>VLOOKUP(A13,BBDD!$1:$1048653,2,0)</f>
        <v>Usuario Externo</v>
      </c>
      <c r="C13" s="25" t="str">
        <f>VLOOKUP(A13,BBDD!$1:$1048653,7,0)</f>
        <v>Usuario Externo</v>
      </c>
      <c r="D13" s="24" t="str">
        <f>VLOOKUP(A13,BBDD!$1:$1048653,8,0)</f>
        <v>Usuario Externo</v>
      </c>
      <c r="E13" s="24" t="str">
        <f>VLOOKUP(A13,BBDD!$1:$1048653,10,0)</f>
        <v>Usuario Externo</v>
      </c>
      <c r="F13" s="24" t="str">
        <f>VLOOKUP(A13,BBDD!$1:$1048653,11,0)</f>
        <v>Usuario Externo</v>
      </c>
      <c r="G13" s="24" t="str">
        <f>VLOOKUP(A13,BBDD!$1:$1048653,13,0)</f>
        <v>Usuario Externo</v>
      </c>
      <c r="H13" s="24" t="str">
        <f>VLOOKUP(A13,BBDD!$1:$1048653,14,0)</f>
        <v>Usuario Externo</v>
      </c>
      <c r="I13" s="24" t="str">
        <f>VLOOKUP(A13,BBDD!$1:$1048653,16,0)</f>
        <v>Usuario Externo</v>
      </c>
      <c r="J13" s="24" t="str">
        <f>VLOOKUP(A13,BBDD!$1:$1048653,17,0)</f>
        <v/>
      </c>
      <c r="K13" s="26" t="str">
        <f>VLOOKUP(A13,BBDD!$1:$1048653,12,0)</f>
        <v>Usuario Externo</v>
      </c>
      <c r="L13" s="26" t="str">
        <f>VLOOKUP(A13,BBDD!$1:$1048653,3,0)</f>
        <v>Usuario Externo</v>
      </c>
      <c r="M13" s="26" t="str">
        <f>VLOOKUP(A13,BBDD!$1:$1048653,4,0)</f>
        <v>Usuario Externo</v>
      </c>
      <c r="N13" s="26" t="str">
        <f>VLOOKUP(A13,BBDD!$1:$1048653,5,0)</f>
        <v>Usuario Externo</v>
      </c>
      <c r="O13" s="27">
        <v>45953.0</v>
      </c>
      <c r="P13" s="23" t="s">
        <v>5582</v>
      </c>
      <c r="Q13" s="23" t="s">
        <v>5598</v>
      </c>
      <c r="R13" s="23"/>
      <c r="S13" s="23"/>
      <c r="T13" s="23" t="s">
        <v>5585</v>
      </c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</row>
    <row r="14" ht="14.25" customHeight="1">
      <c r="A14" s="23">
        <v>1.0</v>
      </c>
      <c r="B14" s="24" t="str">
        <f>VLOOKUP(A14,BBDD!$1:$1048653,2,0)</f>
        <v>Usuario Externo</v>
      </c>
      <c r="C14" s="25" t="str">
        <f>VLOOKUP(A14,BBDD!$1:$1048653,7,0)</f>
        <v>Usuario Externo</v>
      </c>
      <c r="D14" s="24" t="str">
        <f>VLOOKUP(A14,BBDD!$1:$1048653,8,0)</f>
        <v>Usuario Externo</v>
      </c>
      <c r="E14" s="24" t="str">
        <f>VLOOKUP(A14,BBDD!$1:$1048653,10,0)</f>
        <v>Usuario Externo</v>
      </c>
      <c r="F14" s="24" t="str">
        <f>VLOOKUP(A14,BBDD!$1:$1048653,11,0)</f>
        <v>Usuario Externo</v>
      </c>
      <c r="G14" s="24" t="str">
        <f>VLOOKUP(A14,BBDD!$1:$1048653,13,0)</f>
        <v>Usuario Externo</v>
      </c>
      <c r="H14" s="24" t="str">
        <f>VLOOKUP(A14,BBDD!$1:$1048653,14,0)</f>
        <v>Usuario Externo</v>
      </c>
      <c r="I14" s="24" t="str">
        <f>VLOOKUP(A14,BBDD!$1:$1048653,16,0)</f>
        <v>Usuario Externo</v>
      </c>
      <c r="J14" s="24" t="str">
        <f>VLOOKUP(A14,BBDD!$1:$1048653,17,0)</f>
        <v/>
      </c>
      <c r="K14" s="26" t="str">
        <f>VLOOKUP(A14,BBDD!$1:$1048653,12,0)</f>
        <v>Usuario Externo</v>
      </c>
      <c r="L14" s="26" t="str">
        <f>VLOOKUP(A14,BBDD!$1:$1048653,3,0)</f>
        <v>Usuario Externo</v>
      </c>
      <c r="M14" s="26" t="str">
        <f>VLOOKUP(A14,BBDD!$1:$1048653,4,0)</f>
        <v>Usuario Externo</v>
      </c>
      <c r="N14" s="26" t="str">
        <f>VLOOKUP(A14,BBDD!$1:$1048653,5,0)</f>
        <v>Usuario Externo</v>
      </c>
      <c r="O14" s="27">
        <v>45953.0</v>
      </c>
      <c r="P14" s="23" t="s">
        <v>5582</v>
      </c>
      <c r="Q14" s="23" t="s">
        <v>5601</v>
      </c>
      <c r="R14" s="23"/>
      <c r="S14" s="23"/>
      <c r="T14" s="23" t="s">
        <v>5585</v>
      </c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</row>
    <row r="15" ht="14.25" customHeight="1">
      <c r="A15" s="23">
        <v>1.0</v>
      </c>
      <c r="B15" s="24" t="str">
        <f>VLOOKUP(A15,BBDD!$1:$1048653,2,0)</f>
        <v>Usuario Externo</v>
      </c>
      <c r="C15" s="25" t="str">
        <f>VLOOKUP(A15,BBDD!$1:$1048653,7,0)</f>
        <v>Usuario Externo</v>
      </c>
      <c r="D15" s="24" t="str">
        <f>VLOOKUP(A15,BBDD!$1:$1048653,8,0)</f>
        <v>Usuario Externo</v>
      </c>
      <c r="E15" s="24" t="str">
        <f>VLOOKUP(A15,BBDD!$1:$1048653,10,0)</f>
        <v>Usuario Externo</v>
      </c>
      <c r="F15" s="24" t="str">
        <f>VLOOKUP(A15,BBDD!$1:$1048653,11,0)</f>
        <v>Usuario Externo</v>
      </c>
      <c r="G15" s="24" t="str">
        <f>VLOOKUP(A15,BBDD!$1:$1048653,13,0)</f>
        <v>Usuario Externo</v>
      </c>
      <c r="H15" s="24" t="str">
        <f>VLOOKUP(A15,BBDD!$1:$1048653,14,0)</f>
        <v>Usuario Externo</v>
      </c>
      <c r="I15" s="24" t="str">
        <f>VLOOKUP(A15,BBDD!$1:$1048653,16,0)</f>
        <v>Usuario Externo</v>
      </c>
      <c r="J15" s="24" t="str">
        <f>VLOOKUP(A15,BBDD!$1:$1048653,17,0)</f>
        <v/>
      </c>
      <c r="K15" s="26" t="str">
        <f>VLOOKUP(A15,BBDD!$1:$1048653,12,0)</f>
        <v>Usuario Externo</v>
      </c>
      <c r="L15" s="26" t="str">
        <f>VLOOKUP(A15,BBDD!$1:$1048653,3,0)</f>
        <v>Usuario Externo</v>
      </c>
      <c r="M15" s="26" t="str">
        <f>VLOOKUP(A15,BBDD!$1:$1048653,4,0)</f>
        <v>Usuario Externo</v>
      </c>
      <c r="N15" s="26" t="str">
        <f>VLOOKUP(A15,BBDD!$1:$1048653,5,0)</f>
        <v>Usuario Externo</v>
      </c>
      <c r="O15" s="27">
        <v>45953.0</v>
      </c>
      <c r="P15" s="23" t="s">
        <v>5594</v>
      </c>
      <c r="Q15" s="23" t="s">
        <v>5583</v>
      </c>
      <c r="R15" s="23" t="s">
        <v>5602</v>
      </c>
      <c r="S15" s="23"/>
      <c r="T15" s="23" t="s">
        <v>5585</v>
      </c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</row>
    <row r="16" ht="14.25" customHeight="1">
      <c r="A16" s="23">
        <v>2.0195336E7</v>
      </c>
      <c r="B16" s="24" t="str">
        <f>VLOOKUP(A16,BBDD!$1:$1048653,2,0)</f>
        <v>20.195.336-7</v>
      </c>
      <c r="C16" s="25" t="str">
        <f>VLOOKUP(A16,BBDD!$1:$1048653,7,0)</f>
        <v>Cabrera Ortega Carolina Belen</v>
      </c>
      <c r="D16" s="24" t="str">
        <f>VLOOKUP(A16,BBDD!$1:$1048653,8,0)</f>
        <v>Asistente Operaciones Pt</v>
      </c>
      <c r="E16" s="24" t="str">
        <f>VLOOKUP(A16,BBDD!$1:$1048653,10,0)</f>
        <v>Gerencia Logistica</v>
      </c>
      <c r="F16" s="24" t="str">
        <f>VLOOKUP(A16,BBDD!$1:$1048653,11,0)</f>
        <v>Plazo fijo</v>
      </c>
      <c r="G16" s="24" t="str">
        <f>VLOOKUP(A16,BBDD!$1:$1048653,13,0)</f>
        <v>Coronel Rol Tierra</v>
      </c>
      <c r="H16" s="24" t="str">
        <f>VLOOKUP(A16,BBDD!$1:$1048653,14,0)</f>
        <v>Gerencia Corp. Supply Chain</v>
      </c>
      <c r="I16" s="24" t="str">
        <f>VLOOKUP(A16,BBDD!$1:$1048653,16,0)</f>
        <v>Temporada (Con ocasión Temporada de Pesca)</v>
      </c>
      <c r="J16" s="24" t="str">
        <f>VLOOKUP(A16,BBDD!$1:$1048653,17,0)</f>
        <v/>
      </c>
      <c r="K16" s="26">
        <f>VLOOKUP(A16,BBDD!$1:$1048653,12,0)</f>
        <v>45936</v>
      </c>
      <c r="L16" s="26" t="str">
        <f>VLOOKUP(A16,BBDD!$1:$1048653,3,0)</f>
        <v>Orizon S.A</v>
      </c>
      <c r="M16" s="26" t="str">
        <f>VLOOKUP(A16,BBDD!$1:$1048653,4,0)</f>
        <v>F2</v>
      </c>
      <c r="N16" s="26" t="str">
        <f>VLOOKUP(A16,BBDD!$1:$1048653,5,0)</f>
        <v>carolinacabreraortega@gmail.com</v>
      </c>
      <c r="O16" s="27">
        <v>45953.0</v>
      </c>
      <c r="P16" s="23" t="s">
        <v>5594</v>
      </c>
      <c r="Q16" s="23" t="s">
        <v>5603</v>
      </c>
      <c r="R16" s="23"/>
      <c r="S16" s="23" t="s">
        <v>5604</v>
      </c>
      <c r="T16" s="23" t="s">
        <v>5585</v>
      </c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</row>
    <row r="17" ht="14.25" customHeight="1">
      <c r="A17" s="23">
        <v>1.5170747E7</v>
      </c>
      <c r="B17" s="24" t="str">
        <f>VLOOKUP(A17,BBDD!$1:$1048653,2,0)</f>
        <v>15.170.747-5</v>
      </c>
      <c r="C17" s="25" t="str">
        <f>VLOOKUP(A17,BBDD!$1:$1048653,7,0)</f>
        <v>Hidalgo Alarcon Christian Alejandro</v>
      </c>
      <c r="D17" s="24" t="str">
        <f>VLOOKUP(A17,BBDD!$1:$1048653,8,0)</f>
        <v>Mecanico De Turno</v>
      </c>
      <c r="E17" s="24" t="str">
        <f>VLOOKUP(A17,BBDD!$1:$1048653,10,0)</f>
        <v>Departamento Ingeniería</v>
      </c>
      <c r="F17" s="24" t="str">
        <f>VLOOKUP(A17,BBDD!$1:$1048653,11,0)</f>
        <v>Indefinido</v>
      </c>
      <c r="G17" s="24" t="str">
        <f>VLOOKUP(A17,BBDD!$1:$1048653,13,0)</f>
        <v>Coronel Rol Tierra</v>
      </c>
      <c r="H17" s="24" t="str">
        <f>VLOOKUP(A17,BBDD!$1:$1048653,14,0)</f>
        <v>Gerencia Corp. Negocio Seafood</v>
      </c>
      <c r="I17" s="24" t="str">
        <f>VLOOKUP(A17,BBDD!$1:$1048653,16,0)</f>
        <v>Rol General (Cargo permanente o proyección indefinido)</v>
      </c>
      <c r="J17" s="24" t="str">
        <f>VLOOKUP(A17,BBDD!$1:$1048653,17,0)</f>
        <v/>
      </c>
      <c r="K17" s="26">
        <f>VLOOKUP(A17,BBDD!$1:$1048653,12,0)</f>
        <v>45397</v>
      </c>
      <c r="L17" s="26" t="str">
        <f>VLOOKUP(A17,BBDD!$1:$1048653,3,0)</f>
        <v>Orizon S.A</v>
      </c>
      <c r="M17" s="26" t="str">
        <f>VLOOKUP(A17,BBDD!$1:$1048653,4,0)</f>
        <v>F1</v>
      </c>
      <c r="N17" s="26" t="str">
        <f>VLOOKUP(A17,BBDD!$1:$1048653,5,0)</f>
        <v>CHRISTIANALEJ28@GMAIL.COM</v>
      </c>
      <c r="O17" s="27">
        <v>45953.0</v>
      </c>
      <c r="P17" s="23" t="s">
        <v>5582</v>
      </c>
      <c r="Q17" s="23" t="s">
        <v>5583</v>
      </c>
      <c r="R17" s="23" t="s">
        <v>5605</v>
      </c>
      <c r="S17" s="23"/>
      <c r="T17" s="23" t="s">
        <v>5585</v>
      </c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</row>
    <row r="18" ht="14.25" customHeight="1">
      <c r="A18" s="23">
        <v>1.5194019E7</v>
      </c>
      <c r="B18" s="24" t="str">
        <f>VLOOKUP(A18,BBDD!$1:$1048653,2,0)</f>
        <v>15.194.019-6</v>
      </c>
      <c r="C18" s="25" t="str">
        <f>VLOOKUP(A18,BBDD!$1:$1048653,7,0)</f>
        <v>Rojas Olate Alejandro Humberto</v>
      </c>
      <c r="D18" s="24" t="str">
        <f>VLOOKUP(A18,BBDD!$1:$1048653,8,0)</f>
        <v>Administrativo(A) Prod Sap Y Sernapesca</v>
      </c>
      <c r="E18" s="24" t="str">
        <f>VLOOKUP(A18,BBDD!$1:$1048653,10,0)</f>
        <v>Gerencia Producción Pesca</v>
      </c>
      <c r="F18" s="24" t="str">
        <f>VLOOKUP(A18,BBDD!$1:$1048653,11,0)</f>
        <v>Indefinido</v>
      </c>
      <c r="G18" s="24" t="str">
        <f>VLOOKUP(A18,BBDD!$1:$1048653,13,0)</f>
        <v>Coronel Rol Tierra</v>
      </c>
      <c r="H18" s="24" t="str">
        <f>VLOOKUP(A18,BBDD!$1:$1048653,14,0)</f>
        <v>Gerencia Corp. Negocio Seafood</v>
      </c>
      <c r="I18" s="24" t="str">
        <f>VLOOKUP(A18,BBDD!$1:$1048653,16,0)</f>
        <v>Rol General (Cargo permanente o proyección indefinido)</v>
      </c>
      <c r="J18" s="24" t="str">
        <f>VLOOKUP(A18,BBDD!$1:$1048653,17,0)</f>
        <v/>
      </c>
      <c r="K18" s="26">
        <f>VLOOKUP(A18,BBDD!$1:$1048653,12,0)</f>
        <v>42795</v>
      </c>
      <c r="L18" s="26" t="str">
        <f>VLOOKUP(A18,BBDD!$1:$1048653,3,0)</f>
        <v>Orizon S.A</v>
      </c>
      <c r="M18" s="26" t="str">
        <f>VLOOKUP(A18,BBDD!$1:$1048653,4,0)</f>
        <v>F1</v>
      </c>
      <c r="N18" s="26" t="str">
        <f>VLOOKUP(A18,BBDD!$1:$1048653,5,0)</f>
        <v>Alejandro.Rojas@orizon.cl</v>
      </c>
      <c r="O18" s="27">
        <v>45953.0</v>
      </c>
      <c r="P18" s="23" t="s">
        <v>5582</v>
      </c>
      <c r="Q18" s="23" t="s">
        <v>5598</v>
      </c>
      <c r="R18" s="23"/>
      <c r="S18" s="23"/>
      <c r="T18" s="23" t="s">
        <v>5585</v>
      </c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</row>
    <row r="19" ht="14.25" customHeight="1">
      <c r="A19" s="23">
        <v>1.9532216E7</v>
      </c>
      <c r="B19" s="24" t="str">
        <f>VLOOKUP(A19,BBDD!$1:$1048653,2,0)</f>
        <v>19.532.216-3</v>
      </c>
      <c r="C19" s="25" t="str">
        <f>VLOOKUP(A19,BBDD!$1:$1048653,7,0)</f>
        <v>Gonzalez Guiñez Cristopher Distefano</v>
      </c>
      <c r="D19" s="24" t="str">
        <f>VLOOKUP(A19,BBDD!$1:$1048653,8,0)</f>
        <v>Operario Apoyo Elaboracion</v>
      </c>
      <c r="E19" s="24" t="str">
        <f>VLOOKUP(A19,BBDD!$1:$1048653,10,0)</f>
        <v>Gerencia Producción Pesca</v>
      </c>
      <c r="F19" s="24" t="str">
        <f>VLOOKUP(A19,BBDD!$1:$1048653,11,0)</f>
        <v>Plazo fijo</v>
      </c>
      <c r="G19" s="24" t="str">
        <f>VLOOKUP(A19,BBDD!$1:$1048653,13,0)</f>
        <v>Coronel Rol Eventual</v>
      </c>
      <c r="H19" s="24" t="str">
        <f>VLOOKUP(A19,BBDD!$1:$1048653,14,0)</f>
        <v>Gerencia Corp. Negocio Seafood</v>
      </c>
      <c r="I19" s="24" t="str">
        <f>VLOOKUP(A19,BBDD!$1:$1048653,16,0)</f>
        <v>Temporada (Con ocasión Temporada de Pesca)</v>
      </c>
      <c r="J19" s="24" t="str">
        <f>VLOOKUP(A19,BBDD!$1:$1048653,17,0)</f>
        <v/>
      </c>
      <c r="K19" s="26">
        <f>VLOOKUP(A19,BBDD!$1:$1048653,12,0)</f>
        <v>45931</v>
      </c>
      <c r="L19" s="26" t="str">
        <f>VLOOKUP(A19,BBDD!$1:$1048653,3,0)</f>
        <v>Orizon S.A</v>
      </c>
      <c r="M19" s="26" t="str">
        <f>VLOOKUP(A19,BBDD!$1:$1048653,4,0)</f>
        <v>F5</v>
      </c>
      <c r="N19" s="26" t="str">
        <f>VLOOKUP(A19,BBDD!$1:$1048653,5,0)</f>
        <v>crisgonzalez@cftla.cl</v>
      </c>
      <c r="O19" s="27">
        <v>45953.0</v>
      </c>
      <c r="P19" s="23" t="s">
        <v>5582</v>
      </c>
      <c r="Q19" s="23" t="s">
        <v>5606</v>
      </c>
      <c r="R19" s="23" t="s">
        <v>5607</v>
      </c>
      <c r="S19" s="23"/>
      <c r="T19" s="23" t="s">
        <v>5585</v>
      </c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</row>
    <row r="20" ht="14.25" customHeight="1">
      <c r="A20" s="23">
        <v>1.8414706E7</v>
      </c>
      <c r="B20" s="24" t="str">
        <f>VLOOKUP(A20,BBDD!$1:$1048653,2,0)</f>
        <v>18.414.706-8</v>
      </c>
      <c r="C20" s="25" t="str">
        <f>VLOOKUP(A20,BBDD!$1:$1048653,7,0)</f>
        <v>Zapata Gutierrez Dieter Ismael</v>
      </c>
      <c r="D20" s="24" t="str">
        <f>VLOOKUP(A20,BBDD!$1:$1048653,8,0)</f>
        <v>Laboratorista Aseguramiento Calidad</v>
      </c>
      <c r="E20" s="24" t="str">
        <f>VLOOKUP(A20,BBDD!$1:$1048653,10,0)</f>
        <v>Gerencia Gestión Integrada y Calidad</v>
      </c>
      <c r="F20" s="24" t="str">
        <f>VLOOKUP(A20,BBDD!$1:$1048653,11,0)</f>
        <v>Plazo fijo</v>
      </c>
      <c r="G20" s="24" t="str">
        <f>VLOOKUP(A20,BBDD!$1:$1048653,13,0)</f>
        <v>Coronel Rol Tierra</v>
      </c>
      <c r="H20" s="24" t="str">
        <f>VLOOKUP(A20,BBDD!$1:$1048653,14,0)</f>
        <v>Gerencia Corp. Negocio Seafood</v>
      </c>
      <c r="I20" s="24" t="str">
        <f>VLOOKUP(A20,BBDD!$1:$1048653,16,0)</f>
        <v>Temporada (Con ocasión Temporada de Pesca)</v>
      </c>
      <c r="J20" s="24" t="str">
        <f>VLOOKUP(A20,BBDD!$1:$1048653,17,0)</f>
        <v/>
      </c>
      <c r="K20" s="26">
        <f>VLOOKUP(A20,BBDD!$1:$1048653,12,0)</f>
        <v>45933</v>
      </c>
      <c r="L20" s="26" t="str">
        <f>VLOOKUP(A20,BBDD!$1:$1048653,3,0)</f>
        <v>Orizon S.A</v>
      </c>
      <c r="M20" s="26" t="str">
        <f>VLOOKUP(A20,BBDD!$1:$1048653,4,0)</f>
        <v>F4</v>
      </c>
      <c r="N20" s="26" t="str">
        <f>VLOOKUP(A20,BBDD!$1:$1048653,5,0)</f>
        <v>DIETER.ZAPATA@GMAIL.COM</v>
      </c>
      <c r="O20" s="27">
        <v>45953.0</v>
      </c>
      <c r="P20" s="23" t="s">
        <v>5582</v>
      </c>
      <c r="Q20" s="23" t="s">
        <v>5567</v>
      </c>
      <c r="R20" s="23" t="s">
        <v>5608</v>
      </c>
      <c r="S20" s="28" t="s">
        <v>5609</v>
      </c>
      <c r="T20" s="23" t="s">
        <v>5585</v>
      </c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</row>
    <row r="21" ht="14.25" customHeight="1">
      <c r="A21" s="23">
        <v>1.5196579E7</v>
      </c>
      <c r="B21" s="24" t="str">
        <f>VLOOKUP(A21,BBDD!$1:$1048653,2,0)</f>
        <v>15.196.579-2</v>
      </c>
      <c r="C21" s="25" t="str">
        <f>VLOOKUP(A21,BBDD!$1:$1048653,7,0)</f>
        <v>Huerta Miranda Mirian Andrea</v>
      </c>
      <c r="D21" s="24" t="str">
        <f>VLOOKUP(A21,BBDD!$1:$1048653,8,0)</f>
        <v>Operario Apoyo Elaboracion</v>
      </c>
      <c r="E21" s="24" t="str">
        <f>VLOOKUP(A21,BBDD!$1:$1048653,10,0)</f>
        <v>Gerencia Producción Pesca</v>
      </c>
      <c r="F21" s="24" t="str">
        <f>VLOOKUP(A21,BBDD!$1:$1048653,11,0)</f>
        <v>Plazo fijo</v>
      </c>
      <c r="G21" s="24" t="str">
        <f>VLOOKUP(A21,BBDD!$1:$1048653,13,0)</f>
        <v>Coronel Rol Eventual</v>
      </c>
      <c r="H21" s="24" t="str">
        <f>VLOOKUP(A21,BBDD!$1:$1048653,14,0)</f>
        <v>Gerencia Corp. Negocio Seafood</v>
      </c>
      <c r="I21" s="24" t="str">
        <f>VLOOKUP(A21,BBDD!$1:$1048653,16,0)</f>
        <v>Temporada (Con ocasión Temporada de Pesca)</v>
      </c>
      <c r="J21" s="24" t="str">
        <f>VLOOKUP(A21,BBDD!$1:$1048653,17,0)</f>
        <v/>
      </c>
      <c r="K21" s="26">
        <f>VLOOKUP(A21,BBDD!$1:$1048653,12,0)</f>
        <v>45941</v>
      </c>
      <c r="L21" s="26" t="str">
        <f>VLOOKUP(A21,BBDD!$1:$1048653,3,0)</f>
        <v>Orizon S.A</v>
      </c>
      <c r="M21" s="26" t="str">
        <f>VLOOKUP(A21,BBDD!$1:$1048653,4,0)</f>
        <v>F1</v>
      </c>
      <c r="N21" s="26" t="str">
        <f>VLOOKUP(A21,BBDD!$1:$1048653,5,0)</f>
        <v>andrehm416@gmail.com</v>
      </c>
      <c r="O21" s="27">
        <v>45953.0</v>
      </c>
      <c r="P21" s="23" t="s">
        <v>5582</v>
      </c>
      <c r="Q21" s="23" t="s">
        <v>5586</v>
      </c>
      <c r="R21" s="23"/>
      <c r="S21" s="23"/>
      <c r="T21" s="23" t="s">
        <v>5585</v>
      </c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</row>
    <row r="22" ht="14.25" customHeight="1">
      <c r="A22" s="23">
        <v>1.7228845E7</v>
      </c>
      <c r="B22" s="24" t="s">
        <v>5610</v>
      </c>
      <c r="C22" s="25" t="str">
        <f>VLOOKUP(A22,BBDD!$1:$1048653,7,0)</f>
        <v>Espina Sandoval Debora Alejandra</v>
      </c>
      <c r="D22" s="24" t="str">
        <f>VLOOKUP(A22,BBDD!$1:$1048653,8,0)</f>
        <v>Operario Apoyo Elaboracion</v>
      </c>
      <c r="E22" s="24" t="str">
        <f>VLOOKUP(A22,BBDD!$1:$1048653,10,0)</f>
        <v>Gerencia Producción Pesca</v>
      </c>
      <c r="F22" s="24" t="str">
        <f>VLOOKUP(A22,BBDD!$1:$1048653,11,0)</f>
        <v>Plazo fijo</v>
      </c>
      <c r="G22" s="24" t="str">
        <f>VLOOKUP(A22,BBDD!$1:$1048653,13,0)</f>
        <v>Coronel Rol Eventual</v>
      </c>
      <c r="H22" s="24" t="str">
        <f>VLOOKUP(A22,BBDD!$1:$1048653,14,0)</f>
        <v>Gerencia Corp. Negocio Seafood</v>
      </c>
      <c r="I22" s="24" t="str">
        <f>VLOOKUP(A22,BBDD!$1:$1048653,16,0)</f>
        <v>Temporada (Con ocasión Temporada de Pesca)</v>
      </c>
      <c r="J22" s="24" t="str">
        <f>VLOOKUP(A22,BBDD!$1:$1048653,17,0)</f>
        <v/>
      </c>
      <c r="K22" s="26">
        <f>VLOOKUP(A22,BBDD!$1:$1048653,12,0)</f>
        <v>45941</v>
      </c>
      <c r="L22" s="26" t="str">
        <f>VLOOKUP(A22,BBDD!$1:$1048653,3,0)</f>
        <v>Orizon S.A</v>
      </c>
      <c r="M22" s="26" t="str">
        <f>VLOOKUP(A22,BBDD!$1:$1048653,4,0)</f>
        <v>F1</v>
      </c>
      <c r="N22" s="26" t="str">
        <f>VLOOKUP(A22,BBDD!$1:$1048653,5,0)</f>
        <v>espinadebora7@gmail.com</v>
      </c>
      <c r="O22" s="27">
        <v>45953.0</v>
      </c>
      <c r="P22" s="23" t="s">
        <v>5582</v>
      </c>
      <c r="Q22" s="23" t="s">
        <v>5606</v>
      </c>
      <c r="R22" s="23" t="s">
        <v>5607</v>
      </c>
      <c r="S22" s="23" t="s">
        <v>5611</v>
      </c>
      <c r="T22" s="23" t="s">
        <v>5585</v>
      </c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</row>
    <row r="23" ht="14.25" customHeight="1">
      <c r="A23" s="23">
        <v>2.165847E7</v>
      </c>
      <c r="B23" s="24" t="str">
        <f>VLOOKUP(A23,BBDD!$1:$1048653,2,0)</f>
        <v>21.658.470-8</v>
      </c>
      <c r="C23" s="25" t="str">
        <f>VLOOKUP(A23,BBDD!$1:$1048653,7,0)</f>
        <v>Aravena Fuentealba Javier Natahel</v>
      </c>
      <c r="D23" s="24" t="str">
        <f>VLOOKUP(A23,BBDD!$1:$1048653,8,0)</f>
        <v>Operador Elaboracion Php</v>
      </c>
      <c r="E23" s="24" t="str">
        <f>VLOOKUP(A23,BBDD!$1:$1048653,10,0)</f>
        <v>Gerencia Producción Pesca</v>
      </c>
      <c r="F23" s="24" t="str">
        <f>VLOOKUP(A23,BBDD!$1:$1048653,11,0)</f>
        <v>Plazo fijo</v>
      </c>
      <c r="G23" s="24" t="str">
        <f>VLOOKUP(A23,BBDD!$1:$1048653,13,0)</f>
        <v>Coronel Rol Tierra</v>
      </c>
      <c r="H23" s="24" t="str">
        <f>VLOOKUP(A23,BBDD!$1:$1048653,14,0)</f>
        <v>Gerencia Corp. Negocio Seafood</v>
      </c>
      <c r="I23" s="24" t="str">
        <f>VLOOKUP(A23,BBDD!$1:$1048653,16,0)</f>
        <v>Temporada (Con ocasión Temporada de Pesca)</v>
      </c>
      <c r="J23" s="24" t="str">
        <f>VLOOKUP(A23,BBDD!$1:$1048653,17,0)</f>
        <v/>
      </c>
      <c r="K23" s="26">
        <f>VLOOKUP(A23,BBDD!$1:$1048653,12,0)</f>
        <v>45933</v>
      </c>
      <c r="L23" s="26" t="str">
        <f>VLOOKUP(A23,BBDD!$1:$1048653,3,0)</f>
        <v>Orizon S.A</v>
      </c>
      <c r="M23" s="26" t="str">
        <f>VLOOKUP(A23,BBDD!$1:$1048653,4,0)</f>
        <v>F4</v>
      </c>
      <c r="N23" s="26" t="str">
        <f>VLOOKUP(A23,BBDD!$1:$1048653,5,0)</f>
        <v>JAVIERFUENTEALBA303@GMAIL.COM</v>
      </c>
      <c r="O23" s="29">
        <v>45953.0</v>
      </c>
      <c r="P23" s="23" t="s">
        <v>5582</v>
      </c>
      <c r="Q23" s="23" t="s">
        <v>5567</v>
      </c>
      <c r="R23" s="23" t="s">
        <v>5608</v>
      </c>
      <c r="S23" s="23"/>
      <c r="T23" s="23" t="s">
        <v>5585</v>
      </c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</row>
    <row r="24" ht="14.25" customHeight="1">
      <c r="A24" s="23">
        <v>2.0512923E7</v>
      </c>
      <c r="B24" s="24" t="str">
        <f>VLOOKUP(A24,BBDD!$1:$1048653,2,0)</f>
        <v>20.512.923-5</v>
      </c>
      <c r="C24" s="25" t="str">
        <f>VLOOKUP(A24,BBDD!$1:$1048653,7,0)</f>
        <v>Morales Alvarez Carlos Patricio</v>
      </c>
      <c r="D24" s="24" t="str">
        <f>VLOOKUP(A24,BBDD!$1:$1048653,8,0)</f>
        <v>Operario Apoyo Elaboracion</v>
      </c>
      <c r="E24" s="24" t="str">
        <f>VLOOKUP(A24,BBDD!$1:$1048653,10,0)</f>
        <v>Gerencia Producción Pesca</v>
      </c>
      <c r="F24" s="24" t="str">
        <f>VLOOKUP(A24,BBDD!$1:$1048653,11,0)</f>
        <v>Plazo fijo</v>
      </c>
      <c r="G24" s="24" t="str">
        <f>VLOOKUP(A24,BBDD!$1:$1048653,13,0)</f>
        <v>Coronel Rol Eventual</v>
      </c>
      <c r="H24" s="24" t="str">
        <f>VLOOKUP(A24,BBDD!$1:$1048653,14,0)</f>
        <v>Gerencia Corp. Negocio Seafood</v>
      </c>
      <c r="I24" s="24" t="str">
        <f>VLOOKUP(A24,BBDD!$1:$1048653,16,0)</f>
        <v>Temporada (Con ocasión Temporada de Pesca)</v>
      </c>
      <c r="J24" s="24" t="str">
        <f>VLOOKUP(A24,BBDD!$1:$1048653,17,0)</f>
        <v/>
      </c>
      <c r="K24" s="26">
        <f>VLOOKUP(A24,BBDD!$1:$1048653,12,0)</f>
        <v>45940</v>
      </c>
      <c r="L24" s="26" t="str">
        <f>VLOOKUP(A24,BBDD!$1:$1048653,3,0)</f>
        <v>Orizon S.A</v>
      </c>
      <c r="M24" s="26" t="str">
        <f>VLOOKUP(A24,BBDD!$1:$1048653,4,0)</f>
        <v>F2</v>
      </c>
      <c r="N24" s="26" t="str">
        <f>VLOOKUP(A24,BBDD!$1:$1048653,5,0)</f>
        <v>cm0828458@gmail.com</v>
      </c>
      <c r="O24" s="27">
        <v>45953.0</v>
      </c>
      <c r="P24" s="23" t="s">
        <v>5582</v>
      </c>
      <c r="Q24" s="23" t="s">
        <v>5586</v>
      </c>
      <c r="R24" s="23" t="s">
        <v>5612</v>
      </c>
      <c r="S24" s="23" t="s">
        <v>5613</v>
      </c>
      <c r="T24" s="23" t="s">
        <v>5585</v>
      </c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</row>
    <row r="25" ht="14.25" customHeight="1">
      <c r="A25" s="23">
        <v>1.6009687E7</v>
      </c>
      <c r="B25" s="24" t="str">
        <f>VLOOKUP(A25,BBDD!$1:$1048653,2,0)</f>
        <v>16.009.687-k</v>
      </c>
      <c r="C25" s="25" t="str">
        <f>VLOOKUP(A25,BBDD!$1:$1048653,7,0)</f>
        <v>Muñoz Muñoz Viviana Elizabeth</v>
      </c>
      <c r="D25" s="24" t="str">
        <f>VLOOKUP(A25,BBDD!$1:$1048653,8,0)</f>
        <v>Operario Apoyo Elaboracion</v>
      </c>
      <c r="E25" s="24" t="str">
        <f>VLOOKUP(A25,BBDD!$1:$1048653,10,0)</f>
        <v>Gerencia Producción Pesca</v>
      </c>
      <c r="F25" s="24" t="str">
        <f>VLOOKUP(A25,BBDD!$1:$1048653,11,0)</f>
        <v>Plazo fijo</v>
      </c>
      <c r="G25" s="24" t="str">
        <f>VLOOKUP(A25,BBDD!$1:$1048653,13,0)</f>
        <v>Coronel Rol Eventual</v>
      </c>
      <c r="H25" s="24" t="str">
        <f>VLOOKUP(A25,BBDD!$1:$1048653,14,0)</f>
        <v>Gerencia Corp. Negocio Seafood</v>
      </c>
      <c r="I25" s="24" t="str">
        <f>VLOOKUP(A25,BBDD!$1:$1048653,16,0)</f>
        <v>Temporada (Con ocasión Temporada de Pesca)</v>
      </c>
      <c r="J25" s="24" t="str">
        <f>VLOOKUP(A25,BBDD!$1:$1048653,17,0)</f>
        <v/>
      </c>
      <c r="K25" s="26">
        <f>VLOOKUP(A25,BBDD!$1:$1048653,12,0)</f>
        <v>45942</v>
      </c>
      <c r="L25" s="26" t="str">
        <f>VLOOKUP(A25,BBDD!$1:$1048653,3,0)</f>
        <v>Orizon S.A</v>
      </c>
      <c r="M25" s="26" t="str">
        <f>VLOOKUP(A25,BBDD!$1:$1048653,4,0)</f>
        <v>F3</v>
      </c>
      <c r="N25" s="26" t="str">
        <f>VLOOKUP(A25,BBDD!$1:$1048653,5,0)</f>
        <v>x.abrazame@hotmail.com</v>
      </c>
      <c r="O25" s="27">
        <v>45953.0</v>
      </c>
      <c r="P25" s="23" t="s">
        <v>5582</v>
      </c>
      <c r="Q25" s="23" t="s">
        <v>5591</v>
      </c>
      <c r="R25" s="23" t="s">
        <v>5614</v>
      </c>
      <c r="S25" s="23" t="s">
        <v>5615</v>
      </c>
      <c r="T25" s="28" t="s">
        <v>5616</v>
      </c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</row>
    <row r="26" ht="14.25" customHeight="1">
      <c r="A26" s="23">
        <v>2.7046927E7</v>
      </c>
      <c r="B26" s="24" t="str">
        <f>VLOOKUP(A26,BBDD!$1:$1048653,2,0)</f>
        <v>27.046.927-2</v>
      </c>
      <c r="C26" s="25" t="str">
        <f>VLOOKUP(A26,BBDD!$1:$1048653,7,0)</f>
        <v>Colina Atacho Henyerber Jose</v>
      </c>
      <c r="D26" s="24" t="str">
        <f>VLOOKUP(A26,BBDD!$1:$1048653,8,0)</f>
        <v>Operario Apoyo Elaboracion</v>
      </c>
      <c r="E26" s="24" t="str">
        <f>VLOOKUP(A26,BBDD!$1:$1048653,10,0)</f>
        <v>Gerencia Producción Pesca</v>
      </c>
      <c r="F26" s="24" t="str">
        <f>VLOOKUP(A26,BBDD!$1:$1048653,11,0)</f>
        <v>Plazo fijo</v>
      </c>
      <c r="G26" s="24" t="str">
        <f>VLOOKUP(A26,BBDD!$1:$1048653,13,0)</f>
        <v>Coronel Rol Eventual</v>
      </c>
      <c r="H26" s="24" t="str">
        <f>VLOOKUP(A26,BBDD!$1:$1048653,14,0)</f>
        <v>Gerencia Corp. Negocio Seafood</v>
      </c>
      <c r="I26" s="24" t="str">
        <f>VLOOKUP(A26,BBDD!$1:$1048653,16,0)</f>
        <v>Temporada (Con ocasión Temporada de Pesca)</v>
      </c>
      <c r="J26" s="24" t="str">
        <f>VLOOKUP(A26,BBDD!$1:$1048653,17,0)</f>
        <v/>
      </c>
      <c r="K26" s="26">
        <f>VLOOKUP(A26,BBDD!$1:$1048653,12,0)</f>
        <v>45931</v>
      </c>
      <c r="L26" s="26" t="str">
        <f>VLOOKUP(A26,BBDD!$1:$1048653,3,0)</f>
        <v>Orizon S.A</v>
      </c>
      <c r="M26" s="26" t="str">
        <f>VLOOKUP(A26,BBDD!$1:$1048653,4,0)</f>
        <v>F2</v>
      </c>
      <c r="N26" s="26" t="str">
        <f>VLOOKUP(A26,BBDD!$1:$1048653,5,0)</f>
        <v>chuchocolina@gmail.com</v>
      </c>
      <c r="O26" s="27">
        <v>45953.0</v>
      </c>
      <c r="P26" s="23" t="s">
        <v>5582</v>
      </c>
      <c r="Q26" s="23" t="s">
        <v>5586</v>
      </c>
      <c r="R26" s="23" t="s">
        <v>5617</v>
      </c>
      <c r="S26" s="23" t="s">
        <v>5618</v>
      </c>
      <c r="T26" s="23" t="s">
        <v>5585</v>
      </c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</row>
    <row r="27" ht="14.25" customHeight="1">
      <c r="A27" s="23">
        <v>2.0785939E7</v>
      </c>
      <c r="B27" s="24" t="str">
        <f>VLOOKUP(A27,BBDD!$1:$1048653,2,0)</f>
        <v>20.785.939-7</v>
      </c>
      <c r="C27" s="25" t="str">
        <f>VLOOKUP(A27,BBDD!$1:$1048653,7,0)</f>
        <v>Palma Elevancin Hector Juan Pablo</v>
      </c>
      <c r="D27" s="24" t="str">
        <f>VLOOKUP(A27,BBDD!$1:$1048653,8,0)</f>
        <v>Operador Control Producción</v>
      </c>
      <c r="E27" s="24" t="str">
        <f>VLOOKUP(A27,BBDD!$1:$1048653,10,0)</f>
        <v>Gerencia Producción Pesca</v>
      </c>
      <c r="F27" s="24" t="str">
        <f>VLOOKUP(A27,BBDD!$1:$1048653,11,0)</f>
        <v>Plazo fijo</v>
      </c>
      <c r="G27" s="24" t="str">
        <f>VLOOKUP(A27,BBDD!$1:$1048653,13,0)</f>
        <v>Coronel Rol Eventual</v>
      </c>
      <c r="H27" s="24" t="str">
        <f>VLOOKUP(A27,BBDD!$1:$1048653,14,0)</f>
        <v>Gerencia Corp. Negocio Seafood</v>
      </c>
      <c r="I27" s="24" t="str">
        <f>VLOOKUP(A27,BBDD!$1:$1048653,16,0)</f>
        <v>Temporada (Con ocasión Temporada de Pesca)</v>
      </c>
      <c r="J27" s="24" t="str">
        <f>VLOOKUP(A27,BBDD!$1:$1048653,17,0)</f>
        <v/>
      </c>
      <c r="K27" s="26">
        <f>VLOOKUP(A27,BBDD!$1:$1048653,12,0)</f>
        <v>45950</v>
      </c>
      <c r="L27" s="26" t="str">
        <f>VLOOKUP(A27,BBDD!$1:$1048653,3,0)</f>
        <v>Orizon S.A</v>
      </c>
      <c r="M27" s="26" t="str">
        <f>VLOOKUP(A27,BBDD!$1:$1048653,4,0)</f>
        <v>F1</v>
      </c>
      <c r="N27" s="26" t="str">
        <f>VLOOKUP(A27,BBDD!$1:$1048653,5,0)</f>
        <v>Palmaelevancin0@gmail.com</v>
      </c>
      <c r="O27" s="27">
        <v>45953.0</v>
      </c>
      <c r="P27" s="23" t="s">
        <v>5582</v>
      </c>
      <c r="Q27" s="23" t="s">
        <v>5567</v>
      </c>
      <c r="R27" s="23"/>
      <c r="S27" s="23"/>
      <c r="T27" s="23" t="s">
        <v>5585</v>
      </c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</row>
    <row r="28" ht="14.25" customHeight="1">
      <c r="A28" s="23">
        <v>1.7571642E7</v>
      </c>
      <c r="B28" s="24" t="str">
        <f>VLOOKUP(A28,BBDD!$1:$1048653,2,0)</f>
        <v>17.571.642-4</v>
      </c>
      <c r="C28" s="25" t="str">
        <f>VLOOKUP(A28,BBDD!$1:$1048653,7,0)</f>
        <v>Bermedo Vargas Ninoska Alejandra</v>
      </c>
      <c r="D28" s="24" t="str">
        <f>VLOOKUP(A28,BBDD!$1:$1048653,8,0)</f>
        <v>Operario Apoyo Elaboracion</v>
      </c>
      <c r="E28" s="24" t="str">
        <f>VLOOKUP(A28,BBDD!$1:$1048653,10,0)</f>
        <v>Gerencia Producción Pesca</v>
      </c>
      <c r="F28" s="24" t="str">
        <f>VLOOKUP(A28,BBDD!$1:$1048653,11,0)</f>
        <v>Plazo fijo</v>
      </c>
      <c r="G28" s="24" t="str">
        <f>VLOOKUP(A28,BBDD!$1:$1048653,13,0)</f>
        <v>Coronel Rol Eventual</v>
      </c>
      <c r="H28" s="24" t="str">
        <f>VLOOKUP(A28,BBDD!$1:$1048653,14,0)</f>
        <v>Gerencia Corp. Negocio Seafood</v>
      </c>
      <c r="I28" s="24" t="str">
        <f>VLOOKUP(A28,BBDD!$1:$1048653,16,0)</f>
        <v>Temporada (Con ocasión Temporada de Pesca)</v>
      </c>
      <c r="J28" s="24" t="str">
        <f>VLOOKUP(A28,BBDD!$1:$1048653,17,0)</f>
        <v/>
      </c>
      <c r="K28" s="26">
        <f>VLOOKUP(A28,BBDD!$1:$1048653,12,0)</f>
        <v>45931</v>
      </c>
      <c r="L28" s="26" t="str">
        <f>VLOOKUP(A28,BBDD!$1:$1048653,3,0)</f>
        <v>Orizon S.A</v>
      </c>
      <c r="M28" s="26" t="str">
        <f>VLOOKUP(A28,BBDD!$1:$1048653,4,0)</f>
        <v>F4</v>
      </c>
      <c r="N28" s="26" t="str">
        <f>VLOOKUP(A28,BBDD!$1:$1048653,5,0)</f>
        <v>nino.bermedo@hotmail.com</v>
      </c>
      <c r="O28" s="27">
        <v>45953.0</v>
      </c>
      <c r="P28" s="23" t="s">
        <v>5575</v>
      </c>
      <c r="Q28" s="23" t="s">
        <v>5586</v>
      </c>
      <c r="R28" s="23" t="s">
        <v>5619</v>
      </c>
      <c r="S28" s="23" t="s">
        <v>5620</v>
      </c>
      <c r="T28" s="23" t="s">
        <v>5585</v>
      </c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</row>
    <row r="29" ht="14.25" customHeight="1">
      <c r="A29" s="23">
        <v>1.0</v>
      </c>
      <c r="B29" s="24" t="str">
        <f>VLOOKUP(A29,BBDD!$1:$1048653,2,0)</f>
        <v>Usuario Externo</v>
      </c>
      <c r="C29" s="25" t="str">
        <f>VLOOKUP(A29,BBDD!$1:$1048653,7,0)</f>
        <v>Usuario Externo</v>
      </c>
      <c r="D29" s="24" t="str">
        <f>VLOOKUP(A29,BBDD!$1:$1048653,8,0)</f>
        <v>Usuario Externo</v>
      </c>
      <c r="E29" s="24" t="str">
        <f>VLOOKUP(A29,BBDD!$1:$1048653,10,0)</f>
        <v>Usuario Externo</v>
      </c>
      <c r="F29" s="24" t="str">
        <f>VLOOKUP(A29,BBDD!$1:$1048653,11,0)</f>
        <v>Usuario Externo</v>
      </c>
      <c r="G29" s="24" t="str">
        <f>VLOOKUP(A29,BBDD!$1:$1048653,13,0)</f>
        <v>Usuario Externo</v>
      </c>
      <c r="H29" s="24" t="str">
        <f>VLOOKUP(A29,BBDD!$1:$1048653,14,0)</f>
        <v>Usuario Externo</v>
      </c>
      <c r="I29" s="24" t="str">
        <f>VLOOKUP(A29,BBDD!$1:$1048653,16,0)</f>
        <v>Usuario Externo</v>
      </c>
      <c r="J29" s="24" t="str">
        <f>VLOOKUP(A29,BBDD!$1:$1048653,17,0)</f>
        <v/>
      </c>
      <c r="K29" s="26" t="str">
        <f>VLOOKUP(A29,BBDD!$1:$1048653,12,0)</f>
        <v>Usuario Externo</v>
      </c>
      <c r="L29" s="26" t="str">
        <f>VLOOKUP(A29,BBDD!$1:$1048653,3,0)</f>
        <v>Usuario Externo</v>
      </c>
      <c r="M29" s="26" t="str">
        <f>VLOOKUP(A29,BBDD!$1:$1048653,4,0)</f>
        <v>Usuario Externo</v>
      </c>
      <c r="N29" s="26" t="str">
        <f>VLOOKUP(A29,BBDD!$1:$1048653,5,0)</f>
        <v>Usuario Externo</v>
      </c>
      <c r="O29" s="27">
        <v>45953.0</v>
      </c>
      <c r="P29" s="23" t="s">
        <v>5594</v>
      </c>
      <c r="Q29" s="23" t="s">
        <v>1323</v>
      </c>
      <c r="R29" s="23" t="s">
        <v>5621</v>
      </c>
      <c r="S29" s="23"/>
      <c r="T29" s="28" t="s">
        <v>5616</v>
      </c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</row>
    <row r="30" ht="14.25" customHeight="1">
      <c r="A30" s="23">
        <v>1.4361771E7</v>
      </c>
      <c r="B30" s="24" t="str">
        <f>VLOOKUP(A30,BBDD!$1:$1048653,2,0)</f>
        <v>14.361.771-8</v>
      </c>
      <c r="C30" s="25" t="str">
        <f>VLOOKUP(A30,BBDD!$1:$1048653,7,0)</f>
        <v>Flores Abarca Araceli De Las Mercedes</v>
      </c>
      <c r="D30" s="24" t="str">
        <f>VLOOKUP(A30,BBDD!$1:$1048653,8,0)</f>
        <v>Operario Apoyo Elaboracion</v>
      </c>
      <c r="E30" s="24" t="str">
        <f>VLOOKUP(A30,BBDD!$1:$1048653,10,0)</f>
        <v>Gerencia Producción Pesca</v>
      </c>
      <c r="F30" s="24" t="str">
        <f>VLOOKUP(A30,BBDD!$1:$1048653,11,0)</f>
        <v>Plazo fijo</v>
      </c>
      <c r="G30" s="24" t="str">
        <f>VLOOKUP(A30,BBDD!$1:$1048653,13,0)</f>
        <v>Coronel Rol Eventual</v>
      </c>
      <c r="H30" s="24" t="str">
        <f>VLOOKUP(A30,BBDD!$1:$1048653,14,0)</f>
        <v>Gerencia Corp. Negocio Seafood</v>
      </c>
      <c r="I30" s="24" t="str">
        <f>VLOOKUP(A30,BBDD!$1:$1048653,16,0)</f>
        <v>Temporada (Con ocasión Temporada de Pesca)</v>
      </c>
      <c r="J30" s="24" t="str">
        <f>VLOOKUP(A30,BBDD!$1:$1048653,17,0)</f>
        <v/>
      </c>
      <c r="K30" s="26">
        <f>VLOOKUP(A30,BBDD!$1:$1048653,12,0)</f>
        <v>45931</v>
      </c>
      <c r="L30" s="26" t="str">
        <f>VLOOKUP(A30,BBDD!$1:$1048653,3,0)</f>
        <v>Orizon S.A</v>
      </c>
      <c r="M30" s="26" t="str">
        <f>VLOOKUP(A30,BBDD!$1:$1048653,4,0)</f>
        <v>F3</v>
      </c>
      <c r="N30" s="26" t="str">
        <f>VLOOKUP(A30,BBDD!$1:$1048653,5,0)</f>
        <v>araceli.10abarca@gmail.com</v>
      </c>
      <c r="O30" s="27">
        <v>45954.0</v>
      </c>
      <c r="P30" s="23" t="s">
        <v>5582</v>
      </c>
      <c r="Q30" s="23" t="s">
        <v>5586</v>
      </c>
      <c r="R30" s="23" t="s">
        <v>5622</v>
      </c>
      <c r="S30" s="23"/>
      <c r="T30" s="23" t="s">
        <v>5585</v>
      </c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</row>
    <row r="31" ht="14.25" customHeight="1">
      <c r="A31" s="28">
        <v>2.061317E7</v>
      </c>
      <c r="B31" s="24" t="str">
        <f>VLOOKUP(A31,BBDD!$1:$1048653,2,0)</f>
        <v>20.613.170-5</v>
      </c>
      <c r="C31" s="25" t="str">
        <f>VLOOKUP(A31,BBDD!$1:$1048653,7,0)</f>
        <v>Carrasco Copelli Valentin Patricio</v>
      </c>
      <c r="D31" s="24" t="str">
        <f>VLOOKUP(A31,BBDD!$1:$1048653,8,0)</f>
        <v>Operador De Autoclaves</v>
      </c>
      <c r="E31" s="24" t="str">
        <f>VLOOKUP(A31,BBDD!$1:$1048653,10,0)</f>
        <v>Gerencia Producción Pesca</v>
      </c>
      <c r="F31" s="24" t="str">
        <f>VLOOKUP(A31,BBDD!$1:$1048653,11,0)</f>
        <v>Indefinido</v>
      </c>
      <c r="G31" s="24" t="str">
        <f>VLOOKUP(A31,BBDD!$1:$1048653,13,0)</f>
        <v>Coronel Rol Tierra</v>
      </c>
      <c r="H31" s="24" t="str">
        <f>VLOOKUP(A31,BBDD!$1:$1048653,14,0)</f>
        <v>Gerencia Corp. Negocio Seafood</v>
      </c>
      <c r="I31" s="24" t="str">
        <f>VLOOKUP(A31,BBDD!$1:$1048653,16,0)</f>
        <v>Rol General (Cargo permanente o proyección indefinido)</v>
      </c>
      <c r="J31" s="24" t="str">
        <f>VLOOKUP(A31,BBDD!$1:$1048653,17,0)</f>
        <v/>
      </c>
      <c r="K31" s="26">
        <f>VLOOKUP(A31,BBDD!$1:$1048653,12,0)</f>
        <v>44531</v>
      </c>
      <c r="L31" s="26" t="str">
        <f>VLOOKUP(A31,BBDD!$1:$1048653,3,0)</f>
        <v>Orizon S.A</v>
      </c>
      <c r="M31" s="26" t="str">
        <f>VLOOKUP(A31,BBDD!$1:$1048653,4,0)</f>
        <v>F1</v>
      </c>
      <c r="N31" s="26" t="str">
        <f>VLOOKUP(A31,BBDD!$1:$1048653,5,0)</f>
        <v>valentincarrascocopelli1010@gmail.com</v>
      </c>
      <c r="O31" s="29">
        <v>45954.0</v>
      </c>
      <c r="P31" s="28" t="s">
        <v>5582</v>
      </c>
      <c r="Q31" s="28" t="s">
        <v>5586</v>
      </c>
      <c r="R31" s="23"/>
      <c r="S31" s="23"/>
      <c r="T31" s="28" t="s">
        <v>5585</v>
      </c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</row>
    <row r="32" ht="14.25" customHeight="1">
      <c r="A32" s="28">
        <v>1.0</v>
      </c>
      <c r="B32" s="24" t="str">
        <f>VLOOKUP(A32,BBDD!$1:$1048653,2,0)</f>
        <v>Usuario Externo</v>
      </c>
      <c r="C32" s="25" t="str">
        <f>VLOOKUP(A32,BBDD!$1:$1048653,7,0)</f>
        <v>Usuario Externo</v>
      </c>
      <c r="D32" s="24" t="str">
        <f>VLOOKUP(A32,BBDD!$1:$1048653,8,0)</f>
        <v>Usuario Externo</v>
      </c>
      <c r="E32" s="24" t="str">
        <f>VLOOKUP(A32,BBDD!$1:$1048653,10,0)</f>
        <v>Usuario Externo</v>
      </c>
      <c r="F32" s="24" t="str">
        <f>VLOOKUP(A32,BBDD!$1:$1048653,11,0)</f>
        <v>Usuario Externo</v>
      </c>
      <c r="G32" s="24" t="str">
        <f>VLOOKUP(A32,BBDD!$1:$1048653,13,0)</f>
        <v>Usuario Externo</v>
      </c>
      <c r="H32" s="24" t="str">
        <f>VLOOKUP(A32,BBDD!$1:$1048653,14,0)</f>
        <v>Usuario Externo</v>
      </c>
      <c r="I32" s="24" t="str">
        <f>VLOOKUP(A32,BBDD!$1:$1048653,16,0)</f>
        <v>Usuario Externo</v>
      </c>
      <c r="J32" s="24" t="str">
        <f>VLOOKUP(A32,BBDD!$1:$1048653,17,0)</f>
        <v/>
      </c>
      <c r="K32" s="26" t="str">
        <f>VLOOKUP(A32,BBDD!$1:$1048653,12,0)</f>
        <v>Usuario Externo</v>
      </c>
      <c r="L32" s="26" t="str">
        <f>VLOOKUP(A32,BBDD!$1:$1048653,3,0)</f>
        <v>Usuario Externo</v>
      </c>
      <c r="M32" s="26" t="str">
        <f>VLOOKUP(A32,BBDD!$1:$1048653,4,0)</f>
        <v>Usuario Externo</v>
      </c>
      <c r="N32" s="26" t="str">
        <f>VLOOKUP(A32,BBDD!$1:$1048653,5,0)</f>
        <v>Usuario Externo</v>
      </c>
      <c r="O32" s="29">
        <v>45954.0</v>
      </c>
      <c r="P32" s="28" t="s">
        <v>5582</v>
      </c>
      <c r="Q32" s="28" t="s">
        <v>5586</v>
      </c>
      <c r="R32" s="23"/>
      <c r="S32" s="23"/>
      <c r="T32" s="28" t="s">
        <v>5585</v>
      </c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</row>
    <row r="33" ht="14.25" customHeight="1">
      <c r="A33" s="28">
        <v>1.0</v>
      </c>
      <c r="B33" s="24" t="str">
        <f>VLOOKUP(A33,BBDD!$1:$1048653,2,0)</f>
        <v>Usuario Externo</v>
      </c>
      <c r="C33" s="25" t="str">
        <f>VLOOKUP(A33,BBDD!$1:$1048653,7,0)</f>
        <v>Usuario Externo</v>
      </c>
      <c r="D33" s="24" t="str">
        <f>VLOOKUP(A33,BBDD!$1:$1048653,8,0)</f>
        <v>Usuario Externo</v>
      </c>
      <c r="E33" s="24" t="str">
        <f>VLOOKUP(A33,BBDD!$1:$1048653,10,0)</f>
        <v>Usuario Externo</v>
      </c>
      <c r="F33" s="24" t="str">
        <f>VLOOKUP(A33,BBDD!$1:$1048653,11,0)</f>
        <v>Usuario Externo</v>
      </c>
      <c r="G33" s="24" t="str">
        <f>VLOOKUP(A33,BBDD!$1:$1048653,13,0)</f>
        <v>Usuario Externo</v>
      </c>
      <c r="H33" s="24" t="str">
        <f>VLOOKUP(A33,BBDD!$1:$1048653,14,0)</f>
        <v>Usuario Externo</v>
      </c>
      <c r="I33" s="24" t="str">
        <f>VLOOKUP(A33,BBDD!$1:$1048653,16,0)</f>
        <v>Usuario Externo</v>
      </c>
      <c r="J33" s="24" t="str">
        <f>VLOOKUP(A33,BBDD!$1:$1048653,17,0)</f>
        <v/>
      </c>
      <c r="K33" s="26" t="str">
        <f>VLOOKUP(A33,BBDD!$1:$1048653,12,0)</f>
        <v>Usuario Externo</v>
      </c>
      <c r="L33" s="26" t="str">
        <f>VLOOKUP(A33,BBDD!$1:$1048653,3,0)</f>
        <v>Usuario Externo</v>
      </c>
      <c r="M33" s="26" t="str">
        <f>VLOOKUP(A33,BBDD!$1:$1048653,4,0)</f>
        <v>Usuario Externo</v>
      </c>
      <c r="N33" s="26" t="str">
        <f>VLOOKUP(A33,BBDD!$1:$1048653,5,0)</f>
        <v>Usuario Externo</v>
      </c>
      <c r="O33" s="29">
        <v>45954.0</v>
      </c>
      <c r="P33" s="28" t="s">
        <v>5582</v>
      </c>
      <c r="Q33" s="28" t="s">
        <v>5567</v>
      </c>
      <c r="R33" s="28" t="s">
        <v>5623</v>
      </c>
      <c r="S33" s="23"/>
      <c r="T33" s="30" t="s">
        <v>5616</v>
      </c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</row>
    <row r="34" ht="14.25" customHeight="1">
      <c r="A34" s="28">
        <v>1.7690284E7</v>
      </c>
      <c r="B34" s="24" t="str">
        <f>VLOOKUP(A34,BBDD!$1:$1048653,2,0)</f>
        <v>17.690.284-1</v>
      </c>
      <c r="C34" s="25" t="str">
        <f>VLOOKUP(A34,BBDD!$1:$1048653,7,0)</f>
        <v>Navarro Marmiez Stephanie Nicole</v>
      </c>
      <c r="D34" s="24" t="str">
        <f>VLOOKUP(A34,BBDD!$1:$1048653,8,0)</f>
        <v>Encargado(A) Logistico I</v>
      </c>
      <c r="E34" s="24" t="str">
        <f>VLOOKUP(A34,BBDD!$1:$1048653,10,0)</f>
        <v>Gerencia Logistica</v>
      </c>
      <c r="F34" s="24" t="str">
        <f>VLOOKUP(A34,BBDD!$1:$1048653,11,0)</f>
        <v>Indefinido</v>
      </c>
      <c r="G34" s="24" t="str">
        <f>VLOOKUP(A34,BBDD!$1:$1048653,13,0)</f>
        <v>Coronel Rol Tierra</v>
      </c>
      <c r="H34" s="24" t="str">
        <f>VLOOKUP(A34,BBDD!$1:$1048653,14,0)</f>
        <v>Gerencia Corp. Supply Chain</v>
      </c>
      <c r="I34" s="24" t="str">
        <f>VLOOKUP(A34,BBDD!$1:$1048653,16,0)</f>
        <v>Rol General (Cargo permanente o proyección indefinido)</v>
      </c>
      <c r="J34" s="24" t="str">
        <f>VLOOKUP(A34,BBDD!$1:$1048653,17,0)</f>
        <v/>
      </c>
      <c r="K34" s="26">
        <f>VLOOKUP(A34,BBDD!$1:$1048653,12,0)</f>
        <v>42736</v>
      </c>
      <c r="L34" s="26" t="str">
        <f>VLOOKUP(A34,BBDD!$1:$1048653,3,0)</f>
        <v>Orizon S.A</v>
      </c>
      <c r="M34" s="26" t="str">
        <f>VLOOKUP(A34,BBDD!$1:$1048653,4,0)</f>
        <v>F1</v>
      </c>
      <c r="N34" s="26" t="str">
        <f>VLOOKUP(A34,BBDD!$1:$1048653,5,0)</f>
        <v>stephanie.navarro@orizon.cl</v>
      </c>
      <c r="O34" s="29">
        <v>45954.0</v>
      </c>
      <c r="P34" s="28" t="s">
        <v>5582</v>
      </c>
      <c r="Q34" s="28" t="s">
        <v>5624</v>
      </c>
      <c r="R34" s="28" t="s">
        <v>5625</v>
      </c>
      <c r="S34" s="28" t="s">
        <v>5626</v>
      </c>
      <c r="T34" s="30" t="s">
        <v>5616</v>
      </c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</row>
    <row r="35" ht="14.25" customHeight="1">
      <c r="A35" s="28">
        <v>1.0072688E7</v>
      </c>
      <c r="B35" s="24" t="str">
        <f>VLOOKUP(A35,BBDD!$1:$1048653,2,0)</f>
        <v>10.072.688-2</v>
      </c>
      <c r="C35" s="25" t="str">
        <f>VLOOKUP(A35,BBDD!$1:$1048653,7,0)</f>
        <v>Bustos Delgado Elbert Billy</v>
      </c>
      <c r="D35" s="24" t="str">
        <f>VLOOKUP(A35,BBDD!$1:$1048653,8,0)</f>
        <v>Tripulante</v>
      </c>
      <c r="E35" s="24" t="str">
        <f>VLOOKUP(A35,BBDD!$1:$1048653,10,0)</f>
        <v>Gerencia de Flota y Abastecimiento de Materias Primas</v>
      </c>
      <c r="F35" s="24" t="str">
        <f>VLOOKUP(A35,BBDD!$1:$1048653,11,0)</f>
        <v>Indefinido</v>
      </c>
      <c r="G35" s="24" t="str">
        <f>VLOOKUP(A35,BBDD!$1:$1048653,13,0)</f>
        <v>Coronel Rol Flota</v>
      </c>
      <c r="H35" s="24" t="str">
        <f>VLOOKUP(A35,BBDD!$1:$1048653,14,0)</f>
        <v>Gerencia Corp. Negocio Seafood</v>
      </c>
      <c r="I35" s="24" t="str">
        <f>VLOOKUP(A35,BBDD!$1:$1048653,16,0)</f>
        <v>Rol General (Cargo permanente o proyección indefinido)</v>
      </c>
      <c r="J35" s="24" t="str">
        <f>VLOOKUP(A35,BBDD!$1:$1048653,17,0)</f>
        <v/>
      </c>
      <c r="K35" s="26">
        <f>VLOOKUP(A35,BBDD!$1:$1048653,12,0)</f>
        <v>45603</v>
      </c>
      <c r="L35" s="26" t="str">
        <f>VLOOKUP(A35,BBDD!$1:$1048653,3,0)</f>
        <v>Orizon S.A</v>
      </c>
      <c r="M35" s="26" t="str">
        <f>VLOOKUP(A35,BBDD!$1:$1048653,4,0)</f>
        <v>F1</v>
      </c>
      <c r="N35" s="26" t="str">
        <f>VLOOKUP(A35,BBDD!$1:$1048653,5,0)</f>
        <v>billylosrios2@gmail.com</v>
      </c>
      <c r="O35" s="29">
        <v>45954.0</v>
      </c>
      <c r="P35" s="28" t="s">
        <v>5582</v>
      </c>
      <c r="Q35" s="28" t="s">
        <v>5599</v>
      </c>
      <c r="R35" s="28" t="s">
        <v>5627</v>
      </c>
      <c r="S35" s="28" t="s">
        <v>5628</v>
      </c>
      <c r="T35" s="28" t="s">
        <v>5616</v>
      </c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</row>
    <row r="36" ht="14.25" customHeight="1">
      <c r="A36" s="28">
        <v>1.2703195E7</v>
      </c>
      <c r="B36" s="24" t="str">
        <f>VLOOKUP(A36,BBDD!$1:$1048653,2,0)</f>
        <v>12.703.195-9</v>
      </c>
      <c r="C36" s="25" t="str">
        <f>VLOOKUP(A36,BBDD!$1:$1048653,7,0)</f>
        <v>Rios Soto Angelo Enrique</v>
      </c>
      <c r="D36" s="24" t="str">
        <f>VLOOKUP(A36,BBDD!$1:$1048653,8,0)</f>
        <v>Monitor(A) De Calidad</v>
      </c>
      <c r="E36" s="24" t="str">
        <f>VLOOKUP(A36,BBDD!$1:$1048653,10,0)</f>
        <v>Gerencia Gestión Integrada y Calidad</v>
      </c>
      <c r="F36" s="24" t="str">
        <f>VLOOKUP(A36,BBDD!$1:$1048653,11,0)</f>
        <v>Indefinido</v>
      </c>
      <c r="G36" s="24" t="str">
        <f>VLOOKUP(A36,BBDD!$1:$1048653,13,0)</f>
        <v>Coronel Rol Tierra</v>
      </c>
      <c r="H36" s="24" t="str">
        <f>VLOOKUP(A36,BBDD!$1:$1048653,14,0)</f>
        <v>Gerencia Corp. Negocio Seafood</v>
      </c>
      <c r="I36" s="24" t="str">
        <f>VLOOKUP(A36,BBDD!$1:$1048653,16,0)</f>
        <v>Rol General (Cargo permanente o proyección indefinido)</v>
      </c>
      <c r="J36" s="24" t="str">
        <f>VLOOKUP(A36,BBDD!$1:$1048653,17,0)</f>
        <v/>
      </c>
      <c r="K36" s="26">
        <f>VLOOKUP(A36,BBDD!$1:$1048653,12,0)</f>
        <v>42618</v>
      </c>
      <c r="L36" s="26" t="str">
        <f>VLOOKUP(A36,BBDD!$1:$1048653,3,0)</f>
        <v>Orizon S.A</v>
      </c>
      <c r="M36" s="26" t="str">
        <f>VLOOKUP(A36,BBDD!$1:$1048653,4,0)</f>
        <v>F1</v>
      </c>
      <c r="N36" s="26" t="str">
        <f>VLOOKUP(A36,BBDD!$1:$1048653,5,0)</f>
        <v>foxtrot.angers@gmail.com</v>
      </c>
      <c r="O36" s="29">
        <v>45954.0</v>
      </c>
      <c r="P36" s="28" t="s">
        <v>5582</v>
      </c>
      <c r="Q36" s="28" t="s">
        <v>5589</v>
      </c>
      <c r="R36" s="28" t="s">
        <v>5629</v>
      </c>
      <c r="S36" s="23"/>
      <c r="T36" s="28" t="s">
        <v>5585</v>
      </c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</row>
    <row r="37" ht="14.25" customHeight="1">
      <c r="A37" s="28">
        <v>1.0</v>
      </c>
      <c r="B37" s="24" t="str">
        <f>VLOOKUP(A37,BBDD!$1:$1048653,2,0)</f>
        <v>Usuario Externo</v>
      </c>
      <c r="C37" s="25" t="str">
        <f>VLOOKUP(A37,BBDD!$1:$1048653,7,0)</f>
        <v>Usuario Externo</v>
      </c>
      <c r="D37" s="24" t="str">
        <f>VLOOKUP(A37,BBDD!$1:$1048653,8,0)</f>
        <v>Usuario Externo</v>
      </c>
      <c r="E37" s="24" t="str">
        <f>VLOOKUP(A37,BBDD!$1:$1048653,10,0)</f>
        <v>Usuario Externo</v>
      </c>
      <c r="F37" s="24" t="str">
        <f>VLOOKUP(A37,BBDD!$1:$1048653,11,0)</f>
        <v>Usuario Externo</v>
      </c>
      <c r="G37" s="24" t="str">
        <f>VLOOKUP(A37,BBDD!$1:$1048653,13,0)</f>
        <v>Usuario Externo</v>
      </c>
      <c r="H37" s="24" t="str">
        <f>VLOOKUP(A37,BBDD!$1:$1048653,14,0)</f>
        <v>Usuario Externo</v>
      </c>
      <c r="I37" s="24" t="str">
        <f>VLOOKUP(A37,BBDD!$1:$1048653,16,0)</f>
        <v>Usuario Externo</v>
      </c>
      <c r="J37" s="24" t="str">
        <f>VLOOKUP(A37,BBDD!$1:$1048653,17,0)</f>
        <v/>
      </c>
      <c r="K37" s="26" t="str">
        <f>VLOOKUP(A37,BBDD!$1:$1048653,12,0)</f>
        <v>Usuario Externo</v>
      </c>
      <c r="L37" s="26" t="str">
        <f>VLOOKUP(A37,BBDD!$1:$1048653,3,0)</f>
        <v>Usuario Externo</v>
      </c>
      <c r="M37" s="26" t="str">
        <f>VLOOKUP(A37,BBDD!$1:$1048653,4,0)</f>
        <v>Usuario Externo</v>
      </c>
      <c r="N37" s="26" t="str">
        <f>VLOOKUP(A37,BBDD!$1:$1048653,5,0)</f>
        <v>Usuario Externo</v>
      </c>
      <c r="O37" s="29">
        <v>45954.0</v>
      </c>
      <c r="P37" s="28" t="s">
        <v>5582</v>
      </c>
      <c r="Q37" s="28" t="s">
        <v>5598</v>
      </c>
      <c r="R37" s="28" t="s">
        <v>5630</v>
      </c>
      <c r="S37" s="28" t="s">
        <v>5631</v>
      </c>
      <c r="T37" s="28" t="s">
        <v>5585</v>
      </c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</row>
    <row r="38" ht="14.25" customHeight="1">
      <c r="A38" s="28">
        <v>1.0</v>
      </c>
      <c r="B38" s="24" t="str">
        <f>VLOOKUP(A38,BBDD!$1:$1048653,2,0)</f>
        <v>Usuario Externo</v>
      </c>
      <c r="C38" s="25" t="str">
        <f>VLOOKUP(A38,BBDD!$1:$1048653,7,0)</f>
        <v>Usuario Externo</v>
      </c>
      <c r="D38" s="24" t="str">
        <f>VLOOKUP(A38,BBDD!$1:$1048653,8,0)</f>
        <v>Usuario Externo</v>
      </c>
      <c r="E38" s="24" t="str">
        <f>VLOOKUP(A38,BBDD!$1:$1048653,10,0)</f>
        <v>Usuario Externo</v>
      </c>
      <c r="F38" s="24" t="str">
        <f>VLOOKUP(A38,BBDD!$1:$1048653,11,0)</f>
        <v>Usuario Externo</v>
      </c>
      <c r="G38" s="24" t="str">
        <f>VLOOKUP(A38,BBDD!$1:$1048653,13,0)</f>
        <v>Usuario Externo</v>
      </c>
      <c r="H38" s="24" t="str">
        <f>VLOOKUP(A38,BBDD!$1:$1048653,14,0)</f>
        <v>Usuario Externo</v>
      </c>
      <c r="I38" s="24" t="str">
        <f>VLOOKUP(A38,BBDD!$1:$1048653,16,0)</f>
        <v>Usuario Externo</v>
      </c>
      <c r="J38" s="24" t="str">
        <f>VLOOKUP(A38,BBDD!$1:$1048653,17,0)</f>
        <v/>
      </c>
      <c r="K38" s="26" t="str">
        <f>VLOOKUP(A38,BBDD!$1:$1048653,12,0)</f>
        <v>Usuario Externo</v>
      </c>
      <c r="L38" s="26" t="str">
        <f>VLOOKUP(A38,BBDD!$1:$1048653,3,0)</f>
        <v>Usuario Externo</v>
      </c>
      <c r="M38" s="26" t="str">
        <f>VLOOKUP(A38,BBDD!$1:$1048653,4,0)</f>
        <v>Usuario Externo</v>
      </c>
      <c r="N38" s="26" t="str">
        <f>VLOOKUP(A38,BBDD!$1:$1048653,5,0)</f>
        <v>Usuario Externo</v>
      </c>
      <c r="O38" s="29">
        <v>45954.0</v>
      </c>
      <c r="P38" s="28" t="s">
        <v>5582</v>
      </c>
      <c r="Q38" s="28" t="s">
        <v>5598</v>
      </c>
      <c r="R38" s="28" t="s">
        <v>5632</v>
      </c>
      <c r="S38" s="28" t="s">
        <v>5633</v>
      </c>
      <c r="T38" s="28" t="s">
        <v>5585</v>
      </c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</row>
    <row r="39" ht="14.25" customHeight="1">
      <c r="A39" s="28">
        <v>1.6039446E7</v>
      </c>
      <c r="B39" s="24" t="str">
        <f>VLOOKUP(A39,BBDD!$1:$1048653,2,0)</f>
        <v>16.039.446-3</v>
      </c>
      <c r="C39" s="25" t="str">
        <f>VLOOKUP(A39,BBDD!$1:$1048653,7,0)</f>
        <v>Bastias Quezada Francisco Andres</v>
      </c>
      <c r="D39" s="24" t="str">
        <f>VLOOKUP(A39,BBDD!$1:$1048653,8,0)</f>
        <v>Motorista</v>
      </c>
      <c r="E39" s="24" t="str">
        <f>VLOOKUP(A39,BBDD!$1:$1048653,10,0)</f>
        <v>Gerencia de Flota y Abastecimiento de Materias Primas</v>
      </c>
      <c r="F39" s="24" t="str">
        <f>VLOOKUP(A39,BBDD!$1:$1048653,11,0)</f>
        <v>Indefinido</v>
      </c>
      <c r="G39" s="24" t="str">
        <f>VLOOKUP(A39,BBDD!$1:$1048653,13,0)</f>
        <v>Coronel Rol Flota</v>
      </c>
      <c r="H39" s="24" t="str">
        <f>VLOOKUP(A39,BBDD!$1:$1048653,14,0)</f>
        <v>Gerencia Corp. Negocio Seafood</v>
      </c>
      <c r="I39" s="24" t="str">
        <f>VLOOKUP(A39,BBDD!$1:$1048653,16,0)</f>
        <v>Rol General (Cargo permanente o proyección indefinido)</v>
      </c>
      <c r="J39" s="24" t="str">
        <f>VLOOKUP(A39,BBDD!$1:$1048653,17,0)</f>
        <v/>
      </c>
      <c r="K39" s="26">
        <f>VLOOKUP(A39,BBDD!$1:$1048653,12,0)</f>
        <v>41047</v>
      </c>
      <c r="L39" s="26" t="str">
        <f>VLOOKUP(A39,BBDD!$1:$1048653,3,0)</f>
        <v>Orizon S.A</v>
      </c>
      <c r="M39" s="26" t="str">
        <f>VLOOKUP(A39,BBDD!$1:$1048653,4,0)</f>
        <v>F1</v>
      </c>
      <c r="N39" s="26" t="str">
        <f>VLOOKUP(A39,BBDD!$1:$1048653,5,0)</f>
        <v>francisco.bastias19@gmail.com</v>
      </c>
      <c r="O39" s="29">
        <v>45954.0</v>
      </c>
      <c r="P39" s="28" t="s">
        <v>5594</v>
      </c>
      <c r="Q39" s="28" t="s">
        <v>5583</v>
      </c>
      <c r="R39" s="28" t="s">
        <v>5634</v>
      </c>
      <c r="S39" s="28" t="s">
        <v>5635</v>
      </c>
      <c r="T39" s="28" t="s">
        <v>5585</v>
      </c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</row>
    <row r="40" ht="14.25" customHeight="1">
      <c r="A40" s="28">
        <v>1.0</v>
      </c>
      <c r="B40" s="28" t="s">
        <v>5537</v>
      </c>
      <c r="C40" s="25" t="str">
        <f>VLOOKUP(A40,BBDD!$1:$1048653,7,0)</f>
        <v>Usuario Externo</v>
      </c>
      <c r="D40" s="24" t="str">
        <f>VLOOKUP(A40,BBDD!$1:$1048653,8,0)</f>
        <v>Usuario Externo</v>
      </c>
      <c r="E40" s="24" t="str">
        <f>VLOOKUP(A40,BBDD!$1:$1048653,10,0)</f>
        <v>Usuario Externo</v>
      </c>
      <c r="F40" s="24" t="str">
        <f>VLOOKUP(A40,BBDD!$1:$1048653,11,0)</f>
        <v>Usuario Externo</v>
      </c>
      <c r="G40" s="24" t="str">
        <f>VLOOKUP(A40,BBDD!$1:$1048653,13,0)</f>
        <v>Usuario Externo</v>
      </c>
      <c r="H40" s="24" t="str">
        <f>VLOOKUP(A40,BBDD!$1:$1048653,14,0)</f>
        <v>Usuario Externo</v>
      </c>
      <c r="I40" s="24" t="str">
        <f>VLOOKUP(A40,BBDD!$1:$1048653,16,0)</f>
        <v>Usuario Externo</v>
      </c>
      <c r="J40" s="24" t="str">
        <f>VLOOKUP(A40,BBDD!$1:$1048653,17,0)</f>
        <v/>
      </c>
      <c r="K40" s="26" t="str">
        <f>VLOOKUP(A40,BBDD!$1:$1048653,12,0)</f>
        <v>Usuario Externo</v>
      </c>
      <c r="L40" s="26" t="str">
        <f>VLOOKUP(A40,BBDD!$1:$1048653,3,0)</f>
        <v>Usuario Externo</v>
      </c>
      <c r="M40" s="26" t="str">
        <f>VLOOKUP(A40,BBDD!$1:$1048653,4,0)</f>
        <v>Usuario Externo</v>
      </c>
      <c r="N40" s="26" t="str">
        <f>VLOOKUP(A40,BBDD!$1:$1048653,5,0)</f>
        <v>Usuario Externo</v>
      </c>
      <c r="O40" s="29">
        <v>45954.0</v>
      </c>
      <c r="P40" s="28" t="s">
        <v>5582</v>
      </c>
      <c r="Q40" s="28" t="s">
        <v>5586</v>
      </c>
      <c r="R40" s="28" t="s">
        <v>5636</v>
      </c>
      <c r="S40" s="28" t="s">
        <v>5637</v>
      </c>
      <c r="T40" s="28" t="s">
        <v>5585</v>
      </c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</row>
    <row r="41" ht="14.25" customHeight="1">
      <c r="A41" s="28">
        <v>1.0</v>
      </c>
      <c r="B41" s="28" t="s">
        <v>5407</v>
      </c>
      <c r="C41" s="25" t="str">
        <f>VLOOKUP(A41,BBDD!$1:$1048653,7,0)</f>
        <v>Usuario Externo</v>
      </c>
      <c r="D41" s="24" t="str">
        <f>VLOOKUP(A41,BBDD!$1:$1048653,8,0)</f>
        <v>Usuario Externo</v>
      </c>
      <c r="E41" s="24" t="str">
        <f>VLOOKUP(A41,BBDD!$1:$1048653,10,0)</f>
        <v>Usuario Externo</v>
      </c>
      <c r="F41" s="24" t="str">
        <f>VLOOKUP(A41,BBDD!$1:$1048653,11,0)</f>
        <v>Usuario Externo</v>
      </c>
      <c r="G41" s="24" t="str">
        <f>VLOOKUP(A41,BBDD!$1:$1048653,13,0)</f>
        <v>Usuario Externo</v>
      </c>
      <c r="H41" s="24" t="str">
        <f>VLOOKUP(A41,BBDD!$1:$1048653,14,0)</f>
        <v>Usuario Externo</v>
      </c>
      <c r="I41" s="24" t="str">
        <f>VLOOKUP(A41,BBDD!$1:$1048653,16,0)</f>
        <v>Usuario Externo</v>
      </c>
      <c r="J41" s="24" t="str">
        <f>VLOOKUP(A41,BBDD!$1:$1048653,17,0)</f>
        <v/>
      </c>
      <c r="K41" s="26" t="str">
        <f>VLOOKUP(A41,BBDD!$1:$1048653,12,0)</f>
        <v>Usuario Externo</v>
      </c>
      <c r="L41" s="26" t="str">
        <f>VLOOKUP(A41,BBDD!$1:$1048653,3,0)</f>
        <v>Usuario Externo</v>
      </c>
      <c r="M41" s="26" t="str">
        <f>VLOOKUP(A41,BBDD!$1:$1048653,4,0)</f>
        <v>Usuario Externo</v>
      </c>
      <c r="N41" s="26" t="str">
        <f>VLOOKUP(A41,BBDD!$1:$1048653,5,0)</f>
        <v>Usuario Externo</v>
      </c>
      <c r="O41" s="29">
        <v>45954.0</v>
      </c>
      <c r="P41" s="28" t="s">
        <v>5582</v>
      </c>
      <c r="Q41" s="28" t="s">
        <v>5606</v>
      </c>
      <c r="R41" s="28" t="s">
        <v>5636</v>
      </c>
      <c r="S41" s="28" t="s">
        <v>5637</v>
      </c>
      <c r="T41" s="28" t="s">
        <v>5585</v>
      </c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</row>
    <row r="42" ht="14.25" customHeight="1">
      <c r="A42" s="28">
        <v>1.9578476E7</v>
      </c>
      <c r="B42" s="24" t="str">
        <f>VLOOKUP(A42,BBDD!$1:$1048653,2,0)</f>
        <v>19.578.476-0</v>
      </c>
      <c r="C42" s="25" t="str">
        <f>VLOOKUP(A42,BBDD!$1:$1048653,7,0)</f>
        <v>Salazar Parra Daniela Andrea</v>
      </c>
      <c r="D42" s="24" t="str">
        <f>VLOOKUP(A42,BBDD!$1:$1048653,8,0)</f>
        <v>Operario Apoyo Elaboracion</v>
      </c>
      <c r="E42" s="24" t="str">
        <f>VLOOKUP(A42,BBDD!$1:$1048653,10,0)</f>
        <v>Gerencia Producción Pesca</v>
      </c>
      <c r="F42" s="24" t="str">
        <f>VLOOKUP(A42,BBDD!$1:$1048653,11,0)</f>
        <v>Plazo fijo</v>
      </c>
      <c r="G42" s="24" t="str">
        <f>VLOOKUP(A42,BBDD!$1:$1048653,13,0)</f>
        <v>Coronel Rol Eventual</v>
      </c>
      <c r="H42" s="24" t="str">
        <f>VLOOKUP(A42,BBDD!$1:$1048653,14,0)</f>
        <v>Gerencia Corp. Negocio Seafood</v>
      </c>
      <c r="I42" s="24" t="str">
        <f>VLOOKUP(A42,BBDD!$1:$1048653,16,0)</f>
        <v>Temporada (Con ocasión Temporada de Pesca)</v>
      </c>
      <c r="J42" s="24" t="str">
        <f>VLOOKUP(A42,BBDD!$1:$1048653,17,0)</f>
        <v/>
      </c>
      <c r="K42" s="26">
        <f>VLOOKUP(A42,BBDD!$1:$1048653,12,0)</f>
        <v>45945</v>
      </c>
      <c r="L42" s="26" t="str">
        <f>VLOOKUP(A42,BBDD!$1:$1048653,3,0)</f>
        <v>Orizon S.A</v>
      </c>
      <c r="M42" s="26" t="str">
        <f>VLOOKUP(A42,BBDD!$1:$1048653,4,0)</f>
        <v>F4</v>
      </c>
      <c r="N42" s="26" t="str">
        <f>VLOOKUP(A42,BBDD!$1:$1048653,5,0)</f>
        <v>PARRAS241@GMAIL.COM</v>
      </c>
      <c r="O42" s="29">
        <v>45954.0</v>
      </c>
      <c r="P42" s="28" t="s">
        <v>5582</v>
      </c>
      <c r="Q42" s="28" t="s">
        <v>5583</v>
      </c>
      <c r="R42" s="28" t="s">
        <v>5638</v>
      </c>
      <c r="S42" s="28" t="s">
        <v>5639</v>
      </c>
      <c r="T42" s="28" t="s">
        <v>5585</v>
      </c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</row>
    <row r="43" ht="14.25" customHeight="1">
      <c r="A43" s="28">
        <v>1.9521124E7</v>
      </c>
      <c r="B43" s="28" t="s">
        <v>5640</v>
      </c>
      <c r="C43" s="31" t="s">
        <v>5641</v>
      </c>
      <c r="D43" s="28" t="s">
        <v>5642</v>
      </c>
      <c r="E43" s="24" t="str">
        <f>VLOOKUP(A43,BBDD!$1:$1048653,10,0)</f>
        <v>#N/A</v>
      </c>
      <c r="F43" s="24" t="str">
        <f>VLOOKUP(A43,BBDD!$1:$1048653,11,0)</f>
        <v>#N/A</v>
      </c>
      <c r="G43" s="24" t="str">
        <f>VLOOKUP(A43,BBDD!$1:$1048653,13,0)</f>
        <v>#N/A</v>
      </c>
      <c r="H43" s="24" t="str">
        <f>VLOOKUP(A43,BBDD!$1:$1048653,14,0)</f>
        <v>#N/A</v>
      </c>
      <c r="I43" s="24" t="str">
        <f>VLOOKUP(A43,BBDD!$1:$1048653,16,0)</f>
        <v>#N/A</v>
      </c>
      <c r="J43" s="24" t="str">
        <f>VLOOKUP(A43,BBDD!$1:$1048653,17,0)</f>
        <v>#N/A</v>
      </c>
      <c r="K43" s="26" t="str">
        <f>VLOOKUP(A43,BBDD!$1:$1048653,12,0)</f>
        <v>#N/A</v>
      </c>
      <c r="L43" s="26" t="str">
        <f>VLOOKUP(A43,BBDD!$1:$1048653,3,0)</f>
        <v>#N/A</v>
      </c>
      <c r="M43" s="26" t="str">
        <f>VLOOKUP(A43,BBDD!$1:$1048653,4,0)</f>
        <v>#N/A</v>
      </c>
      <c r="N43" s="28" t="s">
        <v>5643</v>
      </c>
      <c r="O43" s="29">
        <v>45954.0</v>
      </c>
      <c r="P43" s="28" t="s">
        <v>5582</v>
      </c>
      <c r="Q43" s="28" t="s">
        <v>5567</v>
      </c>
      <c r="R43" s="28" t="s">
        <v>5644</v>
      </c>
      <c r="S43" s="28" t="s">
        <v>5645</v>
      </c>
      <c r="T43" s="28" t="s">
        <v>5585</v>
      </c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</row>
    <row r="44" ht="14.25" customHeight="1">
      <c r="A44" s="28">
        <v>1.010997E7</v>
      </c>
      <c r="B44" s="24" t="str">
        <f>VLOOKUP(A44,BBDD!$1:$1048653,2,0)</f>
        <v>10.109.970-9</v>
      </c>
      <c r="C44" s="25" t="str">
        <f>VLOOKUP(A44,BBDD!$1:$1048653,7,0)</f>
        <v>Paredes Gutierrez Luis Octavio</v>
      </c>
      <c r="D44" s="24" t="str">
        <f>VLOOKUP(A44,BBDD!$1:$1048653,8,0)</f>
        <v>Electrico De Turno</v>
      </c>
      <c r="E44" s="24" t="str">
        <f>VLOOKUP(A44,BBDD!$1:$1048653,10,0)</f>
        <v>Departamento Ingeniería</v>
      </c>
      <c r="F44" s="24" t="str">
        <f>VLOOKUP(A44,BBDD!$1:$1048653,11,0)</f>
        <v>Indefinido</v>
      </c>
      <c r="G44" s="24" t="str">
        <f>VLOOKUP(A44,BBDD!$1:$1048653,13,0)</f>
        <v>Coronel Rol Tierra</v>
      </c>
      <c r="H44" s="24" t="str">
        <f>VLOOKUP(A44,BBDD!$1:$1048653,14,0)</f>
        <v>Gerencia Corp. Negocio Seafood</v>
      </c>
      <c r="I44" s="24" t="str">
        <f>VLOOKUP(A44,BBDD!$1:$1048653,16,0)</f>
        <v>Rol General (Cargo permanente o proyección indefinido)</v>
      </c>
      <c r="J44" s="24" t="str">
        <f>VLOOKUP(A44,BBDD!$1:$1048653,17,0)</f>
        <v/>
      </c>
      <c r="K44" s="26">
        <f>VLOOKUP(A44,BBDD!$1:$1048653,12,0)</f>
        <v>40513</v>
      </c>
      <c r="L44" s="26" t="str">
        <f>VLOOKUP(A44,BBDD!$1:$1048653,3,0)</f>
        <v>Orizon S.A</v>
      </c>
      <c r="M44" s="26" t="str">
        <f>VLOOKUP(A44,BBDD!$1:$1048653,4,0)</f>
        <v>F1</v>
      </c>
      <c r="N44" s="26" t="str">
        <f>VLOOKUP(A44,BBDD!$1:$1048653,5,0)</f>
        <v>luisparedesgut.lp@gmail.com</v>
      </c>
      <c r="O44" s="29">
        <v>45954.0</v>
      </c>
      <c r="P44" s="28" t="s">
        <v>5582</v>
      </c>
      <c r="Q44" s="28" t="s">
        <v>5589</v>
      </c>
      <c r="R44" s="28" t="s">
        <v>5646</v>
      </c>
      <c r="S44" s="23"/>
      <c r="T44" s="28" t="s">
        <v>5585</v>
      </c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</row>
    <row r="45" ht="14.25" customHeight="1">
      <c r="A45" s="28">
        <v>7392021.0</v>
      </c>
      <c r="B45" s="24" t="str">
        <f>VLOOKUP(A45,BBDD!$1:$1048653,2,0)</f>
        <v>7.392.021-3</v>
      </c>
      <c r="C45" s="25" t="str">
        <f>VLOOKUP(A45,BBDD!$1:$1048653,7,0)</f>
        <v>Carrillo Baeza Alex Alejandro</v>
      </c>
      <c r="D45" s="24" t="str">
        <f>VLOOKUP(A45,BBDD!$1:$1048653,8,0)</f>
        <v>Piloto</v>
      </c>
      <c r="E45" s="24" t="str">
        <f>VLOOKUP(A45,BBDD!$1:$1048653,10,0)</f>
        <v>Gerencia de Flota y Abastecimiento de Materias Primas</v>
      </c>
      <c r="F45" s="24" t="str">
        <f>VLOOKUP(A45,BBDD!$1:$1048653,11,0)</f>
        <v>Indefinido</v>
      </c>
      <c r="G45" s="24" t="str">
        <f>VLOOKUP(A45,BBDD!$1:$1048653,13,0)</f>
        <v>Coronel Rol Flota</v>
      </c>
      <c r="H45" s="24" t="str">
        <f>VLOOKUP(A45,BBDD!$1:$1048653,14,0)</f>
        <v>Gerencia Corp. Negocio Seafood</v>
      </c>
      <c r="I45" s="24" t="str">
        <f>VLOOKUP(A45,BBDD!$1:$1048653,16,0)</f>
        <v>Rol General (Cargo permanente o proyección indefinido)</v>
      </c>
      <c r="J45" s="24" t="str">
        <f>VLOOKUP(A45,BBDD!$1:$1048653,17,0)</f>
        <v/>
      </c>
      <c r="K45" s="26">
        <f>VLOOKUP(A45,BBDD!$1:$1048653,12,0)</f>
        <v>40513</v>
      </c>
      <c r="L45" s="26" t="str">
        <f>VLOOKUP(A45,BBDD!$1:$1048653,3,0)</f>
        <v>Orizon S.A</v>
      </c>
      <c r="M45" s="26" t="str">
        <f>VLOOKUP(A45,BBDD!$1:$1048653,4,0)</f>
        <v>F1</v>
      </c>
      <c r="N45" s="26" t="str">
        <f>VLOOKUP(A45,BBDD!$1:$1048653,5,0)</f>
        <v>alex.carrillo@orizon.cl</v>
      </c>
      <c r="O45" s="29">
        <v>45954.0</v>
      </c>
      <c r="P45" s="28" t="s">
        <v>5582</v>
      </c>
      <c r="Q45" s="28" t="s">
        <v>5589</v>
      </c>
      <c r="R45" s="28" t="s">
        <v>5647</v>
      </c>
      <c r="S45" s="23"/>
      <c r="T45" s="28" t="s">
        <v>5585</v>
      </c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</row>
    <row r="46" ht="14.25" customHeight="1">
      <c r="A46" s="28">
        <v>1.5193397E7</v>
      </c>
      <c r="B46" s="24" t="str">
        <f>VLOOKUP(A46,BBDD!$1:$1048653,2,0)</f>
        <v>15.193.397-1</v>
      </c>
      <c r="C46" s="25" t="str">
        <f>VLOOKUP(A46,BBDD!$1:$1048653,7,0)</f>
        <v>Vasquez Molina Jose Luis</v>
      </c>
      <c r="D46" s="24" t="str">
        <f>VLOOKUP(A46,BBDD!$1:$1048653,8,0)</f>
        <v>Operario Apoyo Elaboracion</v>
      </c>
      <c r="E46" s="24" t="str">
        <f>VLOOKUP(A46,BBDD!$1:$1048653,10,0)</f>
        <v>Gerencia Producción Pesca</v>
      </c>
      <c r="F46" s="24" t="str">
        <f>VLOOKUP(A46,BBDD!$1:$1048653,11,0)</f>
        <v>Plazo fijo</v>
      </c>
      <c r="G46" s="24" t="str">
        <f>VLOOKUP(A46,BBDD!$1:$1048653,13,0)</f>
        <v>Coronel Rol Eventual</v>
      </c>
      <c r="H46" s="24" t="str">
        <f>VLOOKUP(A46,BBDD!$1:$1048653,14,0)</f>
        <v>Gerencia Corp. Negocio Seafood</v>
      </c>
      <c r="I46" s="24" t="str">
        <f>VLOOKUP(A46,BBDD!$1:$1048653,16,0)</f>
        <v>Temporada (Con ocasión Temporada de Pesca)</v>
      </c>
      <c r="J46" s="24" t="str">
        <f>VLOOKUP(A46,BBDD!$1:$1048653,17,0)</f>
        <v/>
      </c>
      <c r="K46" s="26">
        <f>VLOOKUP(A46,BBDD!$1:$1048653,12,0)</f>
        <v>45941</v>
      </c>
      <c r="L46" s="26" t="str">
        <f>VLOOKUP(A46,BBDD!$1:$1048653,3,0)</f>
        <v>Orizon S.A</v>
      </c>
      <c r="M46" s="26" t="str">
        <f>VLOOKUP(A46,BBDD!$1:$1048653,4,0)</f>
        <v>F1</v>
      </c>
      <c r="N46" s="26" t="str">
        <f>VLOOKUP(A46,BBDD!$1:$1048653,5,0)</f>
        <v>vasquez.molina.joseluis10@gmail.com</v>
      </c>
      <c r="O46" s="29">
        <v>45954.0</v>
      </c>
      <c r="P46" s="28" t="s">
        <v>5582</v>
      </c>
      <c r="Q46" s="28" t="s">
        <v>5601</v>
      </c>
      <c r="R46" s="28" t="s">
        <v>5648</v>
      </c>
      <c r="S46" s="23"/>
      <c r="T46" s="28" t="s">
        <v>5585</v>
      </c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</row>
    <row r="47" ht="14.25" customHeight="1">
      <c r="A47" s="28">
        <v>1.8815806E7</v>
      </c>
      <c r="B47" s="24" t="str">
        <f>VLOOKUP(A47,BBDD!$1:$1048653,2,0)</f>
        <v>18.815.806-4</v>
      </c>
      <c r="C47" s="25" t="str">
        <f>VLOOKUP(A47,BBDD!$1:$1048653,7,0)</f>
        <v>Sanhueza Leal Angel Belen</v>
      </c>
      <c r="D47" s="24" t="str">
        <f>VLOOKUP(A47,BBDD!$1:$1048653,8,0)</f>
        <v>Operario Apoyo Elaboracion</v>
      </c>
      <c r="E47" s="24" t="str">
        <f>VLOOKUP(A47,BBDD!$1:$1048653,10,0)</f>
        <v>Gerencia Producción Pesca</v>
      </c>
      <c r="F47" s="24" t="str">
        <f>VLOOKUP(A47,BBDD!$1:$1048653,11,0)</f>
        <v>Plazo fijo</v>
      </c>
      <c r="G47" s="24" t="str">
        <f>VLOOKUP(A47,BBDD!$1:$1048653,13,0)</f>
        <v>Coronel Rol Eventual</v>
      </c>
      <c r="H47" s="24" t="str">
        <f>VLOOKUP(A47,BBDD!$1:$1048653,14,0)</f>
        <v>Gerencia Corp. Negocio Seafood</v>
      </c>
      <c r="I47" s="24" t="str">
        <f>VLOOKUP(A47,BBDD!$1:$1048653,16,0)</f>
        <v>Temporada (Con ocasión Temporada de Pesca)</v>
      </c>
      <c r="J47" s="24" t="str">
        <f>VLOOKUP(A47,BBDD!$1:$1048653,17,0)</f>
        <v/>
      </c>
      <c r="K47" s="26">
        <f>VLOOKUP(A47,BBDD!$1:$1048653,12,0)</f>
        <v>45931</v>
      </c>
      <c r="L47" s="26" t="str">
        <f>VLOOKUP(A47,BBDD!$1:$1048653,3,0)</f>
        <v>Orizon S.A</v>
      </c>
      <c r="M47" s="26" t="str">
        <f>VLOOKUP(A47,BBDD!$1:$1048653,4,0)</f>
        <v>F3</v>
      </c>
      <c r="N47" s="26" t="str">
        <f>VLOOKUP(A47,BBDD!$1:$1048653,5,0)</f>
        <v>belensanhueza145@hotmail.com</v>
      </c>
      <c r="O47" s="29">
        <v>45954.0</v>
      </c>
      <c r="P47" s="28" t="s">
        <v>5582</v>
      </c>
      <c r="Q47" s="28" t="s">
        <v>5586</v>
      </c>
      <c r="R47" s="28" t="s">
        <v>5649</v>
      </c>
      <c r="S47" s="28"/>
      <c r="T47" s="28" t="s">
        <v>5585</v>
      </c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</row>
    <row r="48" ht="14.25" customHeight="1">
      <c r="A48" s="28">
        <v>1.7789509E7</v>
      </c>
      <c r="B48" s="24" t="str">
        <f>VLOOKUP(A48,BBDD!$1:$1048653,2,0)</f>
        <v>17.789.509-1</v>
      </c>
      <c r="C48" s="25" t="str">
        <f>VLOOKUP(A48,BBDD!$1:$1048653,7,0)</f>
        <v>Ferreira Arratia Valeria Andrea</v>
      </c>
      <c r="D48" s="24" t="str">
        <f>VLOOKUP(A48,BBDD!$1:$1048653,8,0)</f>
        <v>Operario Apoyo Elaboracion</v>
      </c>
      <c r="E48" s="24" t="str">
        <f>VLOOKUP(A48,BBDD!$1:$1048653,10,0)</f>
        <v>Gerencia Producción Pesca</v>
      </c>
      <c r="F48" s="24" t="str">
        <f>VLOOKUP(A48,BBDD!$1:$1048653,11,0)</f>
        <v>Plazo fijo</v>
      </c>
      <c r="G48" s="24" t="str">
        <f>VLOOKUP(A48,BBDD!$1:$1048653,13,0)</f>
        <v>Coronel Rol Eventual</v>
      </c>
      <c r="H48" s="24" t="str">
        <f>VLOOKUP(A48,BBDD!$1:$1048653,14,0)</f>
        <v>Gerencia Corp. Negocio Seafood</v>
      </c>
      <c r="I48" s="24" t="str">
        <f>VLOOKUP(A48,BBDD!$1:$1048653,16,0)</f>
        <v>Temporada (Con ocasión Temporada de Pesca)</v>
      </c>
      <c r="J48" s="24" t="str">
        <f>VLOOKUP(A48,BBDD!$1:$1048653,17,0)</f>
        <v/>
      </c>
      <c r="K48" s="26">
        <f>VLOOKUP(A48,BBDD!$1:$1048653,12,0)</f>
        <v>45931</v>
      </c>
      <c r="L48" s="26" t="str">
        <f>VLOOKUP(A48,BBDD!$1:$1048653,3,0)</f>
        <v>Orizon S.A</v>
      </c>
      <c r="M48" s="26" t="str">
        <f>VLOOKUP(A48,BBDD!$1:$1048653,4,0)</f>
        <v>F4</v>
      </c>
      <c r="N48" s="26" t="str">
        <f>VLOOKUP(A48,BBDD!$1:$1048653,5,0)</f>
        <v>ferreiravaleria550@gmail.com</v>
      </c>
      <c r="O48" s="29">
        <v>45957.0</v>
      </c>
      <c r="P48" s="28" t="s">
        <v>5582</v>
      </c>
      <c r="Q48" s="28" t="s">
        <v>5586</v>
      </c>
      <c r="R48" s="28" t="s">
        <v>5650</v>
      </c>
      <c r="S48" s="28" t="s">
        <v>5651</v>
      </c>
      <c r="T48" s="28" t="s">
        <v>5585</v>
      </c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</row>
    <row r="49" ht="14.25" customHeight="1">
      <c r="A49" s="28">
        <v>1.4390883E7</v>
      </c>
      <c r="B49" s="24" t="str">
        <f>VLOOKUP(A49,BBDD!$1:$1048653,2,0)</f>
        <v>14.390.883-6</v>
      </c>
      <c r="C49" s="25" t="str">
        <f>VLOOKUP(A49,BBDD!$1:$1048653,7,0)</f>
        <v>Medina Escobar Osvaldo Jose</v>
      </c>
      <c r="D49" s="24" t="str">
        <f>VLOOKUP(A49,BBDD!$1:$1048653,8,0)</f>
        <v>Tripulante</v>
      </c>
      <c r="E49" s="24" t="str">
        <f>VLOOKUP(A49,BBDD!$1:$1048653,10,0)</f>
        <v>Gerencia de Flota y Abastecimiento de Materias Primas</v>
      </c>
      <c r="F49" s="24" t="str">
        <f>VLOOKUP(A49,BBDD!$1:$1048653,11,0)</f>
        <v>Indefinido</v>
      </c>
      <c r="G49" s="24" t="str">
        <f>VLOOKUP(A49,BBDD!$1:$1048653,13,0)</f>
        <v>Coronel Rol Flota</v>
      </c>
      <c r="H49" s="24" t="str">
        <f>VLOOKUP(A49,BBDD!$1:$1048653,14,0)</f>
        <v>Gerencia Corp. Negocio Seafood</v>
      </c>
      <c r="I49" s="24" t="str">
        <f>VLOOKUP(A49,BBDD!$1:$1048653,16,0)</f>
        <v>Rol General (Cargo permanente o proyección indefinido)</v>
      </c>
      <c r="J49" s="24" t="str">
        <f>VLOOKUP(A49,BBDD!$1:$1048653,17,0)</f>
        <v/>
      </c>
      <c r="K49" s="26">
        <f>VLOOKUP(A49,BBDD!$1:$1048653,12,0)</f>
        <v>45729</v>
      </c>
      <c r="L49" s="26" t="str">
        <f>VLOOKUP(A49,BBDD!$1:$1048653,3,0)</f>
        <v>Orizon S.A</v>
      </c>
      <c r="M49" s="26" t="str">
        <f>VLOOKUP(A49,BBDD!$1:$1048653,4,0)</f>
        <v>F2</v>
      </c>
      <c r="N49" s="26" t="str">
        <f>VLOOKUP(A49,BBDD!$1:$1048653,5,0)</f>
        <v>osvaldojose123@gmail.com</v>
      </c>
      <c r="O49" s="29">
        <v>45957.0</v>
      </c>
      <c r="P49" s="28" t="s">
        <v>5582</v>
      </c>
      <c r="Q49" s="28" t="s">
        <v>5589</v>
      </c>
      <c r="R49" s="28" t="s">
        <v>5652</v>
      </c>
      <c r="S49" s="28" t="s">
        <v>5653</v>
      </c>
      <c r="T49" s="28" t="s">
        <v>5585</v>
      </c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</row>
    <row r="50" ht="14.25" customHeight="1">
      <c r="A50" s="28">
        <v>9312597.0</v>
      </c>
      <c r="B50" s="24" t="str">
        <f>VLOOKUP(A50,BBDD!$1:$1048653,2,0)</f>
        <v>9.312.597-5</v>
      </c>
      <c r="C50" s="25" t="str">
        <f>VLOOKUP(A50,BBDD!$1:$1048653,7,0)</f>
        <v>Andreu Riveros Julio Cesar</v>
      </c>
      <c r="D50" s="24" t="str">
        <f>VLOOKUP(A50,BBDD!$1:$1048653,8,0)</f>
        <v>Tripulante</v>
      </c>
      <c r="E50" s="24" t="str">
        <f>VLOOKUP(A50,BBDD!$1:$1048653,10,0)</f>
        <v>Gerencia de Flota y Abastecimiento de Materias Primas</v>
      </c>
      <c r="F50" s="24" t="str">
        <f>VLOOKUP(A50,BBDD!$1:$1048653,11,0)</f>
        <v>Indefinido</v>
      </c>
      <c r="G50" s="24" t="str">
        <f>VLOOKUP(A50,BBDD!$1:$1048653,13,0)</f>
        <v>Coronel Rol Flota</v>
      </c>
      <c r="H50" s="24" t="str">
        <f>VLOOKUP(A50,BBDD!$1:$1048653,14,0)</f>
        <v>Gerencia Corp. Negocio Seafood</v>
      </c>
      <c r="I50" s="24" t="str">
        <f>VLOOKUP(A50,BBDD!$1:$1048653,16,0)</f>
        <v>Rol General (Cargo permanente o proyección indefinido)</v>
      </c>
      <c r="J50" s="24" t="str">
        <f>VLOOKUP(A50,BBDD!$1:$1048653,17,0)</f>
        <v/>
      </c>
      <c r="K50" s="26">
        <f>VLOOKUP(A50,BBDD!$1:$1048653,12,0)</f>
        <v>40513</v>
      </c>
      <c r="L50" s="26" t="str">
        <f>VLOOKUP(A50,BBDD!$1:$1048653,3,0)</f>
        <v>Orizon S.A</v>
      </c>
      <c r="M50" s="26" t="str">
        <f>VLOOKUP(A50,BBDD!$1:$1048653,4,0)</f>
        <v>F1</v>
      </c>
      <c r="N50" s="26" t="str">
        <f>VLOOKUP(A50,BBDD!$1:$1048653,5,0)</f>
        <v>julioandreu57@gmail.com</v>
      </c>
      <c r="O50" s="29">
        <v>45957.0</v>
      </c>
      <c r="P50" s="28" t="s">
        <v>5582</v>
      </c>
      <c r="Q50" s="28" t="s">
        <v>5583</v>
      </c>
      <c r="R50" s="28" t="s">
        <v>5654</v>
      </c>
      <c r="S50" s="28" t="s">
        <v>5655</v>
      </c>
      <c r="T50" s="28" t="s">
        <v>5585</v>
      </c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</row>
    <row r="51" ht="14.25" customHeight="1">
      <c r="A51" s="28">
        <v>1.1498484E7</v>
      </c>
      <c r="B51" s="24" t="str">
        <f>VLOOKUP(A51,BBDD!$1:$1048653,2,0)</f>
        <v>11.498.484-1</v>
      </c>
      <c r="C51" s="25" t="str">
        <f>VLOOKUP(A51,BBDD!$1:$1048653,7,0)</f>
        <v>Sanhueza Fernandez Victor Manuel</v>
      </c>
      <c r="D51" s="24" t="str">
        <f>VLOOKUP(A51,BBDD!$1:$1048653,8,0)</f>
        <v>Operador Grua Horquilla</v>
      </c>
      <c r="E51" s="24" t="str">
        <f>VLOOKUP(A51,BBDD!$1:$1048653,10,0)</f>
        <v>Gerencia Producción Pesca</v>
      </c>
      <c r="F51" s="24" t="str">
        <f>VLOOKUP(A51,BBDD!$1:$1048653,11,0)</f>
        <v>Indefinido</v>
      </c>
      <c r="G51" s="24" t="str">
        <f>VLOOKUP(A51,BBDD!$1:$1048653,13,0)</f>
        <v>Coronel Rol Tierra</v>
      </c>
      <c r="H51" s="24" t="str">
        <f>VLOOKUP(A51,BBDD!$1:$1048653,14,0)</f>
        <v>Gerencia Corp. Negocio Seafood</v>
      </c>
      <c r="I51" s="24" t="str">
        <f>VLOOKUP(A51,BBDD!$1:$1048653,16,0)</f>
        <v>Rol General (Cargo permanente o proyección indefinido)</v>
      </c>
      <c r="J51" s="24" t="str">
        <f>VLOOKUP(A51,BBDD!$1:$1048653,17,0)</f>
        <v/>
      </c>
      <c r="K51" s="26">
        <f>VLOOKUP(A51,BBDD!$1:$1048653,12,0)</f>
        <v>44805</v>
      </c>
      <c r="L51" s="26" t="str">
        <f>VLOOKUP(A51,BBDD!$1:$1048653,3,0)</f>
        <v>Orizon S.A</v>
      </c>
      <c r="M51" s="26" t="str">
        <f>VLOOKUP(A51,BBDD!$1:$1048653,4,0)</f>
        <v>F1</v>
      </c>
      <c r="N51" s="26" t="str">
        <f>VLOOKUP(A51,BBDD!$1:$1048653,5,0)</f>
        <v>victormanuelsanhueza69@gmail.com</v>
      </c>
      <c r="O51" s="29">
        <v>45957.0</v>
      </c>
      <c r="P51" s="28" t="s">
        <v>5582</v>
      </c>
      <c r="Q51" s="28" t="s">
        <v>5591</v>
      </c>
      <c r="R51" s="28" t="s">
        <v>5656</v>
      </c>
      <c r="S51" s="23"/>
      <c r="T51" s="28" t="s">
        <v>5585</v>
      </c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</row>
    <row r="52" ht="14.25" customHeight="1">
      <c r="A52" s="28">
        <v>9391260.0</v>
      </c>
      <c r="B52" s="24" t="str">
        <f>VLOOKUP(A52,BBDD!$1:$1048653,2,0)</f>
        <v>9.391.260-8</v>
      </c>
      <c r="C52" s="25" t="str">
        <f>VLOOKUP(A52,BBDD!$1:$1048653,7,0)</f>
        <v>Puentes Burgos Oscar Manuel</v>
      </c>
      <c r="D52" s="24" t="str">
        <f>VLOOKUP(A52,BBDD!$1:$1048653,8,0)</f>
        <v>Tripulante</v>
      </c>
      <c r="E52" s="24" t="str">
        <f>VLOOKUP(A52,BBDD!$1:$1048653,10,0)</f>
        <v>Gerencia de Flota y Abastecimiento de Materias Primas</v>
      </c>
      <c r="F52" s="24" t="str">
        <f>VLOOKUP(A52,BBDD!$1:$1048653,11,0)</f>
        <v>Indefinido</v>
      </c>
      <c r="G52" s="24" t="str">
        <f>VLOOKUP(A52,BBDD!$1:$1048653,13,0)</f>
        <v>Coronel Rol Flota</v>
      </c>
      <c r="H52" s="24" t="str">
        <f>VLOOKUP(A52,BBDD!$1:$1048653,14,0)</f>
        <v>Gerencia Corp. Negocio Seafood</v>
      </c>
      <c r="I52" s="24" t="str">
        <f>VLOOKUP(A52,BBDD!$1:$1048653,16,0)</f>
        <v>Rol General (Cargo permanente o proyección indefinido)</v>
      </c>
      <c r="J52" s="24" t="str">
        <f>VLOOKUP(A52,BBDD!$1:$1048653,17,0)</f>
        <v/>
      </c>
      <c r="K52" s="26">
        <f>VLOOKUP(A52,BBDD!$1:$1048653,12,0)</f>
        <v>40513</v>
      </c>
      <c r="L52" s="26" t="str">
        <f>VLOOKUP(A52,BBDD!$1:$1048653,3,0)</f>
        <v>Orizon S.A</v>
      </c>
      <c r="M52" s="26" t="str">
        <f>VLOOKUP(A52,BBDD!$1:$1048653,4,0)</f>
        <v>F1</v>
      </c>
      <c r="N52" s="26" t="str">
        <f>VLOOKUP(A52,BBDD!$1:$1048653,5,0)</f>
        <v>oscar24puentes@gmail.com</v>
      </c>
      <c r="O52" s="29">
        <v>45957.0</v>
      </c>
      <c r="P52" s="28" t="s">
        <v>5582</v>
      </c>
      <c r="Q52" s="28" t="s">
        <v>5601</v>
      </c>
      <c r="R52" s="28" t="s">
        <v>5657</v>
      </c>
      <c r="S52" s="23"/>
      <c r="T52" s="28" t="s">
        <v>5585</v>
      </c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</row>
    <row r="53" ht="14.25" customHeight="1">
      <c r="A53" s="28">
        <v>1.3899807E7</v>
      </c>
      <c r="B53" s="24" t="str">
        <f>VLOOKUP(A53,BBDD!$1:$1048653,2,0)</f>
        <v>13.899.807-k</v>
      </c>
      <c r="C53" s="25" t="str">
        <f>VLOOKUP(A53,BBDD!$1:$1048653,7,0)</f>
        <v>Godoy Bononato Cesar Mauricio</v>
      </c>
      <c r="D53" s="24" t="str">
        <f>VLOOKUP(A53,BBDD!$1:$1048653,8,0)</f>
        <v>Supervisor(A) Mantencion Flota</v>
      </c>
      <c r="E53" s="24" t="str">
        <f>VLOOKUP(A53,BBDD!$1:$1048653,10,0)</f>
        <v>Gerencia de Flota y Abastecimiento de Materias Primas</v>
      </c>
      <c r="F53" s="24" t="str">
        <f>VLOOKUP(A53,BBDD!$1:$1048653,11,0)</f>
        <v>Indefinido</v>
      </c>
      <c r="G53" s="24" t="str">
        <f>VLOOKUP(A53,BBDD!$1:$1048653,13,0)</f>
        <v>Coronel Rol Tierra</v>
      </c>
      <c r="H53" s="24" t="str">
        <f>VLOOKUP(A53,BBDD!$1:$1048653,14,0)</f>
        <v>Gerencia Corp. Negocio Seafood</v>
      </c>
      <c r="I53" s="24" t="str">
        <f>VLOOKUP(A53,BBDD!$1:$1048653,16,0)</f>
        <v>Rol General (Cargo permanente o proyección indefinido)</v>
      </c>
      <c r="J53" s="24" t="str">
        <f>VLOOKUP(A53,BBDD!$1:$1048653,17,0)</f>
        <v/>
      </c>
      <c r="K53" s="26">
        <f>VLOOKUP(A53,BBDD!$1:$1048653,12,0)</f>
        <v>42723</v>
      </c>
      <c r="L53" s="26" t="str">
        <f>VLOOKUP(A53,BBDD!$1:$1048653,3,0)</f>
        <v>Orizon S.A</v>
      </c>
      <c r="M53" s="26" t="str">
        <f>VLOOKUP(A53,BBDD!$1:$1048653,4,0)</f>
        <v>F1</v>
      </c>
      <c r="N53" s="26" t="str">
        <f>VLOOKUP(A53,BBDD!$1:$1048653,5,0)</f>
        <v>cesar.godoy@orizon.cl</v>
      </c>
      <c r="O53" s="29">
        <v>45957.0</v>
      </c>
      <c r="P53" s="28" t="s">
        <v>5594</v>
      </c>
      <c r="Q53" s="28" t="s">
        <v>5583</v>
      </c>
      <c r="R53" s="28" t="s">
        <v>5658</v>
      </c>
      <c r="S53" s="28" t="s">
        <v>5659</v>
      </c>
      <c r="T53" s="28" t="s">
        <v>5585</v>
      </c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</row>
    <row r="54" ht="14.25" customHeight="1">
      <c r="A54" s="28">
        <v>2.0116576E7</v>
      </c>
      <c r="B54" s="24" t="str">
        <f>VLOOKUP(A54,BBDD!$1:$1048653,2,0)</f>
        <v>20.116.576-8</v>
      </c>
      <c r="C54" s="25" t="str">
        <f>VLOOKUP(A54,BBDD!$1:$1048653,7,0)</f>
        <v>Ñanco Payllacan Victor Patricio</v>
      </c>
      <c r="D54" s="24" t="str">
        <f>VLOOKUP(A54,BBDD!$1:$1048653,8,0)</f>
        <v>Operador Agua Mar</v>
      </c>
      <c r="E54" s="24" t="str">
        <f>VLOOKUP(A54,BBDD!$1:$1048653,10,0)</f>
        <v>Departamento Ingeniería</v>
      </c>
      <c r="F54" s="24" t="str">
        <f>VLOOKUP(A54,BBDD!$1:$1048653,11,0)</f>
        <v>Indefinido</v>
      </c>
      <c r="G54" s="24" t="str">
        <f>VLOOKUP(A54,BBDD!$1:$1048653,13,0)</f>
        <v>Coronel Rol Tierra</v>
      </c>
      <c r="H54" s="24" t="str">
        <f>VLOOKUP(A54,BBDD!$1:$1048653,14,0)</f>
        <v>Gerencia Corp. Negocio Seafood</v>
      </c>
      <c r="I54" s="24" t="str">
        <f>VLOOKUP(A54,BBDD!$1:$1048653,16,0)</f>
        <v>Rol General (Cargo permanente o proyección indefinido)</v>
      </c>
      <c r="J54" s="24" t="str">
        <f>VLOOKUP(A54,BBDD!$1:$1048653,17,0)</f>
        <v/>
      </c>
      <c r="K54" s="26">
        <f>VLOOKUP(A54,BBDD!$1:$1048653,12,0)</f>
        <v>44743</v>
      </c>
      <c r="L54" s="26" t="str">
        <f>VLOOKUP(A54,BBDD!$1:$1048653,3,0)</f>
        <v>Orizon S.A</v>
      </c>
      <c r="M54" s="26" t="str">
        <f>VLOOKUP(A54,BBDD!$1:$1048653,4,0)</f>
        <v>F1</v>
      </c>
      <c r="N54" s="26" t="str">
        <f>VLOOKUP(A54,BBDD!$1:$1048653,5,0)</f>
        <v>victor12payllacan@gmail.com</v>
      </c>
      <c r="O54" s="29">
        <v>45957.0</v>
      </c>
      <c r="P54" s="28" t="s">
        <v>5582</v>
      </c>
      <c r="Q54" s="28" t="s">
        <v>5591</v>
      </c>
      <c r="R54" s="28"/>
      <c r="S54" s="28" t="s">
        <v>5660</v>
      </c>
      <c r="T54" s="28" t="s">
        <v>5585</v>
      </c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</row>
    <row r="55" ht="14.25" customHeight="1">
      <c r="A55" s="28">
        <v>9520956.0</v>
      </c>
      <c r="B55" s="24" t="str">
        <f>VLOOKUP(A55,BBDD!$1:$1048653,2,0)</f>
        <v>9.520.956-4</v>
      </c>
      <c r="C55" s="25" t="str">
        <f>VLOOKUP(A55,BBDD!$1:$1048653,7,0)</f>
        <v>Villagra Umara Marco Antonio</v>
      </c>
      <c r="D55" s="24" t="str">
        <f>VLOOKUP(A55,BBDD!$1:$1048653,8,0)</f>
        <v>Logistico Junior</v>
      </c>
      <c r="E55" s="24" t="str">
        <f>VLOOKUP(A55,BBDD!$1:$1048653,10,0)</f>
        <v>Gerencia Abastecimiento</v>
      </c>
      <c r="F55" s="24" t="str">
        <f>VLOOKUP(A55,BBDD!$1:$1048653,11,0)</f>
        <v>Plazo fijo</v>
      </c>
      <c r="G55" s="24" t="str">
        <f>VLOOKUP(A55,BBDD!$1:$1048653,13,0)</f>
        <v>Coronel Rol Tierra</v>
      </c>
      <c r="H55" s="24" t="str">
        <f>VLOOKUP(A55,BBDD!$1:$1048653,14,0)</f>
        <v>Gerencia Corp. Supply Chain</v>
      </c>
      <c r="I55" s="24" t="str">
        <f>VLOOKUP(A55,BBDD!$1:$1048653,16,0)</f>
        <v>Temporada (Con ocasión Temporada de Pesca)</v>
      </c>
      <c r="J55" s="24" t="str">
        <f>VLOOKUP(A55,BBDD!$1:$1048653,17,0)</f>
        <v/>
      </c>
      <c r="K55" s="26">
        <f>VLOOKUP(A55,BBDD!$1:$1048653,12,0)</f>
        <v>45922</v>
      </c>
      <c r="L55" s="26" t="str">
        <f>VLOOKUP(A55,BBDD!$1:$1048653,3,0)</f>
        <v>Orizon S.A</v>
      </c>
      <c r="M55" s="26" t="str">
        <f>VLOOKUP(A55,BBDD!$1:$1048653,4,0)</f>
        <v>F2</v>
      </c>
      <c r="N55" s="26" t="str">
        <f>VLOOKUP(A55,BBDD!$1:$1048653,5,0)</f>
        <v>m.villagra64@gmail.com</v>
      </c>
      <c r="O55" s="29">
        <v>45957.0</v>
      </c>
      <c r="P55" s="28" t="s">
        <v>5582</v>
      </c>
      <c r="Q55" s="28" t="s">
        <v>5601</v>
      </c>
      <c r="R55" s="28" t="s">
        <v>5661</v>
      </c>
      <c r="S55" s="28" t="s">
        <v>5662</v>
      </c>
      <c r="T55" s="28" t="s">
        <v>5585</v>
      </c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</row>
    <row r="56" ht="14.25" customHeight="1">
      <c r="A56" s="28">
        <v>1.7444551E7</v>
      </c>
      <c r="B56" s="24" t="str">
        <f>VLOOKUP(A56,BBDD!$1:$1048653,2,0)</f>
        <v>17.444.551-6</v>
      </c>
      <c r="C56" s="25" t="str">
        <f>VLOOKUP(A56,BBDD!$1:$1048653,7,0)</f>
        <v>Gonzalez Palma Cristian Giovanni</v>
      </c>
      <c r="D56" s="24" t="str">
        <f>VLOOKUP(A56,BBDD!$1:$1048653,8,0)</f>
        <v>Operador Grupo Generadores</v>
      </c>
      <c r="E56" s="24" t="str">
        <f>VLOOKUP(A56,BBDD!$1:$1048653,10,0)</f>
        <v>Departamento Ingeniería</v>
      </c>
      <c r="F56" s="24" t="str">
        <f>VLOOKUP(A56,BBDD!$1:$1048653,11,0)</f>
        <v>Indefinido</v>
      </c>
      <c r="G56" s="24" t="str">
        <f>VLOOKUP(A56,BBDD!$1:$1048653,13,0)</f>
        <v>Coronel Rol Tierra</v>
      </c>
      <c r="H56" s="24" t="str">
        <f>VLOOKUP(A56,BBDD!$1:$1048653,14,0)</f>
        <v>Gerencia Corp. Negocio Seafood</v>
      </c>
      <c r="I56" s="24" t="str">
        <f>VLOOKUP(A56,BBDD!$1:$1048653,16,0)</f>
        <v>Rol General (Cargo permanente o proyección indefinido)</v>
      </c>
      <c r="J56" s="24" t="str">
        <f>VLOOKUP(A56,BBDD!$1:$1048653,17,0)</f>
        <v/>
      </c>
      <c r="K56" s="26">
        <f>VLOOKUP(A56,BBDD!$1:$1048653,12,0)</f>
        <v>45689</v>
      </c>
      <c r="L56" s="26" t="str">
        <f>VLOOKUP(A56,BBDD!$1:$1048653,3,0)</f>
        <v>Orizon S.A</v>
      </c>
      <c r="M56" s="26" t="str">
        <f>VLOOKUP(A56,BBDD!$1:$1048653,4,0)</f>
        <v>F1</v>
      </c>
      <c r="N56" s="26" t="str">
        <f>VLOOKUP(A56,BBDD!$1:$1048653,5,0)</f>
        <v>cg.gonzalez8912@gmail.com</v>
      </c>
      <c r="O56" s="29">
        <v>45957.0</v>
      </c>
      <c r="P56" s="28" t="s">
        <v>5582</v>
      </c>
      <c r="Q56" s="28" t="s">
        <v>5591</v>
      </c>
      <c r="R56" s="23"/>
      <c r="S56" s="28" t="s">
        <v>5663</v>
      </c>
      <c r="T56" s="28" t="s">
        <v>5616</v>
      </c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</row>
    <row r="57" ht="14.25" customHeight="1">
      <c r="A57" s="28">
        <v>1.0186425E7</v>
      </c>
      <c r="B57" s="24" t="str">
        <f>VLOOKUP(A57,BBDD!$1:$1048653,2,0)</f>
        <v>10.186.425-1</v>
      </c>
      <c r="C57" s="25" t="str">
        <f>VLOOKUP(A57,BBDD!$1:$1048653,7,0)</f>
        <v>Elmes Leal Oscar Alejandro</v>
      </c>
      <c r="D57" s="24" t="str">
        <f>VLOOKUP(A57,BBDD!$1:$1048653,8,0)</f>
        <v>Motorista</v>
      </c>
      <c r="E57" s="24" t="str">
        <f>VLOOKUP(A57,BBDD!$1:$1048653,10,0)</f>
        <v>Gerencia de Flota y Abastecimiento de Materias Primas</v>
      </c>
      <c r="F57" s="24" t="str">
        <f>VLOOKUP(A57,BBDD!$1:$1048653,11,0)</f>
        <v>Indefinido</v>
      </c>
      <c r="G57" s="24" t="str">
        <f>VLOOKUP(A57,BBDD!$1:$1048653,13,0)</f>
        <v>Coronel Rol Flota</v>
      </c>
      <c r="H57" s="24" t="str">
        <f>VLOOKUP(A57,BBDD!$1:$1048653,14,0)</f>
        <v>Gerencia Corp. Negocio Seafood</v>
      </c>
      <c r="I57" s="24" t="str">
        <f>VLOOKUP(A57,BBDD!$1:$1048653,16,0)</f>
        <v>Rol General (Cargo permanente o proyección indefinido)</v>
      </c>
      <c r="J57" s="24" t="str">
        <f>VLOOKUP(A57,BBDD!$1:$1048653,17,0)</f>
        <v/>
      </c>
      <c r="K57" s="26">
        <f>VLOOKUP(A57,BBDD!$1:$1048653,12,0)</f>
        <v>40513</v>
      </c>
      <c r="L57" s="26" t="str">
        <f>VLOOKUP(A57,BBDD!$1:$1048653,3,0)</f>
        <v>Orizon S.A</v>
      </c>
      <c r="M57" s="26" t="str">
        <f>VLOOKUP(A57,BBDD!$1:$1048653,4,0)</f>
        <v>F1</v>
      </c>
      <c r="N57" s="26" t="str">
        <f>VLOOKUP(A57,BBDD!$1:$1048653,5,0)</f>
        <v>oscar_elmes_leal@hotmail.com</v>
      </c>
      <c r="O57" s="29">
        <v>45957.0</v>
      </c>
      <c r="P57" s="28" t="s">
        <v>5582</v>
      </c>
      <c r="Q57" s="28" t="s">
        <v>5589</v>
      </c>
      <c r="R57" s="28" t="s">
        <v>5664</v>
      </c>
      <c r="S57" s="23"/>
      <c r="T57" s="28" t="s">
        <v>5585</v>
      </c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</row>
    <row r="58" ht="14.25" customHeight="1">
      <c r="A58" s="28">
        <v>1.5955471E7</v>
      </c>
      <c r="B58" s="28" t="s">
        <v>5399</v>
      </c>
      <c r="C58" s="31" t="s">
        <v>5399</v>
      </c>
      <c r="D58" s="28" t="s">
        <v>5399</v>
      </c>
      <c r="E58" s="24" t="str">
        <f>VLOOKUP(A58,BBDD!$1:$1048653,10,0)</f>
        <v>#N/A</v>
      </c>
      <c r="F58" s="24" t="str">
        <f>VLOOKUP(A58,BBDD!$1:$1048653,11,0)</f>
        <v>#N/A</v>
      </c>
      <c r="G58" s="24" t="str">
        <f>VLOOKUP(A58,BBDD!$1:$1048653,13,0)</f>
        <v>#N/A</v>
      </c>
      <c r="H58" s="24" t="str">
        <f>VLOOKUP(A58,BBDD!$1:$1048653,14,0)</f>
        <v>#N/A</v>
      </c>
      <c r="I58" s="24" t="str">
        <f>VLOOKUP(A58,BBDD!$1:$1048653,16,0)</f>
        <v>#N/A</v>
      </c>
      <c r="J58" s="24" t="str">
        <f>VLOOKUP(A58,BBDD!$1:$1048653,17,0)</f>
        <v>#N/A</v>
      </c>
      <c r="K58" s="26" t="str">
        <f>VLOOKUP(A58,BBDD!$1:$1048653,12,0)</f>
        <v>#N/A</v>
      </c>
      <c r="L58" s="26" t="str">
        <f>VLOOKUP(A58,BBDD!$1:$1048653,3,0)</f>
        <v>#N/A</v>
      </c>
      <c r="M58" s="26" t="str">
        <f>VLOOKUP(A58,BBDD!$1:$1048653,4,0)</f>
        <v>#N/A</v>
      </c>
      <c r="N58" s="28" t="s">
        <v>5399</v>
      </c>
      <c r="O58" s="29">
        <v>45957.0</v>
      </c>
      <c r="P58" s="28" t="s">
        <v>5582</v>
      </c>
      <c r="Q58" s="28" t="s">
        <v>5598</v>
      </c>
      <c r="R58" s="28" t="s">
        <v>5665</v>
      </c>
      <c r="S58" s="28" t="s">
        <v>5666</v>
      </c>
      <c r="T58" s="28" t="s">
        <v>5585</v>
      </c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</row>
    <row r="59" ht="14.25" customHeight="1">
      <c r="A59" s="28">
        <v>1.5153174E7</v>
      </c>
      <c r="B59" s="24" t="str">
        <f>VLOOKUP(A59,BBDD!$1:$1048653,2,0)</f>
        <v>15.153.174-1</v>
      </c>
      <c r="C59" s="25" t="str">
        <f>VLOOKUP(A59,BBDD!$1:$1048653,7,0)</f>
        <v>Duran Barria Cristian Ariel</v>
      </c>
      <c r="D59" s="24" t="str">
        <f>VLOOKUP(A59,BBDD!$1:$1048653,8,0)</f>
        <v>Ito Mecanico Piping</v>
      </c>
      <c r="E59" s="24" t="str">
        <f>VLOOKUP(A59,BBDD!$1:$1048653,10,0)</f>
        <v>Departamento Ingeniería</v>
      </c>
      <c r="F59" s="24" t="str">
        <f>VLOOKUP(A59,BBDD!$1:$1048653,11,0)</f>
        <v>Obra</v>
      </c>
      <c r="G59" s="24" t="str">
        <f>VLOOKUP(A59,BBDD!$1:$1048653,13,0)</f>
        <v>Coronel Rol Tierra</v>
      </c>
      <c r="H59" s="24" t="str">
        <f>VLOOKUP(A59,BBDD!$1:$1048653,14,0)</f>
        <v>Gerencia Corp. Negocio Seafood</v>
      </c>
      <c r="I59" s="24" t="str">
        <f>VLOOKUP(A59,BBDD!$1:$1048653,16,0)</f>
        <v>Eventual (Reemplazo LM - Proyecto - Faena 4E Conservas)</v>
      </c>
      <c r="J59" s="24" t="str">
        <f>VLOOKUP(A59,BBDD!$1:$1048653,17,0)</f>
        <v/>
      </c>
      <c r="K59" s="26">
        <f>VLOOKUP(A59,BBDD!$1:$1048653,12,0)</f>
        <v>45870</v>
      </c>
      <c r="L59" s="26" t="str">
        <f>VLOOKUP(A59,BBDD!$1:$1048653,3,0)</f>
        <v>Orizon S.A</v>
      </c>
      <c r="M59" s="26" t="str">
        <f>VLOOKUP(A59,BBDD!$1:$1048653,4,0)</f>
        <v>F1</v>
      </c>
      <c r="N59" s="26" t="str">
        <f>VLOOKUP(A59,BBDD!$1:$1048653,5,0)</f>
        <v>cristian.duran.barria@gmail.com</v>
      </c>
      <c r="O59" s="29">
        <v>45957.0</v>
      </c>
      <c r="P59" s="28" t="s">
        <v>5582</v>
      </c>
      <c r="Q59" s="28" t="s">
        <v>5586</v>
      </c>
      <c r="R59" s="28" t="s">
        <v>5667</v>
      </c>
      <c r="S59" s="28" t="s">
        <v>5613</v>
      </c>
      <c r="T59" s="28" t="s">
        <v>5585</v>
      </c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</row>
    <row r="60" ht="14.25" customHeight="1">
      <c r="A60" s="28">
        <v>1.7862768E7</v>
      </c>
      <c r="B60" s="24" t="str">
        <f>VLOOKUP(A60,BBDD!$1:$1048653,2,0)</f>
        <v>17.862.768-6</v>
      </c>
      <c r="C60" s="25" t="str">
        <f>VLOOKUP(A60,BBDD!$1:$1048653,7,0)</f>
        <v>Ojeda Chávez Ingrid Leticia</v>
      </c>
      <c r="D60" s="24" t="str">
        <f>VLOOKUP(A60,BBDD!$1:$1048653,8,0)</f>
        <v>Operario Apoyo Elaboracion</v>
      </c>
      <c r="E60" s="24" t="str">
        <f>VLOOKUP(A60,BBDD!$1:$1048653,10,0)</f>
        <v>Gerencia Producción Pesca</v>
      </c>
      <c r="F60" s="24" t="str">
        <f>VLOOKUP(A60,BBDD!$1:$1048653,11,0)</f>
        <v>Obra</v>
      </c>
      <c r="G60" s="24" t="str">
        <f>VLOOKUP(A60,BBDD!$1:$1048653,13,0)</f>
        <v>Coronel Rol Eventual</v>
      </c>
      <c r="H60" s="24" t="str">
        <f>VLOOKUP(A60,BBDD!$1:$1048653,14,0)</f>
        <v>Gerencia Corp. Negocio Seafood</v>
      </c>
      <c r="I60" s="24" t="str">
        <f>VLOOKUP(A60,BBDD!$1:$1048653,16,0)</f>
        <v>Temporada (Con ocasión Temporada de Pesca)</v>
      </c>
      <c r="J60" s="24" t="str">
        <f>VLOOKUP(A60,BBDD!$1:$1048653,17,0)</f>
        <v/>
      </c>
      <c r="K60" s="26">
        <f>VLOOKUP(A60,BBDD!$1:$1048653,12,0)</f>
        <v>45600</v>
      </c>
      <c r="L60" s="26" t="str">
        <f>VLOOKUP(A60,BBDD!$1:$1048653,3,0)</f>
        <v>Orizon S.A</v>
      </c>
      <c r="M60" s="26" t="str">
        <f>VLOOKUP(A60,BBDD!$1:$1048653,4,0)</f>
        <v>F3</v>
      </c>
      <c r="N60" s="26" t="str">
        <f>VLOOKUP(A60,BBDD!$1:$1048653,5,0)</f>
        <v>INGRIDOJEDACH@LIVE.CL</v>
      </c>
      <c r="O60" s="29">
        <v>45957.0</v>
      </c>
      <c r="P60" s="28" t="s">
        <v>5575</v>
      </c>
      <c r="Q60" s="28" t="s">
        <v>5591</v>
      </c>
      <c r="R60" s="28" t="s">
        <v>5668</v>
      </c>
      <c r="S60" s="28" t="s">
        <v>5669</v>
      </c>
      <c r="T60" s="28" t="s">
        <v>5585</v>
      </c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</row>
    <row r="61" ht="14.25" customHeight="1">
      <c r="A61" s="28">
        <v>1.1153045E7</v>
      </c>
      <c r="B61" s="24" t="str">
        <f>VLOOKUP(A61,BBDD!$1:$1048653,2,0)</f>
        <v>11.153.045-9</v>
      </c>
      <c r="C61" s="25" t="str">
        <f>VLOOKUP(A61,BBDD!$1:$1048653,7,0)</f>
        <v>Espina Rios Aida Aureliana</v>
      </c>
      <c r="D61" s="24" t="str">
        <f>VLOOKUP(A61,BBDD!$1:$1048653,8,0)</f>
        <v>Operador Elaboracion</v>
      </c>
      <c r="E61" s="24" t="str">
        <f>VLOOKUP(A61,BBDD!$1:$1048653,10,0)</f>
        <v>Gerencia Producción Pesca</v>
      </c>
      <c r="F61" s="24" t="str">
        <f>VLOOKUP(A61,BBDD!$1:$1048653,11,0)</f>
        <v>Indefinido</v>
      </c>
      <c r="G61" s="24" t="str">
        <f>VLOOKUP(A61,BBDD!$1:$1048653,13,0)</f>
        <v>Coronel Rol Tierra</v>
      </c>
      <c r="H61" s="24" t="str">
        <f>VLOOKUP(A61,BBDD!$1:$1048653,14,0)</f>
        <v>Gerencia Corp. Negocio Seafood</v>
      </c>
      <c r="I61" s="24" t="str">
        <f>VLOOKUP(A61,BBDD!$1:$1048653,16,0)</f>
        <v>Rol General (Cargo permanente o proyección indefinido)</v>
      </c>
      <c r="J61" s="24" t="str">
        <f>VLOOKUP(A61,BBDD!$1:$1048653,17,0)</f>
        <v/>
      </c>
      <c r="K61" s="26">
        <f>VLOOKUP(A61,BBDD!$1:$1048653,12,0)</f>
        <v>42676</v>
      </c>
      <c r="L61" s="26" t="str">
        <f>VLOOKUP(A61,BBDD!$1:$1048653,3,0)</f>
        <v>Orizon S.A</v>
      </c>
      <c r="M61" s="26" t="str">
        <f>VLOOKUP(A61,BBDD!$1:$1048653,4,0)</f>
        <v>F1</v>
      </c>
      <c r="N61" s="26" t="str">
        <f>VLOOKUP(A61,BBDD!$1:$1048653,5,0)</f>
        <v>espinariosaida@gmail.com</v>
      </c>
      <c r="O61" s="29">
        <v>45957.0</v>
      </c>
      <c r="P61" s="28" t="s">
        <v>5582</v>
      </c>
      <c r="Q61" s="28" t="s">
        <v>5586</v>
      </c>
      <c r="R61" s="28" t="s">
        <v>5670</v>
      </c>
      <c r="S61" s="23"/>
      <c r="T61" s="28" t="s">
        <v>5585</v>
      </c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</row>
    <row r="62" ht="14.25" customHeight="1">
      <c r="A62" s="28">
        <v>1.862641E7</v>
      </c>
      <c r="B62" s="24" t="str">
        <f>VLOOKUP(A62,BBDD!$1:$1048653,2,0)</f>
        <v>18.626.410-k</v>
      </c>
      <c r="C62" s="25" t="str">
        <f>VLOOKUP(A62,BBDD!$1:$1048653,7,0)</f>
        <v>Albornoz Sepulveda Elizabeth Andrea</v>
      </c>
      <c r="D62" s="24" t="str">
        <f>VLOOKUP(A62,BBDD!$1:$1048653,8,0)</f>
        <v>Operario Apoyo Elaboracion</v>
      </c>
      <c r="E62" s="24" t="str">
        <f>VLOOKUP(A62,BBDD!$1:$1048653,10,0)</f>
        <v>Gerencia Producción Pesca</v>
      </c>
      <c r="F62" s="24" t="str">
        <f>VLOOKUP(A62,BBDD!$1:$1048653,11,0)</f>
        <v>Obra</v>
      </c>
      <c r="G62" s="24" t="str">
        <f>VLOOKUP(A62,BBDD!$1:$1048653,13,0)</f>
        <v>Coronel Rol Eventual</v>
      </c>
      <c r="H62" s="24" t="str">
        <f>VLOOKUP(A62,BBDD!$1:$1048653,14,0)</f>
        <v>Gerencia Corp. Negocio Seafood</v>
      </c>
      <c r="I62" s="24" t="str">
        <f>VLOOKUP(A62,BBDD!$1:$1048653,16,0)</f>
        <v>Temporada (Con ocasión Temporada de Pesca)</v>
      </c>
      <c r="J62" s="24" t="str">
        <f>VLOOKUP(A62,BBDD!$1:$1048653,17,0)</f>
        <v/>
      </c>
      <c r="K62" s="26">
        <f>VLOOKUP(A62,BBDD!$1:$1048653,12,0)</f>
        <v>45621</v>
      </c>
      <c r="L62" s="26" t="str">
        <f>VLOOKUP(A62,BBDD!$1:$1048653,3,0)</f>
        <v>Orizon S.A</v>
      </c>
      <c r="M62" s="26" t="str">
        <f>VLOOKUP(A62,BBDD!$1:$1048653,4,0)</f>
        <v>F3</v>
      </c>
      <c r="N62" s="26" t="str">
        <f>VLOOKUP(A62,BBDD!$1:$1048653,5,0)</f>
        <v>ALBORNOZELIZABETH24@GMAIL.COM</v>
      </c>
      <c r="O62" s="29">
        <v>45957.0</v>
      </c>
      <c r="P62" s="28" t="s">
        <v>1323</v>
      </c>
      <c r="Q62" s="28" t="s">
        <v>5586</v>
      </c>
      <c r="R62" s="28" t="s">
        <v>5671</v>
      </c>
      <c r="S62" s="23"/>
      <c r="T62" s="28" t="s">
        <v>5585</v>
      </c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</row>
    <row r="63" ht="14.25" customHeight="1">
      <c r="A63" s="28">
        <v>1.0</v>
      </c>
      <c r="B63" s="24" t="str">
        <f>VLOOKUP(A63,BBDD!$1:$1048653,2,0)</f>
        <v>Usuario Externo</v>
      </c>
      <c r="C63" s="25" t="str">
        <f>VLOOKUP(A63,BBDD!$1:$1048653,7,0)</f>
        <v>Usuario Externo</v>
      </c>
      <c r="D63" s="24" t="str">
        <f>VLOOKUP(A63,BBDD!$1:$1048653,8,0)</f>
        <v>Usuario Externo</v>
      </c>
      <c r="E63" s="24" t="str">
        <f>VLOOKUP(A63,BBDD!$1:$1048653,10,0)</f>
        <v>Usuario Externo</v>
      </c>
      <c r="F63" s="24" t="str">
        <f>VLOOKUP(A63,BBDD!$1:$1048653,11,0)</f>
        <v>Usuario Externo</v>
      </c>
      <c r="G63" s="24" t="str">
        <f>VLOOKUP(A63,BBDD!$1:$1048653,13,0)</f>
        <v>Usuario Externo</v>
      </c>
      <c r="H63" s="24" t="str">
        <f>VLOOKUP(A63,BBDD!$1:$1048653,14,0)</f>
        <v>Usuario Externo</v>
      </c>
      <c r="I63" s="24" t="str">
        <f>VLOOKUP(A63,BBDD!$1:$1048653,16,0)</f>
        <v>Usuario Externo</v>
      </c>
      <c r="J63" s="24" t="str">
        <f>VLOOKUP(A63,BBDD!$1:$1048653,17,0)</f>
        <v/>
      </c>
      <c r="K63" s="26" t="str">
        <f>VLOOKUP(A63,BBDD!$1:$1048653,12,0)</f>
        <v>Usuario Externo</v>
      </c>
      <c r="L63" s="26" t="str">
        <f>VLOOKUP(A63,BBDD!$1:$1048653,3,0)</f>
        <v>Usuario Externo</v>
      </c>
      <c r="M63" s="26" t="str">
        <f>VLOOKUP(A63,BBDD!$1:$1048653,4,0)</f>
        <v>Usuario Externo</v>
      </c>
      <c r="N63" s="26" t="str">
        <f>VLOOKUP(A63,BBDD!$1:$1048653,5,0)</f>
        <v>Usuario Externo</v>
      </c>
      <c r="O63" s="29">
        <v>45957.0</v>
      </c>
      <c r="P63" s="28" t="s">
        <v>5594</v>
      </c>
      <c r="Q63" s="28" t="s">
        <v>5598</v>
      </c>
      <c r="R63" s="28" t="s">
        <v>5672</v>
      </c>
      <c r="S63" s="23"/>
      <c r="T63" s="28" t="s">
        <v>5585</v>
      </c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</row>
    <row r="64" ht="14.25" customHeight="1">
      <c r="A64" s="28">
        <v>1.0</v>
      </c>
      <c r="B64" s="24" t="str">
        <f>VLOOKUP(A64,BBDD!$1:$1048653,2,0)</f>
        <v>Usuario Externo</v>
      </c>
      <c r="C64" s="25" t="str">
        <f>VLOOKUP(A64,BBDD!$1:$1048653,7,0)</f>
        <v>Usuario Externo</v>
      </c>
      <c r="D64" s="24" t="str">
        <f>VLOOKUP(A64,BBDD!$1:$1048653,8,0)</f>
        <v>Usuario Externo</v>
      </c>
      <c r="E64" s="24" t="str">
        <f>VLOOKUP(A64,BBDD!$1:$1048653,10,0)</f>
        <v>Usuario Externo</v>
      </c>
      <c r="F64" s="24" t="str">
        <f>VLOOKUP(A64,BBDD!$1:$1048653,11,0)</f>
        <v>Usuario Externo</v>
      </c>
      <c r="G64" s="24" t="str">
        <f>VLOOKUP(A64,BBDD!$1:$1048653,13,0)</f>
        <v>Usuario Externo</v>
      </c>
      <c r="H64" s="24" t="str">
        <f>VLOOKUP(A64,BBDD!$1:$1048653,14,0)</f>
        <v>Usuario Externo</v>
      </c>
      <c r="I64" s="24" t="str">
        <f>VLOOKUP(A64,BBDD!$1:$1048653,16,0)</f>
        <v>Usuario Externo</v>
      </c>
      <c r="J64" s="24" t="str">
        <f>VLOOKUP(A64,BBDD!$1:$1048653,17,0)</f>
        <v/>
      </c>
      <c r="K64" s="26" t="str">
        <f>VLOOKUP(A64,BBDD!$1:$1048653,12,0)</f>
        <v>Usuario Externo</v>
      </c>
      <c r="L64" s="26" t="str">
        <f>VLOOKUP(A64,BBDD!$1:$1048653,3,0)</f>
        <v>Usuario Externo</v>
      </c>
      <c r="M64" s="26" t="str">
        <f>VLOOKUP(A64,BBDD!$1:$1048653,4,0)</f>
        <v>Usuario Externo</v>
      </c>
      <c r="N64" s="26" t="str">
        <f>VLOOKUP(A64,BBDD!$1:$1048653,5,0)</f>
        <v>Usuario Externo</v>
      </c>
      <c r="O64" s="29">
        <v>45957.0</v>
      </c>
      <c r="P64" s="28" t="s">
        <v>5582</v>
      </c>
      <c r="Q64" s="28" t="s">
        <v>5598</v>
      </c>
      <c r="R64" s="28" t="s">
        <v>5673</v>
      </c>
      <c r="S64" s="23"/>
      <c r="T64" s="28" t="s">
        <v>5585</v>
      </c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</row>
    <row r="65" ht="14.25" customHeight="1">
      <c r="A65" s="28">
        <v>1.0</v>
      </c>
      <c r="B65" s="24" t="str">
        <f>VLOOKUP(A65,BBDD!$1:$1048653,2,0)</f>
        <v>Usuario Externo</v>
      </c>
      <c r="C65" s="25" t="str">
        <f>VLOOKUP(A65,BBDD!$1:$1048653,7,0)</f>
        <v>Usuario Externo</v>
      </c>
      <c r="D65" s="24" t="str">
        <f>VLOOKUP(A65,BBDD!$1:$1048653,8,0)</f>
        <v>Usuario Externo</v>
      </c>
      <c r="E65" s="24" t="str">
        <f>VLOOKUP(A65,BBDD!$1:$1048653,10,0)</f>
        <v>Usuario Externo</v>
      </c>
      <c r="F65" s="24" t="str">
        <f>VLOOKUP(A65,BBDD!$1:$1048653,11,0)</f>
        <v>Usuario Externo</v>
      </c>
      <c r="G65" s="24" t="str">
        <f>VLOOKUP(A65,BBDD!$1:$1048653,13,0)</f>
        <v>Usuario Externo</v>
      </c>
      <c r="H65" s="24" t="str">
        <f>VLOOKUP(A65,BBDD!$1:$1048653,14,0)</f>
        <v>Usuario Externo</v>
      </c>
      <c r="I65" s="24" t="str">
        <f>VLOOKUP(A65,BBDD!$1:$1048653,16,0)</f>
        <v>Usuario Externo</v>
      </c>
      <c r="J65" s="24" t="str">
        <f>VLOOKUP(A65,BBDD!$1:$1048653,17,0)</f>
        <v/>
      </c>
      <c r="K65" s="26" t="str">
        <f>VLOOKUP(A65,BBDD!$1:$1048653,12,0)</f>
        <v>Usuario Externo</v>
      </c>
      <c r="L65" s="26" t="str">
        <f>VLOOKUP(A65,BBDD!$1:$1048653,3,0)</f>
        <v>Usuario Externo</v>
      </c>
      <c r="M65" s="26" t="str">
        <f>VLOOKUP(A65,BBDD!$1:$1048653,4,0)</f>
        <v>Usuario Externo</v>
      </c>
      <c r="N65" s="26" t="str">
        <f>VLOOKUP(A65,BBDD!$1:$1048653,5,0)</f>
        <v>Usuario Externo</v>
      </c>
      <c r="O65" s="29">
        <v>45957.0</v>
      </c>
      <c r="P65" s="28" t="s">
        <v>5582</v>
      </c>
      <c r="Q65" s="28" t="s">
        <v>5598</v>
      </c>
      <c r="R65" s="28" t="s">
        <v>5672</v>
      </c>
      <c r="S65" s="23"/>
      <c r="T65" s="28" t="s">
        <v>5585</v>
      </c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</row>
    <row r="66" ht="14.25" customHeight="1">
      <c r="A66" s="28">
        <v>1.0</v>
      </c>
      <c r="B66" s="24" t="str">
        <f>VLOOKUP(A66,BBDD!$1:$1048653,2,0)</f>
        <v>Usuario Externo</v>
      </c>
      <c r="C66" s="25" t="str">
        <f>VLOOKUP(A66,BBDD!$1:$1048653,7,0)</f>
        <v>Usuario Externo</v>
      </c>
      <c r="D66" s="24" t="str">
        <f>VLOOKUP(A66,BBDD!$1:$1048653,8,0)</f>
        <v>Usuario Externo</v>
      </c>
      <c r="E66" s="24" t="str">
        <f>VLOOKUP(A66,BBDD!$1:$1048653,10,0)</f>
        <v>Usuario Externo</v>
      </c>
      <c r="F66" s="24" t="str">
        <f>VLOOKUP(A66,BBDD!$1:$1048653,11,0)</f>
        <v>Usuario Externo</v>
      </c>
      <c r="G66" s="24" t="str">
        <f>VLOOKUP(A66,BBDD!$1:$1048653,13,0)</f>
        <v>Usuario Externo</v>
      </c>
      <c r="H66" s="24" t="str">
        <f>VLOOKUP(A66,BBDD!$1:$1048653,14,0)</f>
        <v>Usuario Externo</v>
      </c>
      <c r="I66" s="24" t="str">
        <f>VLOOKUP(A66,BBDD!$1:$1048653,16,0)</f>
        <v>Usuario Externo</v>
      </c>
      <c r="J66" s="24" t="str">
        <f>VLOOKUP(A66,BBDD!$1:$1048653,17,0)</f>
        <v/>
      </c>
      <c r="K66" s="26" t="str">
        <f>VLOOKUP(A66,BBDD!$1:$1048653,12,0)</f>
        <v>Usuario Externo</v>
      </c>
      <c r="L66" s="26" t="str">
        <f>VLOOKUP(A66,BBDD!$1:$1048653,3,0)</f>
        <v>Usuario Externo</v>
      </c>
      <c r="M66" s="26" t="str">
        <f>VLOOKUP(A66,BBDD!$1:$1048653,4,0)</f>
        <v>Usuario Externo</v>
      </c>
      <c r="N66" s="26" t="str">
        <f>VLOOKUP(A66,BBDD!$1:$1048653,5,0)</f>
        <v>Usuario Externo</v>
      </c>
      <c r="O66" s="29">
        <v>45957.0</v>
      </c>
      <c r="P66" s="28" t="s">
        <v>5582</v>
      </c>
      <c r="Q66" s="28" t="s">
        <v>5598</v>
      </c>
      <c r="R66" s="28" t="s">
        <v>5672</v>
      </c>
      <c r="S66" s="23"/>
      <c r="T66" s="28" t="s">
        <v>5585</v>
      </c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</row>
    <row r="67" ht="14.25" customHeight="1">
      <c r="A67" s="28">
        <v>1.0957792E7</v>
      </c>
      <c r="B67" s="24" t="str">
        <f>VLOOKUP(A67,BBDD!$1:$1048653,2,0)</f>
        <v>10.957.792-8</v>
      </c>
      <c r="C67" s="25" t="str">
        <f>VLOOKUP(A67,BBDD!$1:$1048653,7,0)</f>
        <v>Hidalgo Saez Jose Luis</v>
      </c>
      <c r="D67" s="24" t="str">
        <f>VLOOKUP(A67,BBDD!$1:$1048653,8,0)</f>
        <v>Tripulante</v>
      </c>
      <c r="E67" s="24" t="str">
        <f>VLOOKUP(A67,BBDD!$1:$1048653,10,0)</f>
        <v>Gerencia de Flota y Abastecimiento de Materias Primas</v>
      </c>
      <c r="F67" s="24" t="str">
        <f>VLOOKUP(A67,BBDD!$1:$1048653,11,0)</f>
        <v>Indefinido</v>
      </c>
      <c r="G67" s="24" t="str">
        <f>VLOOKUP(A67,BBDD!$1:$1048653,13,0)</f>
        <v>Coronel Rol Flota</v>
      </c>
      <c r="H67" s="24" t="str">
        <f>VLOOKUP(A67,BBDD!$1:$1048653,14,0)</f>
        <v>Gerencia Corp. Negocio Seafood</v>
      </c>
      <c r="I67" s="24" t="str">
        <f>VLOOKUP(A67,BBDD!$1:$1048653,16,0)</f>
        <v>Rol General (Cargo permanente o proyección indefinido)</v>
      </c>
      <c r="J67" s="24" t="str">
        <f>VLOOKUP(A67,BBDD!$1:$1048653,17,0)</f>
        <v/>
      </c>
      <c r="K67" s="26">
        <f>VLOOKUP(A67,BBDD!$1:$1048653,12,0)</f>
        <v>45612</v>
      </c>
      <c r="L67" s="26" t="str">
        <f>VLOOKUP(A67,BBDD!$1:$1048653,3,0)</f>
        <v>Orizon S.A</v>
      </c>
      <c r="M67" s="26" t="str">
        <f>VLOOKUP(A67,BBDD!$1:$1048653,4,0)</f>
        <v>F2</v>
      </c>
      <c r="N67" s="26" t="str">
        <f>VLOOKUP(A67,BBDD!$1:$1048653,5,0)</f>
        <v>cvillarroelamelia@gmail.com</v>
      </c>
      <c r="O67" s="29">
        <v>45957.0</v>
      </c>
      <c r="P67" s="28" t="s">
        <v>5582</v>
      </c>
      <c r="Q67" s="28" t="s">
        <v>5589</v>
      </c>
      <c r="R67" s="28" t="s">
        <v>5674</v>
      </c>
      <c r="S67" s="23"/>
      <c r="T67" s="28" t="s">
        <v>5585</v>
      </c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</row>
    <row r="68" ht="14.25" customHeight="1">
      <c r="A68" s="28">
        <v>1.0957792E7</v>
      </c>
      <c r="B68" s="24" t="str">
        <f>VLOOKUP(A68,BBDD!$1:$1048653,2,0)</f>
        <v>10.957.792-8</v>
      </c>
      <c r="C68" s="25" t="str">
        <f>VLOOKUP(A68,BBDD!$1:$1048653,7,0)</f>
        <v>Hidalgo Saez Jose Luis</v>
      </c>
      <c r="D68" s="24" t="str">
        <f>VLOOKUP(A68,BBDD!$1:$1048653,8,0)</f>
        <v>Tripulante</v>
      </c>
      <c r="E68" s="24" t="str">
        <f>VLOOKUP(A68,BBDD!$1:$1048653,10,0)</f>
        <v>Gerencia de Flota y Abastecimiento de Materias Primas</v>
      </c>
      <c r="F68" s="24" t="str">
        <f>VLOOKUP(A68,BBDD!$1:$1048653,11,0)</f>
        <v>Indefinido</v>
      </c>
      <c r="G68" s="24" t="str">
        <f>VLOOKUP(A68,BBDD!$1:$1048653,13,0)</f>
        <v>Coronel Rol Flota</v>
      </c>
      <c r="H68" s="24" t="str">
        <f>VLOOKUP(A68,BBDD!$1:$1048653,14,0)</f>
        <v>Gerencia Corp. Negocio Seafood</v>
      </c>
      <c r="I68" s="24" t="str">
        <f>VLOOKUP(A68,BBDD!$1:$1048653,16,0)</f>
        <v>Rol General (Cargo permanente o proyección indefinido)</v>
      </c>
      <c r="J68" s="24" t="str">
        <f>VLOOKUP(A68,BBDD!$1:$1048653,17,0)</f>
        <v/>
      </c>
      <c r="K68" s="26">
        <f>VLOOKUP(A68,BBDD!$1:$1048653,12,0)</f>
        <v>45612</v>
      </c>
      <c r="L68" s="26" t="str">
        <f>VLOOKUP(A68,BBDD!$1:$1048653,3,0)</f>
        <v>Orizon S.A</v>
      </c>
      <c r="M68" s="26" t="str">
        <f>VLOOKUP(A68,BBDD!$1:$1048653,4,0)</f>
        <v>F2</v>
      </c>
      <c r="N68" s="26" t="str">
        <f>VLOOKUP(A68,BBDD!$1:$1048653,5,0)</f>
        <v>cvillarroelamelia@gmail.com</v>
      </c>
      <c r="O68" s="29">
        <v>45957.0</v>
      </c>
      <c r="P68" s="28" t="s">
        <v>5582</v>
      </c>
      <c r="Q68" s="28" t="s">
        <v>5589</v>
      </c>
      <c r="R68" s="28" t="s">
        <v>5675</v>
      </c>
      <c r="S68" s="23"/>
      <c r="T68" s="28" t="s">
        <v>5585</v>
      </c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</row>
    <row r="69" ht="14.25" customHeight="1">
      <c r="A69" s="28">
        <v>1.8413121E7</v>
      </c>
      <c r="B69" s="24" t="str">
        <f>VLOOKUP(A69,BBDD!$1:$1048653,2,0)</f>
        <v>18.413.121-8</v>
      </c>
      <c r="C69" s="25" t="str">
        <f>VLOOKUP(A69,BBDD!$1:$1048653,7,0)</f>
        <v>Letelier Letelier Teresa Andrea</v>
      </c>
      <c r="D69" s="24" t="str">
        <f>VLOOKUP(A69,BBDD!$1:$1048653,8,0)</f>
        <v>Comprador(A) Servicios</v>
      </c>
      <c r="E69" s="24" t="str">
        <f>VLOOKUP(A69,BBDD!$1:$1048653,10,0)</f>
        <v>Gerencia Abastecimiento</v>
      </c>
      <c r="F69" s="24" t="str">
        <f>VLOOKUP(A69,BBDD!$1:$1048653,11,0)</f>
        <v>Indefinido</v>
      </c>
      <c r="G69" s="24" t="str">
        <f>VLOOKUP(A69,BBDD!$1:$1048653,13,0)</f>
        <v>Nutrisco SA</v>
      </c>
      <c r="H69" s="24" t="str">
        <f>VLOOKUP(A69,BBDD!$1:$1048653,14,0)</f>
        <v>Gerencia Corp. Supply Chain</v>
      </c>
      <c r="I69" s="24" t="str">
        <f>VLOOKUP(A69,BBDD!$1:$1048653,16,0)</f>
        <v>Rol General (Cargo permanente o proyección indefinido)</v>
      </c>
      <c r="J69" s="24" t="str">
        <f>VLOOKUP(A69,BBDD!$1:$1048653,17,0)</f>
        <v/>
      </c>
      <c r="K69" s="26">
        <f>VLOOKUP(A69,BBDD!$1:$1048653,12,0)</f>
        <v>45726</v>
      </c>
      <c r="L69" s="26" t="str">
        <f>VLOOKUP(A69,BBDD!$1:$1048653,3,0)</f>
        <v>Nutrisco S.A.</v>
      </c>
      <c r="M69" s="26" t="str">
        <f>VLOOKUP(A69,BBDD!$1:$1048653,4,0)</f>
        <v>F1</v>
      </c>
      <c r="N69" s="26" t="str">
        <f>VLOOKUP(A69,BBDD!$1:$1048653,5,0)</f>
        <v>teresa.letelier@nutrisco.com</v>
      </c>
      <c r="O69" s="29">
        <v>45957.0</v>
      </c>
      <c r="P69" s="28" t="s">
        <v>5582</v>
      </c>
      <c r="Q69" s="28" t="s">
        <v>5624</v>
      </c>
      <c r="R69" s="28" t="s">
        <v>5676</v>
      </c>
      <c r="S69" s="23"/>
      <c r="T69" s="28" t="s">
        <v>5585</v>
      </c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</row>
    <row r="70" ht="14.25" customHeight="1">
      <c r="A70" s="28">
        <v>1.395776E7</v>
      </c>
      <c r="B70" s="24" t="str">
        <f>VLOOKUP(A70,BBDD!$1:$1048653,2,0)</f>
        <v>13.957.760-4</v>
      </c>
      <c r="C70" s="25" t="str">
        <f>VLOOKUP(A70,BBDD!$1:$1048653,7,0)</f>
        <v>Araneda Espinoza Robert Javier</v>
      </c>
      <c r="D70" s="24" t="str">
        <f>VLOOKUP(A70,BBDD!$1:$1048653,8,0)</f>
        <v>Tripulante</v>
      </c>
      <c r="E70" s="24" t="str">
        <f>VLOOKUP(A70,BBDD!$1:$1048653,10,0)</f>
        <v>Gerencia de Flota y Abastecimiento de Materias Primas</v>
      </c>
      <c r="F70" s="24" t="str">
        <f>VLOOKUP(A70,BBDD!$1:$1048653,11,0)</f>
        <v>Indefinido</v>
      </c>
      <c r="G70" s="24" t="str">
        <f>VLOOKUP(A70,BBDD!$1:$1048653,13,0)</f>
        <v>Coronel Rol Flota</v>
      </c>
      <c r="H70" s="24" t="str">
        <f>VLOOKUP(A70,BBDD!$1:$1048653,14,0)</f>
        <v>Gerencia Corp. Negocio Seafood</v>
      </c>
      <c r="I70" s="24" t="str">
        <f>VLOOKUP(A70,BBDD!$1:$1048653,16,0)</f>
        <v>Rol General (Cargo permanente o proyección indefinido)</v>
      </c>
      <c r="J70" s="24" t="str">
        <f>VLOOKUP(A70,BBDD!$1:$1048653,17,0)</f>
        <v/>
      </c>
      <c r="K70" s="26">
        <f>VLOOKUP(A70,BBDD!$1:$1048653,12,0)</f>
        <v>43812</v>
      </c>
      <c r="L70" s="26" t="str">
        <f>VLOOKUP(A70,BBDD!$1:$1048653,3,0)</f>
        <v>Orizon S.A</v>
      </c>
      <c r="M70" s="26" t="str">
        <f>VLOOKUP(A70,BBDD!$1:$1048653,4,0)</f>
        <v>F1</v>
      </c>
      <c r="N70" s="26" t="str">
        <f>VLOOKUP(A70,BBDD!$1:$1048653,5,0)</f>
        <v>raraneda69@gmail.com</v>
      </c>
      <c r="O70" s="29">
        <v>45957.0</v>
      </c>
      <c r="P70" s="28" t="s">
        <v>5582</v>
      </c>
      <c r="Q70" s="28" t="s">
        <v>5601</v>
      </c>
      <c r="R70" s="28" t="s">
        <v>5677</v>
      </c>
      <c r="S70" s="23"/>
      <c r="T70" s="28" t="s">
        <v>5585</v>
      </c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</row>
    <row r="71" ht="14.25" customHeight="1">
      <c r="A71" s="28">
        <v>2.7046927E7</v>
      </c>
      <c r="B71" s="24" t="str">
        <f>VLOOKUP(A71,BBDD!$1:$1048653,2,0)</f>
        <v>27.046.927-2</v>
      </c>
      <c r="C71" s="25" t="str">
        <f>VLOOKUP(A71,BBDD!$1:$1048653,7,0)</f>
        <v>Colina Atacho Henyerber Jose</v>
      </c>
      <c r="D71" s="24" t="str">
        <f>VLOOKUP(A71,BBDD!$1:$1048653,8,0)</f>
        <v>Operario Apoyo Elaboracion</v>
      </c>
      <c r="E71" s="24" t="str">
        <f>VLOOKUP(A71,BBDD!$1:$1048653,10,0)</f>
        <v>Gerencia Producción Pesca</v>
      </c>
      <c r="F71" s="24" t="str">
        <f>VLOOKUP(A71,BBDD!$1:$1048653,11,0)</f>
        <v>Plazo fijo</v>
      </c>
      <c r="G71" s="24" t="str">
        <f>VLOOKUP(A71,BBDD!$1:$1048653,13,0)</f>
        <v>Coronel Rol Eventual</v>
      </c>
      <c r="H71" s="24" t="str">
        <f>VLOOKUP(A71,BBDD!$1:$1048653,14,0)</f>
        <v>Gerencia Corp. Negocio Seafood</v>
      </c>
      <c r="I71" s="24" t="str">
        <f>VLOOKUP(A71,BBDD!$1:$1048653,16,0)</f>
        <v>Temporada (Con ocasión Temporada de Pesca)</v>
      </c>
      <c r="J71" s="24" t="str">
        <f>VLOOKUP(A71,BBDD!$1:$1048653,17,0)</f>
        <v/>
      </c>
      <c r="K71" s="26">
        <f>VLOOKUP(A71,BBDD!$1:$1048653,12,0)</f>
        <v>45931</v>
      </c>
      <c r="L71" s="26" t="str">
        <f>VLOOKUP(A71,BBDD!$1:$1048653,3,0)</f>
        <v>Orizon S.A</v>
      </c>
      <c r="M71" s="26" t="str">
        <f>VLOOKUP(A71,BBDD!$1:$1048653,4,0)</f>
        <v>F2</v>
      </c>
      <c r="N71" s="26" t="str">
        <f>VLOOKUP(A71,BBDD!$1:$1048653,5,0)</f>
        <v>chuchocolina@gmail.com</v>
      </c>
      <c r="O71" s="29">
        <v>45958.0</v>
      </c>
      <c r="P71" s="28" t="s">
        <v>5582</v>
      </c>
      <c r="Q71" s="28" t="s">
        <v>5586</v>
      </c>
      <c r="R71" s="28" t="s">
        <v>5678</v>
      </c>
      <c r="S71" s="23"/>
      <c r="T71" s="28" t="s">
        <v>5585</v>
      </c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</row>
    <row r="72" ht="14.25" customHeight="1">
      <c r="A72" s="28">
        <v>1.0</v>
      </c>
      <c r="B72" s="24" t="str">
        <f>VLOOKUP(A72,BBDD!$1:$1048653,2,0)</f>
        <v>Usuario Externo</v>
      </c>
      <c r="C72" s="25" t="str">
        <f>VLOOKUP(A72,BBDD!$1:$1048653,7,0)</f>
        <v>Usuario Externo</v>
      </c>
      <c r="D72" s="24" t="str">
        <f>VLOOKUP(A72,BBDD!$1:$1048653,8,0)</f>
        <v>Usuario Externo</v>
      </c>
      <c r="E72" s="24" t="str">
        <f>VLOOKUP(A72,BBDD!$1:$1048653,10,0)</f>
        <v>Usuario Externo</v>
      </c>
      <c r="F72" s="24" t="str">
        <f>VLOOKUP(A72,BBDD!$1:$1048653,11,0)</f>
        <v>Usuario Externo</v>
      </c>
      <c r="G72" s="24" t="str">
        <f>VLOOKUP(A72,BBDD!$1:$1048653,13,0)</f>
        <v>Usuario Externo</v>
      </c>
      <c r="H72" s="24" t="str">
        <f>VLOOKUP(A72,BBDD!$1:$1048653,14,0)</f>
        <v>Usuario Externo</v>
      </c>
      <c r="I72" s="24" t="str">
        <f>VLOOKUP(A72,BBDD!$1:$1048653,16,0)</f>
        <v>Usuario Externo</v>
      </c>
      <c r="J72" s="24" t="str">
        <f>VLOOKUP(A72,BBDD!$1:$1048653,17,0)</f>
        <v/>
      </c>
      <c r="K72" s="26" t="str">
        <f>VLOOKUP(A72,BBDD!$1:$1048653,12,0)</f>
        <v>Usuario Externo</v>
      </c>
      <c r="L72" s="26" t="str">
        <f>VLOOKUP(A72,BBDD!$1:$1048653,3,0)</f>
        <v>Usuario Externo</v>
      </c>
      <c r="M72" s="26" t="str">
        <f>VLOOKUP(A72,BBDD!$1:$1048653,4,0)</f>
        <v>Usuario Externo</v>
      </c>
      <c r="N72" s="26" t="str">
        <f>VLOOKUP(A72,BBDD!$1:$1048653,5,0)</f>
        <v>Usuario Externo</v>
      </c>
      <c r="O72" s="29">
        <v>45958.0</v>
      </c>
      <c r="P72" s="28" t="s">
        <v>5582</v>
      </c>
      <c r="Q72" s="28" t="s">
        <v>5598</v>
      </c>
      <c r="R72" s="28" t="s">
        <v>5679</v>
      </c>
      <c r="S72" s="23"/>
      <c r="T72" s="28" t="s">
        <v>5585</v>
      </c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</row>
    <row r="73" ht="14.25" customHeight="1">
      <c r="A73" s="28">
        <v>1.0</v>
      </c>
      <c r="B73" s="24" t="str">
        <f>VLOOKUP(A73,BBDD!$1:$1048653,2,0)</f>
        <v>Usuario Externo</v>
      </c>
      <c r="C73" s="25" t="str">
        <f>VLOOKUP(A73,BBDD!$1:$1048653,7,0)</f>
        <v>Usuario Externo</v>
      </c>
      <c r="D73" s="24" t="str">
        <f>VLOOKUP(A73,BBDD!$1:$1048653,8,0)</f>
        <v>Usuario Externo</v>
      </c>
      <c r="E73" s="24" t="str">
        <f>VLOOKUP(A73,BBDD!$1:$1048653,10,0)</f>
        <v>Usuario Externo</v>
      </c>
      <c r="F73" s="24" t="str">
        <f>VLOOKUP(A73,BBDD!$1:$1048653,11,0)</f>
        <v>Usuario Externo</v>
      </c>
      <c r="G73" s="24" t="str">
        <f>VLOOKUP(A73,BBDD!$1:$1048653,13,0)</f>
        <v>Usuario Externo</v>
      </c>
      <c r="H73" s="24" t="str">
        <f>VLOOKUP(A73,BBDD!$1:$1048653,14,0)</f>
        <v>Usuario Externo</v>
      </c>
      <c r="I73" s="24" t="str">
        <f>VLOOKUP(A73,BBDD!$1:$1048653,16,0)</f>
        <v>Usuario Externo</v>
      </c>
      <c r="J73" s="24" t="str">
        <f>VLOOKUP(A73,BBDD!$1:$1048653,17,0)</f>
        <v/>
      </c>
      <c r="K73" s="26" t="str">
        <f>VLOOKUP(A73,BBDD!$1:$1048653,12,0)</f>
        <v>Usuario Externo</v>
      </c>
      <c r="L73" s="26" t="str">
        <f>VLOOKUP(A73,BBDD!$1:$1048653,3,0)</f>
        <v>Usuario Externo</v>
      </c>
      <c r="M73" s="26" t="str">
        <f>VLOOKUP(A73,BBDD!$1:$1048653,4,0)</f>
        <v>Usuario Externo</v>
      </c>
      <c r="N73" s="26" t="str">
        <f>VLOOKUP(A73,BBDD!$1:$1048653,5,0)</f>
        <v>Usuario Externo</v>
      </c>
      <c r="O73" s="29">
        <v>45958.0</v>
      </c>
      <c r="P73" s="28" t="s">
        <v>5582</v>
      </c>
      <c r="Q73" s="28" t="s">
        <v>5586</v>
      </c>
      <c r="R73" s="28" t="s">
        <v>5680</v>
      </c>
      <c r="S73" s="28" t="s">
        <v>5681</v>
      </c>
      <c r="T73" s="28" t="s">
        <v>5585</v>
      </c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</row>
    <row r="74" ht="14.25" customHeight="1">
      <c r="A74" s="28">
        <v>1.0803779E7</v>
      </c>
      <c r="B74" s="24" t="str">
        <f>VLOOKUP(A74,BBDD!$1:$1048653,2,0)</f>
        <v>10.803.779-2</v>
      </c>
      <c r="C74" s="25" t="str">
        <f>VLOOKUP(A74,BBDD!$1:$1048653,7,0)</f>
        <v>Acosta Soto Claudio Javier</v>
      </c>
      <c r="D74" s="24" t="str">
        <f>VLOOKUP(A74,BBDD!$1:$1048653,8,0)</f>
        <v>Electrico De Turno</v>
      </c>
      <c r="E74" s="24" t="str">
        <f>VLOOKUP(A74,BBDD!$1:$1048653,10,0)</f>
        <v>Departamento Ingeniería</v>
      </c>
      <c r="F74" s="24" t="str">
        <f>VLOOKUP(A74,BBDD!$1:$1048653,11,0)</f>
        <v>Indefinido</v>
      </c>
      <c r="G74" s="24" t="str">
        <f>VLOOKUP(A74,BBDD!$1:$1048653,13,0)</f>
        <v>Coronel Rol Tierra</v>
      </c>
      <c r="H74" s="24" t="str">
        <f>VLOOKUP(A74,BBDD!$1:$1048653,14,0)</f>
        <v>Gerencia Corp. Negocio Seafood</v>
      </c>
      <c r="I74" s="24" t="str">
        <f>VLOOKUP(A74,BBDD!$1:$1048653,16,0)</f>
        <v>Rol General (Cargo permanente o proyección indefinido)</v>
      </c>
      <c r="J74" s="24" t="str">
        <f>VLOOKUP(A74,BBDD!$1:$1048653,17,0)</f>
        <v/>
      </c>
      <c r="K74" s="26">
        <f>VLOOKUP(A74,BBDD!$1:$1048653,12,0)</f>
        <v>44204</v>
      </c>
      <c r="L74" s="26" t="str">
        <f>VLOOKUP(A74,BBDD!$1:$1048653,3,0)</f>
        <v>Orizon S.A</v>
      </c>
      <c r="M74" s="26" t="str">
        <f>VLOOKUP(A74,BBDD!$1:$1048653,4,0)</f>
        <v>F1</v>
      </c>
      <c r="N74" s="26" t="str">
        <f>VLOOKUP(A74,BBDD!$1:$1048653,5,0)</f>
        <v>claudio.acosta@orizon.cl</v>
      </c>
      <c r="O74" s="29">
        <v>45958.0</v>
      </c>
      <c r="P74" s="28" t="s">
        <v>5582</v>
      </c>
      <c r="Q74" s="28" t="s">
        <v>5597</v>
      </c>
      <c r="R74" s="28" t="s">
        <v>5682</v>
      </c>
      <c r="S74" s="28" t="s">
        <v>5683</v>
      </c>
      <c r="T74" s="28" t="s">
        <v>5585</v>
      </c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</row>
    <row r="75" ht="14.25" customHeight="1">
      <c r="A75" s="28">
        <v>1.395776E7</v>
      </c>
      <c r="B75" s="24" t="str">
        <f>VLOOKUP(A75,BBDD!$1:$1048653,2,0)</f>
        <v>13.957.760-4</v>
      </c>
      <c r="C75" s="25" t="str">
        <f>VLOOKUP(A75,BBDD!$1:$1048653,7,0)</f>
        <v>Araneda Espinoza Robert Javier</v>
      </c>
      <c r="D75" s="24" t="str">
        <f>VLOOKUP(A75,BBDD!$1:$1048653,8,0)</f>
        <v>Tripulante</v>
      </c>
      <c r="E75" s="24" t="str">
        <f>VLOOKUP(A75,BBDD!$1:$1048653,10,0)</f>
        <v>Gerencia de Flota y Abastecimiento de Materias Primas</v>
      </c>
      <c r="F75" s="24" t="str">
        <f>VLOOKUP(A75,BBDD!$1:$1048653,11,0)</f>
        <v>Indefinido</v>
      </c>
      <c r="G75" s="24" t="str">
        <f>VLOOKUP(A75,BBDD!$1:$1048653,13,0)</f>
        <v>Coronel Rol Flota</v>
      </c>
      <c r="H75" s="24" t="str">
        <f>VLOOKUP(A75,BBDD!$1:$1048653,14,0)</f>
        <v>Gerencia Corp. Negocio Seafood</v>
      </c>
      <c r="I75" s="24" t="str">
        <f>VLOOKUP(A75,BBDD!$1:$1048653,16,0)</f>
        <v>Rol General (Cargo permanente o proyección indefinido)</v>
      </c>
      <c r="J75" s="24" t="str">
        <f>VLOOKUP(A75,BBDD!$1:$1048653,17,0)</f>
        <v/>
      </c>
      <c r="K75" s="26">
        <f>VLOOKUP(A75,BBDD!$1:$1048653,12,0)</f>
        <v>43812</v>
      </c>
      <c r="L75" s="26" t="str">
        <f>VLOOKUP(A75,BBDD!$1:$1048653,3,0)</f>
        <v>Orizon S.A</v>
      </c>
      <c r="M75" s="26" t="str">
        <f>VLOOKUP(A75,BBDD!$1:$1048653,4,0)</f>
        <v>F1</v>
      </c>
      <c r="N75" s="26" t="str">
        <f>VLOOKUP(A75,BBDD!$1:$1048653,5,0)</f>
        <v>raraneda69@gmail.com</v>
      </c>
      <c r="O75" s="29">
        <v>45958.0</v>
      </c>
      <c r="P75" s="28" t="s">
        <v>5582</v>
      </c>
      <c r="Q75" s="28" t="s">
        <v>5601</v>
      </c>
      <c r="R75" s="28" t="s">
        <v>5684</v>
      </c>
      <c r="S75" s="23"/>
      <c r="T75" s="28" t="s">
        <v>5585</v>
      </c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</row>
    <row r="76" ht="14.25" customHeight="1">
      <c r="A76" s="28">
        <v>1.3899807E7</v>
      </c>
      <c r="B76" s="24" t="str">
        <f>VLOOKUP(A76,BBDD!$1:$1048653,2,0)</f>
        <v>13.899.807-k</v>
      </c>
      <c r="C76" s="25" t="str">
        <f>VLOOKUP(A76,BBDD!$1:$1048653,7,0)</f>
        <v>Godoy Bononato Cesar Mauricio</v>
      </c>
      <c r="D76" s="24" t="str">
        <f>VLOOKUP(A76,BBDD!$1:$1048653,8,0)</f>
        <v>Supervisor(A) Mantencion Flota</v>
      </c>
      <c r="E76" s="24" t="str">
        <f>VLOOKUP(A76,BBDD!$1:$1048653,10,0)</f>
        <v>Gerencia de Flota y Abastecimiento de Materias Primas</v>
      </c>
      <c r="F76" s="24" t="str">
        <f>VLOOKUP(A76,BBDD!$1:$1048653,11,0)</f>
        <v>Indefinido</v>
      </c>
      <c r="G76" s="24" t="str">
        <f>VLOOKUP(A76,BBDD!$1:$1048653,13,0)</f>
        <v>Coronel Rol Tierra</v>
      </c>
      <c r="H76" s="24" t="str">
        <f>VLOOKUP(A76,BBDD!$1:$1048653,14,0)</f>
        <v>Gerencia Corp. Negocio Seafood</v>
      </c>
      <c r="I76" s="24" t="str">
        <f>VLOOKUP(A76,BBDD!$1:$1048653,16,0)</f>
        <v>Rol General (Cargo permanente o proyección indefinido)</v>
      </c>
      <c r="J76" s="24" t="str">
        <f>VLOOKUP(A76,BBDD!$1:$1048653,17,0)</f>
        <v/>
      </c>
      <c r="K76" s="26">
        <f>VLOOKUP(A76,BBDD!$1:$1048653,12,0)</f>
        <v>42723</v>
      </c>
      <c r="L76" s="26" t="str">
        <f>VLOOKUP(A76,BBDD!$1:$1048653,3,0)</f>
        <v>Orizon S.A</v>
      </c>
      <c r="M76" s="26" t="str">
        <f>VLOOKUP(A76,BBDD!$1:$1048653,4,0)</f>
        <v>F1</v>
      </c>
      <c r="N76" s="26" t="str">
        <f>VLOOKUP(A76,BBDD!$1:$1048653,5,0)</f>
        <v>cesar.godoy@orizon.cl</v>
      </c>
      <c r="O76" s="29">
        <v>45958.0</v>
      </c>
      <c r="P76" s="28" t="s">
        <v>5582</v>
      </c>
      <c r="Q76" s="28" t="s">
        <v>5606</v>
      </c>
      <c r="R76" s="28" t="s">
        <v>5685</v>
      </c>
      <c r="S76" s="28" t="s">
        <v>5686</v>
      </c>
      <c r="T76" s="28" t="s">
        <v>5585</v>
      </c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</row>
    <row r="77" ht="14.25" customHeight="1">
      <c r="A77" s="28">
        <v>2.0116576E7</v>
      </c>
      <c r="B77" s="24" t="str">
        <f>VLOOKUP(A77,BBDD!$1:$1048653,2,0)</f>
        <v>20.116.576-8</v>
      </c>
      <c r="C77" s="25" t="str">
        <f>VLOOKUP(A77,BBDD!$1:$1048653,7,0)</f>
        <v>Ñanco Payllacan Victor Patricio</v>
      </c>
      <c r="D77" s="24" t="str">
        <f>VLOOKUP(A77,BBDD!$1:$1048653,8,0)</f>
        <v>Operador Agua Mar</v>
      </c>
      <c r="E77" s="24" t="str">
        <f>VLOOKUP(A77,BBDD!$1:$1048653,10,0)</f>
        <v>Departamento Ingeniería</v>
      </c>
      <c r="F77" s="24" t="str">
        <f>VLOOKUP(A77,BBDD!$1:$1048653,11,0)</f>
        <v>Indefinido</v>
      </c>
      <c r="G77" s="24" t="str">
        <f>VLOOKUP(A77,BBDD!$1:$1048653,13,0)</f>
        <v>Coronel Rol Tierra</v>
      </c>
      <c r="H77" s="24" t="str">
        <f>VLOOKUP(A77,BBDD!$1:$1048653,14,0)</f>
        <v>Gerencia Corp. Negocio Seafood</v>
      </c>
      <c r="I77" s="24" t="str">
        <f>VLOOKUP(A77,BBDD!$1:$1048653,16,0)</f>
        <v>Rol General (Cargo permanente o proyección indefinido)</v>
      </c>
      <c r="J77" s="24" t="str">
        <f>VLOOKUP(A77,BBDD!$1:$1048653,17,0)</f>
        <v/>
      </c>
      <c r="K77" s="26">
        <f>VLOOKUP(A77,BBDD!$1:$1048653,12,0)</f>
        <v>44743</v>
      </c>
      <c r="L77" s="26" t="str">
        <f>VLOOKUP(A77,BBDD!$1:$1048653,3,0)</f>
        <v>Orizon S.A</v>
      </c>
      <c r="M77" s="26" t="str">
        <f>VLOOKUP(A77,BBDD!$1:$1048653,4,0)</f>
        <v>F1</v>
      </c>
      <c r="N77" s="26" t="str">
        <f>VLOOKUP(A77,BBDD!$1:$1048653,5,0)</f>
        <v>victor12payllacan@gmail.com</v>
      </c>
      <c r="O77" s="29">
        <v>45958.0</v>
      </c>
      <c r="P77" s="28" t="s">
        <v>5582</v>
      </c>
      <c r="Q77" s="28" t="s">
        <v>5599</v>
      </c>
      <c r="R77" s="28" t="s">
        <v>5687</v>
      </c>
      <c r="S77" s="28" t="s">
        <v>5688</v>
      </c>
      <c r="T77" s="28" t="s">
        <v>5585</v>
      </c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</row>
    <row r="78" ht="14.25" customHeight="1">
      <c r="A78" s="28">
        <v>1.0</v>
      </c>
      <c r="B78" s="24" t="str">
        <f>VLOOKUP(A78,BBDD!$1:$1048653,2,0)</f>
        <v>Usuario Externo</v>
      </c>
      <c r="C78" s="25" t="str">
        <f>VLOOKUP(A78,BBDD!$1:$1048653,7,0)</f>
        <v>Usuario Externo</v>
      </c>
      <c r="D78" s="24" t="str">
        <f>VLOOKUP(A78,BBDD!$1:$1048653,8,0)</f>
        <v>Usuario Externo</v>
      </c>
      <c r="E78" s="24" t="str">
        <f>VLOOKUP(A78,BBDD!$1:$1048653,10,0)</f>
        <v>Usuario Externo</v>
      </c>
      <c r="F78" s="24" t="str">
        <f>VLOOKUP(A78,BBDD!$1:$1048653,11,0)</f>
        <v>Usuario Externo</v>
      </c>
      <c r="G78" s="24" t="str">
        <f>VLOOKUP(A78,BBDD!$1:$1048653,13,0)</f>
        <v>Usuario Externo</v>
      </c>
      <c r="H78" s="24" t="str">
        <f>VLOOKUP(A78,BBDD!$1:$1048653,14,0)</f>
        <v>Usuario Externo</v>
      </c>
      <c r="I78" s="24" t="str">
        <f>VLOOKUP(A78,BBDD!$1:$1048653,16,0)</f>
        <v>Usuario Externo</v>
      </c>
      <c r="J78" s="24" t="str">
        <f>VLOOKUP(A78,BBDD!$1:$1048653,17,0)</f>
        <v/>
      </c>
      <c r="K78" s="26" t="str">
        <f>VLOOKUP(A78,BBDD!$1:$1048653,12,0)</f>
        <v>Usuario Externo</v>
      </c>
      <c r="L78" s="26" t="str">
        <f>VLOOKUP(A78,BBDD!$1:$1048653,3,0)</f>
        <v>Usuario Externo</v>
      </c>
      <c r="M78" s="26" t="str">
        <f>VLOOKUP(A78,BBDD!$1:$1048653,4,0)</f>
        <v>Usuario Externo</v>
      </c>
      <c r="N78" s="26" t="str">
        <f>VLOOKUP(A78,BBDD!$1:$1048653,5,0)</f>
        <v>Usuario Externo</v>
      </c>
      <c r="O78" s="29">
        <v>45958.0</v>
      </c>
      <c r="P78" s="28" t="s">
        <v>5582</v>
      </c>
      <c r="Q78" s="28" t="s">
        <v>5606</v>
      </c>
      <c r="R78" s="28" t="s">
        <v>5689</v>
      </c>
      <c r="S78" s="28" t="s">
        <v>5690</v>
      </c>
      <c r="T78" s="28" t="s">
        <v>5616</v>
      </c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</row>
    <row r="79" ht="14.25" customHeight="1">
      <c r="A79" s="28">
        <v>1.1493997E7</v>
      </c>
      <c r="B79" s="24" t="str">
        <f>VLOOKUP(A79,BBDD!$1:$1048653,2,0)</f>
        <v>11.493.997-8</v>
      </c>
      <c r="C79" s="25" t="str">
        <f>VLOOKUP(A79,BBDD!$1:$1048653,7,0)</f>
        <v>Toledo Cerda Felix Antonio</v>
      </c>
      <c r="D79" s="24" t="str">
        <f>VLOOKUP(A79,BBDD!$1:$1048653,8,0)</f>
        <v>Tripulante</v>
      </c>
      <c r="E79" s="24" t="str">
        <f>VLOOKUP(A79,BBDD!$1:$1048653,10,0)</f>
        <v>Gerencia de Flota y Abastecimiento de Materias Primas</v>
      </c>
      <c r="F79" s="24" t="str">
        <f>VLOOKUP(A79,BBDD!$1:$1048653,11,0)</f>
        <v>Indefinido</v>
      </c>
      <c r="G79" s="24" t="str">
        <f>VLOOKUP(A79,BBDD!$1:$1048653,13,0)</f>
        <v>Coronel Rol Flota</v>
      </c>
      <c r="H79" s="24" t="str">
        <f>VLOOKUP(A79,BBDD!$1:$1048653,14,0)</f>
        <v>Gerencia Corp. Negocio Seafood</v>
      </c>
      <c r="I79" s="24" t="str">
        <f>VLOOKUP(A79,BBDD!$1:$1048653,16,0)</f>
        <v>Rol General (Cargo permanente o proyección indefinido)</v>
      </c>
      <c r="J79" s="24" t="str">
        <f>VLOOKUP(A79,BBDD!$1:$1048653,17,0)</f>
        <v/>
      </c>
      <c r="K79" s="26">
        <f>VLOOKUP(A79,BBDD!$1:$1048653,12,0)</f>
        <v>40513</v>
      </c>
      <c r="L79" s="26" t="str">
        <f>VLOOKUP(A79,BBDD!$1:$1048653,3,0)</f>
        <v>Orizon S.A</v>
      </c>
      <c r="M79" s="26" t="str">
        <f>VLOOKUP(A79,BBDD!$1:$1048653,4,0)</f>
        <v>F1</v>
      </c>
      <c r="N79" s="26" t="str">
        <f>VLOOKUP(A79,BBDD!$1:$1048653,5,0)</f>
        <v>felixantoniotc25@gmail.com</v>
      </c>
      <c r="O79" s="29">
        <v>45958.0</v>
      </c>
      <c r="P79" s="28" t="s">
        <v>5582</v>
      </c>
      <c r="Q79" s="28" t="s">
        <v>5583</v>
      </c>
      <c r="R79" s="28" t="s">
        <v>5691</v>
      </c>
      <c r="S79" s="23"/>
      <c r="T79" s="28" t="s">
        <v>5585</v>
      </c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</row>
    <row r="80" ht="14.25" customHeight="1">
      <c r="A80" s="28">
        <v>1.8333448E7</v>
      </c>
      <c r="B80" s="24" t="str">
        <f>VLOOKUP(A80,BBDD!$1:$1048653,2,0)</f>
        <v>18.333.448-4</v>
      </c>
      <c r="C80" s="25" t="str">
        <f>VLOOKUP(A80,BBDD!$1:$1048653,7,0)</f>
        <v>Leal Canteros Fabiola Andrea</v>
      </c>
      <c r="D80" s="24" t="str">
        <f>VLOOKUP(A80,BBDD!$1:$1048653,8,0)</f>
        <v>Operario Apoyo Elaboracion</v>
      </c>
      <c r="E80" s="24" t="str">
        <f>VLOOKUP(A80,BBDD!$1:$1048653,10,0)</f>
        <v>Gerencia Producción Pesca</v>
      </c>
      <c r="F80" s="24" t="str">
        <f>VLOOKUP(A80,BBDD!$1:$1048653,11,0)</f>
        <v>Obra</v>
      </c>
      <c r="G80" s="24" t="str">
        <f>VLOOKUP(A80,BBDD!$1:$1048653,13,0)</f>
        <v>Coronel Rol Eventual</v>
      </c>
      <c r="H80" s="24" t="str">
        <f>VLOOKUP(A80,BBDD!$1:$1048653,14,0)</f>
        <v>Gerencia Corp. Negocio Seafood</v>
      </c>
      <c r="I80" s="24" t="str">
        <f>VLOOKUP(A80,BBDD!$1:$1048653,16,0)</f>
        <v>Temporada (Con ocasión Temporada de Pesca)</v>
      </c>
      <c r="J80" s="24" t="str">
        <f>VLOOKUP(A80,BBDD!$1:$1048653,17,0)</f>
        <v/>
      </c>
      <c r="K80" s="26">
        <f>VLOOKUP(A80,BBDD!$1:$1048653,12,0)</f>
        <v>45663</v>
      </c>
      <c r="L80" s="26" t="str">
        <f>VLOOKUP(A80,BBDD!$1:$1048653,3,0)</f>
        <v>Orizon S.A</v>
      </c>
      <c r="M80" s="26" t="str">
        <f>VLOOKUP(A80,BBDD!$1:$1048653,4,0)</f>
        <v>F2</v>
      </c>
      <c r="N80" s="26" t="str">
        <f>VLOOKUP(A80,BBDD!$1:$1048653,5,0)</f>
        <v>FABIOLAANDREALEALCANTEROS@GMAIL.COM</v>
      </c>
      <c r="O80" s="29">
        <v>45958.0</v>
      </c>
      <c r="P80" s="28" t="s">
        <v>5575</v>
      </c>
      <c r="Q80" s="28" t="s">
        <v>5692</v>
      </c>
      <c r="R80" s="28" t="s">
        <v>5693</v>
      </c>
      <c r="S80" s="28" t="s">
        <v>5694</v>
      </c>
      <c r="T80" s="28" t="s">
        <v>5616</v>
      </c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</row>
    <row r="81" ht="14.25" customHeight="1">
      <c r="A81" s="28">
        <v>1.0</v>
      </c>
      <c r="B81" s="24" t="str">
        <f>VLOOKUP(A81,BBDD!$1:$1048653,2,0)</f>
        <v>Usuario Externo</v>
      </c>
      <c r="C81" s="25" t="str">
        <f>VLOOKUP(A81,BBDD!$1:$1048653,7,0)</f>
        <v>Usuario Externo</v>
      </c>
      <c r="D81" s="24" t="str">
        <f>VLOOKUP(A81,BBDD!$1:$1048653,8,0)</f>
        <v>Usuario Externo</v>
      </c>
      <c r="E81" s="24" t="str">
        <f>VLOOKUP(A81,BBDD!$1:$1048653,10,0)</f>
        <v>Usuario Externo</v>
      </c>
      <c r="F81" s="24" t="str">
        <f>VLOOKUP(A81,BBDD!$1:$1048653,11,0)</f>
        <v>Usuario Externo</v>
      </c>
      <c r="G81" s="24" t="str">
        <f>VLOOKUP(A81,BBDD!$1:$1048653,13,0)</f>
        <v>Usuario Externo</v>
      </c>
      <c r="H81" s="24" t="str">
        <f>VLOOKUP(A81,BBDD!$1:$1048653,14,0)</f>
        <v>Usuario Externo</v>
      </c>
      <c r="I81" s="24" t="str">
        <f>VLOOKUP(A81,BBDD!$1:$1048653,16,0)</f>
        <v>Usuario Externo</v>
      </c>
      <c r="J81" s="24" t="str">
        <f>VLOOKUP(A81,BBDD!$1:$1048653,17,0)</f>
        <v/>
      </c>
      <c r="K81" s="26" t="str">
        <f>VLOOKUP(A81,BBDD!$1:$1048653,12,0)</f>
        <v>Usuario Externo</v>
      </c>
      <c r="L81" s="26" t="str">
        <f>VLOOKUP(A81,BBDD!$1:$1048653,3,0)</f>
        <v>Usuario Externo</v>
      </c>
      <c r="M81" s="26" t="str">
        <f>VLOOKUP(A81,BBDD!$1:$1048653,4,0)</f>
        <v>Usuario Externo</v>
      </c>
      <c r="N81" s="26" t="str">
        <f>VLOOKUP(A81,BBDD!$1:$1048653,5,0)</f>
        <v>Usuario Externo</v>
      </c>
      <c r="O81" s="29">
        <v>45958.0</v>
      </c>
      <c r="P81" s="28" t="s">
        <v>5582</v>
      </c>
      <c r="Q81" s="28" t="s">
        <v>5603</v>
      </c>
      <c r="R81" s="28" t="s">
        <v>5695</v>
      </c>
      <c r="S81" s="30" t="s">
        <v>5696</v>
      </c>
      <c r="T81" s="28" t="s">
        <v>5616</v>
      </c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</row>
    <row r="82" ht="14.25" customHeight="1">
      <c r="A82" s="28">
        <v>1.5211865E7</v>
      </c>
      <c r="B82" s="24" t="str">
        <f>VLOOKUP(A82,BBDD!$1:$1048653,2,0)</f>
        <v>15.211.865-1</v>
      </c>
      <c r="C82" s="25" t="str">
        <f>VLOOKUP(A82,BBDD!$1:$1048653,7,0)</f>
        <v>Garcias Riffo Miguel Angel</v>
      </c>
      <c r="D82" s="24" t="str">
        <f>VLOOKUP(A82,BBDD!$1:$1048653,8,0)</f>
        <v>Tripulante</v>
      </c>
      <c r="E82" s="24" t="str">
        <f>VLOOKUP(A82,BBDD!$1:$1048653,10,0)</f>
        <v>Gerencia de Flota y Abastecimiento de Materias Primas</v>
      </c>
      <c r="F82" s="24" t="str">
        <f>VLOOKUP(A82,BBDD!$1:$1048653,11,0)</f>
        <v>Indefinido</v>
      </c>
      <c r="G82" s="24" t="str">
        <f>VLOOKUP(A82,BBDD!$1:$1048653,13,0)</f>
        <v>Coronel Rol Flota</v>
      </c>
      <c r="H82" s="24" t="str">
        <f>VLOOKUP(A82,BBDD!$1:$1048653,14,0)</f>
        <v>Gerencia Corp. Negocio Seafood</v>
      </c>
      <c r="I82" s="24" t="str">
        <f>VLOOKUP(A82,BBDD!$1:$1048653,16,0)</f>
        <v>Rol General (Cargo permanente o proyección indefinido)</v>
      </c>
      <c r="J82" s="24" t="str">
        <f>VLOOKUP(A82,BBDD!$1:$1048653,17,0)</f>
        <v/>
      </c>
      <c r="K82" s="26">
        <f>VLOOKUP(A82,BBDD!$1:$1048653,12,0)</f>
        <v>45749</v>
      </c>
      <c r="L82" s="26" t="str">
        <f>VLOOKUP(A82,BBDD!$1:$1048653,3,0)</f>
        <v>Orizon S.A</v>
      </c>
      <c r="M82" s="26" t="str">
        <f>VLOOKUP(A82,BBDD!$1:$1048653,4,0)</f>
        <v>F1</v>
      </c>
      <c r="N82" s="26" t="str">
        <f>VLOOKUP(A82,BBDD!$1:$1048653,5,0)</f>
        <v>miguelgarcias3777@gmail.com</v>
      </c>
      <c r="O82" s="29">
        <v>45958.0</v>
      </c>
      <c r="P82" s="28" t="s">
        <v>5575</v>
      </c>
      <c r="Q82" s="28" t="s">
        <v>5583</v>
      </c>
      <c r="R82" s="28" t="s">
        <v>5697</v>
      </c>
      <c r="S82" s="28" t="s">
        <v>5698</v>
      </c>
      <c r="T82" s="28" t="s">
        <v>5585</v>
      </c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</row>
    <row r="83" ht="14.25" customHeight="1">
      <c r="A83" s="28">
        <v>9363315.0</v>
      </c>
      <c r="B83" s="24" t="str">
        <f>VLOOKUP(A83,BBDD!$1:$1048653,2,0)</f>
        <v>9.363.315-6</v>
      </c>
      <c r="C83" s="25" t="str">
        <f>VLOOKUP(A83,BBDD!$1:$1048653,7,0)</f>
        <v>Medina Martinez Victor Manuel</v>
      </c>
      <c r="D83" s="24" t="str">
        <f>VLOOKUP(A83,BBDD!$1:$1048653,8,0)</f>
        <v>Mecanico De Turno</v>
      </c>
      <c r="E83" s="24" t="str">
        <f>VLOOKUP(A83,BBDD!$1:$1048653,10,0)</f>
        <v>Departamento Ingeniería</v>
      </c>
      <c r="F83" s="24" t="str">
        <f>VLOOKUP(A83,BBDD!$1:$1048653,11,0)</f>
        <v>Indefinido</v>
      </c>
      <c r="G83" s="24" t="str">
        <f>VLOOKUP(A83,BBDD!$1:$1048653,13,0)</f>
        <v>Coronel Rol Tierra</v>
      </c>
      <c r="H83" s="24" t="str">
        <f>VLOOKUP(A83,BBDD!$1:$1048653,14,0)</f>
        <v>Gerencia Corp. Negocio Seafood</v>
      </c>
      <c r="I83" s="24" t="str">
        <f>VLOOKUP(A83,BBDD!$1:$1048653,16,0)</f>
        <v>Rol General (Cargo permanente o proyección indefinido)</v>
      </c>
      <c r="J83" s="24" t="str">
        <f>VLOOKUP(A83,BBDD!$1:$1048653,17,0)</f>
        <v/>
      </c>
      <c r="K83" s="26">
        <f>VLOOKUP(A83,BBDD!$1:$1048653,12,0)</f>
        <v>40513</v>
      </c>
      <c r="L83" s="26" t="str">
        <f>VLOOKUP(A83,BBDD!$1:$1048653,3,0)</f>
        <v>Orizon S.A</v>
      </c>
      <c r="M83" s="26" t="str">
        <f>VLOOKUP(A83,BBDD!$1:$1048653,4,0)</f>
        <v>F1</v>
      </c>
      <c r="N83" s="26" t="str">
        <f>VLOOKUP(A83,BBDD!$1:$1048653,5,0)</f>
        <v>vicmedinamartinez@gmail.com</v>
      </c>
      <c r="O83" s="29">
        <v>45958.0</v>
      </c>
      <c r="P83" s="28" t="s">
        <v>5582</v>
      </c>
      <c r="Q83" s="28" t="s">
        <v>1323</v>
      </c>
      <c r="R83" s="28" t="s">
        <v>5699</v>
      </c>
      <c r="S83" s="28" t="s">
        <v>5700</v>
      </c>
      <c r="T83" s="28" t="s">
        <v>5585</v>
      </c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</row>
    <row r="84" ht="14.25" customHeight="1">
      <c r="A84" s="28">
        <v>1.5528827E7</v>
      </c>
      <c r="B84" s="24" t="str">
        <f>VLOOKUP(A84,BBDD!$1:$1048653,2,0)</f>
        <v>15.528.827-2</v>
      </c>
      <c r="C84" s="25" t="str">
        <f>VLOOKUP(A84,BBDD!$1:$1048653,7,0)</f>
        <v>Quezada Araneda Vladimir Orlando</v>
      </c>
      <c r="D84" s="24" t="str">
        <f>VLOOKUP(A84,BBDD!$1:$1048653,8,0)</f>
        <v>Mecanico Frigorista</v>
      </c>
      <c r="E84" s="24" t="str">
        <f>VLOOKUP(A84,BBDD!$1:$1048653,10,0)</f>
        <v>Departamento Ingeniería</v>
      </c>
      <c r="F84" s="24" t="str">
        <f>VLOOKUP(A84,BBDD!$1:$1048653,11,0)</f>
        <v>Indefinido</v>
      </c>
      <c r="G84" s="24" t="str">
        <f>VLOOKUP(A84,BBDD!$1:$1048653,13,0)</f>
        <v>Coronel Rol Tierra</v>
      </c>
      <c r="H84" s="24" t="str">
        <f>VLOOKUP(A84,BBDD!$1:$1048653,14,0)</f>
        <v>Gerencia Corp. Negocio Seafood</v>
      </c>
      <c r="I84" s="24" t="str">
        <f>VLOOKUP(A84,BBDD!$1:$1048653,16,0)</f>
        <v>Rol General (Cargo permanente o proyección indefinido)</v>
      </c>
      <c r="J84" s="24" t="str">
        <f>VLOOKUP(A84,BBDD!$1:$1048653,17,0)</f>
        <v/>
      </c>
      <c r="K84" s="26">
        <f>VLOOKUP(A84,BBDD!$1:$1048653,12,0)</f>
        <v>44531</v>
      </c>
      <c r="L84" s="26" t="str">
        <f>VLOOKUP(A84,BBDD!$1:$1048653,3,0)</f>
        <v>Orizon S.A</v>
      </c>
      <c r="M84" s="26" t="str">
        <f>VLOOKUP(A84,BBDD!$1:$1048653,4,0)</f>
        <v>F1</v>
      </c>
      <c r="N84" s="26" t="str">
        <f>VLOOKUP(A84,BBDD!$1:$1048653,5,0)</f>
        <v>voquezad@gmail.com</v>
      </c>
      <c r="O84" s="29">
        <v>45958.0</v>
      </c>
      <c r="P84" s="28" t="s">
        <v>5582</v>
      </c>
      <c r="Q84" s="28" t="s">
        <v>5589</v>
      </c>
      <c r="R84" s="28" t="s">
        <v>5701</v>
      </c>
      <c r="S84" s="28" t="s">
        <v>5702</v>
      </c>
      <c r="T84" s="28" t="s">
        <v>5585</v>
      </c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</row>
    <row r="85" ht="14.25" customHeight="1">
      <c r="A85" s="28">
        <v>8885420.0</v>
      </c>
      <c r="B85" s="24" t="str">
        <f>VLOOKUP(A85,BBDD!$1:$1048653,2,0)</f>
        <v>8.885.420-9</v>
      </c>
      <c r="C85" s="25" t="str">
        <f>VLOOKUP(A85,BBDD!$1:$1048653,7,0)</f>
        <v>Vargas Jerez Ricardo Segundo</v>
      </c>
      <c r="D85" s="24" t="str">
        <f>VLOOKUP(A85,BBDD!$1:$1048653,8,0)</f>
        <v>Operario Apoyo Elaboracion</v>
      </c>
      <c r="E85" s="24" t="str">
        <f>VLOOKUP(A85,BBDD!$1:$1048653,10,0)</f>
        <v>Gerencia Producción Pesca</v>
      </c>
      <c r="F85" s="24" t="str">
        <f>VLOOKUP(A85,BBDD!$1:$1048653,11,0)</f>
        <v>Plazo fijo</v>
      </c>
      <c r="G85" s="24" t="str">
        <f>VLOOKUP(A85,BBDD!$1:$1048653,13,0)</f>
        <v>Coronel Rol Eventual</v>
      </c>
      <c r="H85" s="24" t="str">
        <f>VLOOKUP(A85,BBDD!$1:$1048653,14,0)</f>
        <v>Gerencia Corp. Negocio Seafood</v>
      </c>
      <c r="I85" s="24" t="str">
        <f>VLOOKUP(A85,BBDD!$1:$1048653,16,0)</f>
        <v>Temporada (Con ocasión Temporada de Pesca)</v>
      </c>
      <c r="J85" s="24" t="str">
        <f>VLOOKUP(A85,BBDD!$1:$1048653,17,0)</f>
        <v/>
      </c>
      <c r="K85" s="26">
        <f>VLOOKUP(A85,BBDD!$1:$1048653,12,0)</f>
        <v>45931</v>
      </c>
      <c r="L85" s="26" t="str">
        <f>VLOOKUP(A85,BBDD!$1:$1048653,3,0)</f>
        <v>Orizon S.A</v>
      </c>
      <c r="M85" s="26" t="str">
        <f>VLOOKUP(A85,BBDD!$1:$1048653,4,0)</f>
        <v>F3</v>
      </c>
      <c r="N85" s="26" t="str">
        <f>VLOOKUP(A85,BBDD!$1:$1048653,5,0)</f>
        <v>ricardovargasjerez.777@gmail.com</v>
      </c>
      <c r="O85" s="29">
        <v>45958.0</v>
      </c>
      <c r="P85" s="28" t="s">
        <v>5582</v>
      </c>
      <c r="Q85" s="28" t="s">
        <v>5606</v>
      </c>
      <c r="R85" s="28" t="s">
        <v>5703</v>
      </c>
      <c r="S85" s="28" t="s">
        <v>5704</v>
      </c>
      <c r="T85" s="28" t="s">
        <v>5585</v>
      </c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</row>
    <row r="86" ht="14.25" customHeight="1">
      <c r="A86" s="28">
        <v>2.01494E7</v>
      </c>
      <c r="B86" s="24" t="str">
        <f>VLOOKUP(A86,BBDD!$1:$1048653,2,0)</f>
        <v>20.149.400-1</v>
      </c>
      <c r="C86" s="25" t="str">
        <f>VLOOKUP(A86,BBDD!$1:$1048653,7,0)</f>
        <v>Sanchez Ruiz Javiera Ignacia</v>
      </c>
      <c r="D86" s="24" t="str">
        <f>VLOOKUP(A86,BBDD!$1:$1048653,8,0)</f>
        <v>Operario Apoyo Elaboracion</v>
      </c>
      <c r="E86" s="24" t="str">
        <f>VLOOKUP(A86,BBDD!$1:$1048653,10,0)</f>
        <v>Gerencia Producción Pesca</v>
      </c>
      <c r="F86" s="24" t="str">
        <f>VLOOKUP(A86,BBDD!$1:$1048653,11,0)</f>
        <v>Plazo fijo</v>
      </c>
      <c r="G86" s="24" t="str">
        <f>VLOOKUP(A86,BBDD!$1:$1048653,13,0)</f>
        <v>Coronel Rol Eventual</v>
      </c>
      <c r="H86" s="24" t="str">
        <f>VLOOKUP(A86,BBDD!$1:$1048653,14,0)</f>
        <v>Gerencia Corp. Negocio Seafood</v>
      </c>
      <c r="I86" s="24" t="str">
        <f>VLOOKUP(A86,BBDD!$1:$1048653,16,0)</f>
        <v>Temporada (Con ocasión Temporada de Pesca)</v>
      </c>
      <c r="J86" s="24" t="str">
        <f>VLOOKUP(A86,BBDD!$1:$1048653,17,0)</f>
        <v/>
      </c>
      <c r="K86" s="26">
        <f>VLOOKUP(A86,BBDD!$1:$1048653,12,0)</f>
        <v>45931</v>
      </c>
      <c r="L86" s="26" t="str">
        <f>VLOOKUP(A86,BBDD!$1:$1048653,3,0)</f>
        <v>Orizon S.A</v>
      </c>
      <c r="M86" s="26" t="str">
        <f>VLOOKUP(A86,BBDD!$1:$1048653,4,0)</f>
        <v>F5</v>
      </c>
      <c r="N86" s="26" t="str">
        <f>VLOOKUP(A86,BBDD!$1:$1048653,5,0)</f>
        <v>jjjavi.rra23@gmail.com</v>
      </c>
      <c r="O86" s="29">
        <v>45958.0</v>
      </c>
      <c r="P86" s="28" t="s">
        <v>5582</v>
      </c>
      <c r="Q86" s="28" t="s">
        <v>5586</v>
      </c>
      <c r="R86" s="28" t="s">
        <v>5705</v>
      </c>
      <c r="S86" s="28" t="s">
        <v>5706</v>
      </c>
      <c r="T86" s="28" t="s">
        <v>5585</v>
      </c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</row>
    <row r="87" ht="14.25" customHeight="1">
      <c r="A87" s="28">
        <v>9459618.0</v>
      </c>
      <c r="B87" s="24" t="str">
        <f>VLOOKUP(A87,BBDD!$1:$1048653,2,0)</f>
        <v>9.459.618-1</v>
      </c>
      <c r="C87" s="25" t="str">
        <f>VLOOKUP(A87,BBDD!$1:$1048653,7,0)</f>
        <v>Paz Ruiz Pedro Arturo</v>
      </c>
      <c r="D87" s="24" t="str">
        <f>VLOOKUP(A87,BBDD!$1:$1048653,8,0)</f>
        <v>Operador Grupo Generadores</v>
      </c>
      <c r="E87" s="24" t="str">
        <f>VLOOKUP(A87,BBDD!$1:$1048653,10,0)</f>
        <v>Departamento Ingeniería</v>
      </c>
      <c r="F87" s="24" t="str">
        <f>VLOOKUP(A87,BBDD!$1:$1048653,11,0)</f>
        <v>Indefinido</v>
      </c>
      <c r="G87" s="24" t="str">
        <f>VLOOKUP(A87,BBDD!$1:$1048653,13,0)</f>
        <v>Coronel Rol Tierra</v>
      </c>
      <c r="H87" s="24" t="str">
        <f>VLOOKUP(A87,BBDD!$1:$1048653,14,0)</f>
        <v>Gerencia Corp. Negocio Seafood</v>
      </c>
      <c r="I87" s="24" t="str">
        <f>VLOOKUP(A87,BBDD!$1:$1048653,16,0)</f>
        <v>Rol General (Cargo permanente o proyección indefinido)</v>
      </c>
      <c r="J87" s="24" t="str">
        <f>VLOOKUP(A87,BBDD!$1:$1048653,17,0)</f>
        <v/>
      </c>
      <c r="K87" s="26">
        <f>VLOOKUP(A87,BBDD!$1:$1048653,12,0)</f>
        <v>45432</v>
      </c>
      <c r="L87" s="26" t="str">
        <f>VLOOKUP(A87,BBDD!$1:$1048653,3,0)</f>
        <v>Orizon S.A</v>
      </c>
      <c r="M87" s="26" t="str">
        <f>VLOOKUP(A87,BBDD!$1:$1048653,4,0)</f>
        <v>F1</v>
      </c>
      <c r="N87" s="26" t="str">
        <f>VLOOKUP(A87,BBDD!$1:$1048653,5,0)</f>
        <v>p.paz963@gmail.com</v>
      </c>
      <c r="O87" s="29">
        <v>45959.0</v>
      </c>
      <c r="P87" s="28" t="s">
        <v>5582</v>
      </c>
      <c r="Q87" s="28" t="s">
        <v>5599</v>
      </c>
      <c r="R87" s="28" t="s">
        <v>5707</v>
      </c>
      <c r="S87" s="28" t="s">
        <v>5708</v>
      </c>
      <c r="T87" s="28" t="s">
        <v>5585</v>
      </c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</row>
    <row r="88" ht="14.25" customHeight="1">
      <c r="A88" s="28">
        <v>1.0</v>
      </c>
      <c r="B88" s="24" t="str">
        <f>VLOOKUP(A88,BBDD!$1:$1048653,2,0)</f>
        <v>Usuario Externo</v>
      </c>
      <c r="C88" s="25" t="str">
        <f>VLOOKUP(A88,BBDD!$1:$1048653,7,0)</f>
        <v>Usuario Externo</v>
      </c>
      <c r="D88" s="24" t="str">
        <f>VLOOKUP(A88,BBDD!$1:$1048653,8,0)</f>
        <v>Usuario Externo</v>
      </c>
      <c r="E88" s="24" t="str">
        <f>VLOOKUP(A88,BBDD!$1:$1048653,10,0)</f>
        <v>Usuario Externo</v>
      </c>
      <c r="F88" s="24" t="str">
        <f>VLOOKUP(A88,BBDD!$1:$1048653,11,0)</f>
        <v>Usuario Externo</v>
      </c>
      <c r="G88" s="24" t="str">
        <f>VLOOKUP(A88,BBDD!$1:$1048653,13,0)</f>
        <v>Usuario Externo</v>
      </c>
      <c r="H88" s="24" t="str">
        <f>VLOOKUP(A88,BBDD!$1:$1048653,14,0)</f>
        <v>Usuario Externo</v>
      </c>
      <c r="I88" s="24" t="str">
        <f>VLOOKUP(A88,BBDD!$1:$1048653,16,0)</f>
        <v>Usuario Externo</v>
      </c>
      <c r="J88" s="24" t="str">
        <f>VLOOKUP(A88,BBDD!$1:$1048653,17,0)</f>
        <v/>
      </c>
      <c r="K88" s="26" t="str">
        <f>VLOOKUP(A88,BBDD!$1:$1048653,12,0)</f>
        <v>Usuario Externo</v>
      </c>
      <c r="L88" s="26" t="str">
        <f>VLOOKUP(A88,BBDD!$1:$1048653,3,0)</f>
        <v>Usuario Externo</v>
      </c>
      <c r="M88" s="26" t="str">
        <f>VLOOKUP(A88,BBDD!$1:$1048653,4,0)</f>
        <v>Usuario Externo</v>
      </c>
      <c r="N88" s="26" t="str">
        <f>VLOOKUP(A88,BBDD!$1:$1048653,5,0)</f>
        <v>Usuario Externo</v>
      </c>
      <c r="O88" s="29">
        <v>45959.0</v>
      </c>
      <c r="P88" s="28" t="s">
        <v>5582</v>
      </c>
      <c r="Q88" s="28" t="s">
        <v>5603</v>
      </c>
      <c r="R88" s="28" t="s">
        <v>5709</v>
      </c>
      <c r="S88" s="28" t="s">
        <v>5710</v>
      </c>
      <c r="T88" s="28" t="s">
        <v>5585</v>
      </c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</row>
    <row r="89" ht="14.25" customHeight="1">
      <c r="A89" s="28">
        <v>8493006.0</v>
      </c>
      <c r="B89" s="24" t="str">
        <f>VLOOKUP(A89,BBDD!$1:$1048653,2,0)</f>
        <v>8.493.006-7</v>
      </c>
      <c r="C89" s="25" t="str">
        <f>VLOOKUP(A89,BBDD!$1:$1048653,7,0)</f>
        <v>Ortiz Ruiz Graciela Emperatriz</v>
      </c>
      <c r="D89" s="24" t="str">
        <f>VLOOKUP(A89,BBDD!$1:$1048653,8,0)</f>
        <v>Operario Apoyo Elaboracion</v>
      </c>
      <c r="E89" s="24" t="str">
        <f>VLOOKUP(A89,BBDD!$1:$1048653,10,0)</f>
        <v>Gerencia Producción Pesca</v>
      </c>
      <c r="F89" s="24" t="str">
        <f>VLOOKUP(A89,BBDD!$1:$1048653,11,0)</f>
        <v>Plazo fijo</v>
      </c>
      <c r="G89" s="24" t="str">
        <f>VLOOKUP(A89,BBDD!$1:$1048653,13,0)</f>
        <v>Coronel Rol Eventual</v>
      </c>
      <c r="H89" s="24" t="str">
        <f>VLOOKUP(A89,BBDD!$1:$1048653,14,0)</f>
        <v>Gerencia Corp. Negocio Seafood</v>
      </c>
      <c r="I89" s="24" t="str">
        <f>VLOOKUP(A89,BBDD!$1:$1048653,16,0)</f>
        <v>Eventual (Reemplazo LM - Proyecto - Faena 4E Conservas)</v>
      </c>
      <c r="J89" s="24" t="str">
        <f>VLOOKUP(A89,BBDD!$1:$1048653,17,0)</f>
        <v/>
      </c>
      <c r="K89" s="26">
        <f>VLOOKUP(A89,BBDD!$1:$1048653,12,0)</f>
        <v>45925</v>
      </c>
      <c r="L89" s="26" t="str">
        <f>VLOOKUP(A89,BBDD!$1:$1048653,3,0)</f>
        <v>Orizon S.A</v>
      </c>
      <c r="M89" s="26" t="str">
        <f>VLOOKUP(A89,BBDD!$1:$1048653,4,0)</f>
        <v>F5</v>
      </c>
      <c r="N89" s="26" t="str">
        <f>VLOOKUP(A89,BBDD!$1:$1048653,5,0)</f>
        <v>emperatrizortiz1968@gmail.com</v>
      </c>
      <c r="O89" s="29">
        <v>45959.0</v>
      </c>
      <c r="P89" s="28" t="s">
        <v>5575</v>
      </c>
      <c r="Q89" s="28" t="s">
        <v>5567</v>
      </c>
      <c r="R89" s="28" t="s">
        <v>5711</v>
      </c>
      <c r="S89" s="23"/>
      <c r="T89" s="28" t="s">
        <v>5616</v>
      </c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</row>
    <row r="90" ht="14.25" customHeight="1">
      <c r="A90" s="28">
        <v>1.7594144E7</v>
      </c>
      <c r="B90" s="24" t="str">
        <f>VLOOKUP(A90,BBDD!$1:$1048653,2,0)</f>
        <v>17.594.144-4</v>
      </c>
      <c r="C90" s="25" t="str">
        <f>VLOOKUP(A90,BBDD!$1:$1048653,7,0)</f>
        <v>Malbrán Paredes Julia Paz</v>
      </c>
      <c r="D90" s="24" t="str">
        <f>VLOOKUP(A90,BBDD!$1:$1048653,8,0)</f>
        <v>Operario Apoyo Elaboracion</v>
      </c>
      <c r="E90" s="24" t="str">
        <f>VLOOKUP(A90,BBDD!$1:$1048653,10,0)</f>
        <v>Gerencia Producción Pesca</v>
      </c>
      <c r="F90" s="24" t="str">
        <f>VLOOKUP(A90,BBDD!$1:$1048653,11,0)</f>
        <v>Plazo fijo</v>
      </c>
      <c r="G90" s="24" t="str">
        <f>VLOOKUP(A90,BBDD!$1:$1048653,13,0)</f>
        <v>Coronel Rol Eventual</v>
      </c>
      <c r="H90" s="24" t="str">
        <f>VLOOKUP(A90,BBDD!$1:$1048653,14,0)</f>
        <v>Gerencia Corp. Negocio Seafood</v>
      </c>
      <c r="I90" s="24" t="str">
        <f>VLOOKUP(A90,BBDD!$1:$1048653,16,0)</f>
        <v>Temporada (Con ocasión Temporada de Pesca)</v>
      </c>
      <c r="J90" s="24" t="str">
        <f>VLOOKUP(A90,BBDD!$1:$1048653,17,0)</f>
        <v/>
      </c>
      <c r="K90" s="26">
        <f>VLOOKUP(A90,BBDD!$1:$1048653,12,0)</f>
        <v>45931</v>
      </c>
      <c r="L90" s="26" t="str">
        <f>VLOOKUP(A90,BBDD!$1:$1048653,3,0)</f>
        <v>Orizon S.A</v>
      </c>
      <c r="M90" s="26" t="str">
        <f>VLOOKUP(A90,BBDD!$1:$1048653,4,0)</f>
        <v>F2</v>
      </c>
      <c r="N90" s="26" t="str">
        <f>VLOOKUP(A90,BBDD!$1:$1048653,5,0)</f>
        <v>pazmalbrann@gmail.com</v>
      </c>
      <c r="O90" s="29">
        <v>45959.0</v>
      </c>
      <c r="P90" s="28" t="s">
        <v>5582</v>
      </c>
      <c r="Q90" s="28" t="s">
        <v>5586</v>
      </c>
      <c r="R90" s="28" t="s">
        <v>5712</v>
      </c>
      <c r="S90" s="28" t="s">
        <v>5713</v>
      </c>
      <c r="T90" s="28" t="s">
        <v>5585</v>
      </c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</row>
    <row r="91" ht="14.25" customHeight="1">
      <c r="A91" s="28">
        <v>1.7204236E7</v>
      </c>
      <c r="B91" s="24" t="str">
        <f>VLOOKUP(A91,BBDD!$1:$1048653,2,0)</f>
        <v>17.204.236-8</v>
      </c>
      <c r="C91" s="25" t="str">
        <f>VLOOKUP(A91,BBDD!$1:$1048653,7,0)</f>
        <v>Sanchez Torres Lorena Del Carmen</v>
      </c>
      <c r="D91" s="24" t="str">
        <f>VLOOKUP(A91,BBDD!$1:$1048653,8,0)</f>
        <v>Operario Apoyo Elaboracion</v>
      </c>
      <c r="E91" s="24" t="str">
        <f>VLOOKUP(A91,BBDD!$1:$1048653,10,0)</f>
        <v>Gerencia Producción Pesca</v>
      </c>
      <c r="F91" s="24" t="str">
        <f>VLOOKUP(A91,BBDD!$1:$1048653,11,0)</f>
        <v>Plazo fijo</v>
      </c>
      <c r="G91" s="24" t="str">
        <f>VLOOKUP(A91,BBDD!$1:$1048653,13,0)</f>
        <v>Coronel Rol Eventual</v>
      </c>
      <c r="H91" s="24" t="str">
        <f>VLOOKUP(A91,BBDD!$1:$1048653,14,0)</f>
        <v>Gerencia Corp. Negocio Seafood</v>
      </c>
      <c r="I91" s="24" t="str">
        <f>VLOOKUP(A91,BBDD!$1:$1048653,16,0)</f>
        <v>Temporada (Con ocasión Temporada de Pesca)</v>
      </c>
      <c r="J91" s="24" t="str">
        <f>VLOOKUP(A91,BBDD!$1:$1048653,17,0)</f>
        <v/>
      </c>
      <c r="K91" s="26">
        <f>VLOOKUP(A91,BBDD!$1:$1048653,12,0)</f>
        <v>45931</v>
      </c>
      <c r="L91" s="26" t="str">
        <f>VLOOKUP(A91,BBDD!$1:$1048653,3,0)</f>
        <v>Orizon S.A</v>
      </c>
      <c r="M91" s="26" t="str">
        <f>VLOOKUP(A91,BBDD!$1:$1048653,4,0)</f>
        <v>F3</v>
      </c>
      <c r="N91" s="26" t="str">
        <f>VLOOKUP(A91,BBDD!$1:$1048653,5,0)</f>
        <v>sanchez288210@gmail.com</v>
      </c>
      <c r="O91" s="29">
        <v>45959.0</v>
      </c>
      <c r="P91" s="28" t="s">
        <v>5582</v>
      </c>
      <c r="Q91" s="28" t="s">
        <v>5606</v>
      </c>
      <c r="R91" s="28" t="s">
        <v>5714</v>
      </c>
      <c r="S91" s="23"/>
      <c r="T91" s="28" t="s">
        <v>5585</v>
      </c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</row>
    <row r="92" ht="14.25" customHeight="1">
      <c r="A92" s="28">
        <v>1.0862869E7</v>
      </c>
      <c r="B92" s="24" t="str">
        <f>VLOOKUP(A92,BBDD!$1:$1048653,2,0)</f>
        <v>10.862.869-3</v>
      </c>
      <c r="C92" s="25" t="str">
        <f>VLOOKUP(A92,BBDD!$1:$1048653,7,0)</f>
        <v>Beltran Vega Hector Luis</v>
      </c>
      <c r="D92" s="24" t="str">
        <f>VLOOKUP(A92,BBDD!$1:$1048653,8,0)</f>
        <v>Operador Grua Horquilla</v>
      </c>
      <c r="E92" s="24" t="str">
        <f>VLOOKUP(A92,BBDD!$1:$1048653,10,0)</f>
        <v>Gerencia Producción Pesca</v>
      </c>
      <c r="F92" s="24" t="str">
        <f>VLOOKUP(A92,BBDD!$1:$1048653,11,0)</f>
        <v>Plazo fijo</v>
      </c>
      <c r="G92" s="24" t="str">
        <f>VLOOKUP(A92,BBDD!$1:$1048653,13,0)</f>
        <v>Coronel Rol Eventual</v>
      </c>
      <c r="H92" s="24" t="str">
        <f>VLOOKUP(A92,BBDD!$1:$1048653,14,0)</f>
        <v>Gerencia Corp. Negocio Seafood</v>
      </c>
      <c r="I92" s="24" t="str">
        <f>VLOOKUP(A92,BBDD!$1:$1048653,16,0)</f>
        <v>Temporada (Con ocasión Temporada de Pesca)</v>
      </c>
      <c r="J92" s="24" t="str">
        <f>VLOOKUP(A92,BBDD!$1:$1048653,17,0)</f>
        <v/>
      </c>
      <c r="K92" s="26">
        <f>VLOOKUP(A92,BBDD!$1:$1048653,12,0)</f>
        <v>45940</v>
      </c>
      <c r="L92" s="26" t="str">
        <f>VLOOKUP(A92,BBDD!$1:$1048653,3,0)</f>
        <v>Orizon S.A</v>
      </c>
      <c r="M92" s="26" t="str">
        <f>VLOOKUP(A92,BBDD!$1:$1048653,4,0)</f>
        <v>F4</v>
      </c>
      <c r="N92" s="26" t="str">
        <f>VLOOKUP(A92,BBDD!$1:$1048653,5,0)</f>
        <v>HECTOR.LUISBELTRAN1409@GMAIL.COM</v>
      </c>
      <c r="O92" s="29">
        <v>45960.0</v>
      </c>
      <c r="P92" s="28" t="s">
        <v>5582</v>
      </c>
      <c r="Q92" s="28" t="s">
        <v>5601</v>
      </c>
      <c r="R92" s="23"/>
      <c r="S92" s="28" t="s">
        <v>5715</v>
      </c>
      <c r="T92" s="28" t="s">
        <v>5616</v>
      </c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</row>
    <row r="93" ht="14.25" customHeight="1">
      <c r="A93" s="28">
        <v>1.8821604E7</v>
      </c>
      <c r="B93" s="24" t="str">
        <f>VLOOKUP(A93,BBDD!$1:$1048653,2,0)</f>
        <v>18.821.604-8</v>
      </c>
      <c r="C93" s="25" t="str">
        <f>VLOOKUP(A93,BBDD!$1:$1048653,7,0)</f>
        <v>Garrido Bustos Pedro Ignacio</v>
      </c>
      <c r="D93" s="24" t="str">
        <f>VLOOKUP(A93,BBDD!$1:$1048653,8,0)</f>
        <v>Operario Apoyo Elaboracion</v>
      </c>
      <c r="E93" s="24" t="str">
        <f>VLOOKUP(A93,BBDD!$1:$1048653,10,0)</f>
        <v>Gerencia Producción Pesca</v>
      </c>
      <c r="F93" s="24" t="str">
        <f>VLOOKUP(A93,BBDD!$1:$1048653,11,0)</f>
        <v>Plazo fijo</v>
      </c>
      <c r="G93" s="24" t="str">
        <f>VLOOKUP(A93,BBDD!$1:$1048653,13,0)</f>
        <v>Coronel Rol Eventual</v>
      </c>
      <c r="H93" s="24" t="str">
        <f>VLOOKUP(A93,BBDD!$1:$1048653,14,0)</f>
        <v>Gerencia Corp. Negocio Seafood</v>
      </c>
      <c r="I93" s="24" t="str">
        <f>VLOOKUP(A93,BBDD!$1:$1048653,16,0)</f>
        <v>Temporada (Con ocasión Temporada de Pesca)</v>
      </c>
      <c r="J93" s="24" t="str">
        <f>VLOOKUP(A93,BBDD!$1:$1048653,17,0)</f>
        <v/>
      </c>
      <c r="K93" s="26">
        <f>VLOOKUP(A93,BBDD!$1:$1048653,12,0)</f>
        <v>45941</v>
      </c>
      <c r="L93" s="26" t="str">
        <f>VLOOKUP(A93,BBDD!$1:$1048653,3,0)</f>
        <v>Orizon S.A</v>
      </c>
      <c r="M93" s="26" t="str">
        <f>VLOOKUP(A93,BBDD!$1:$1048653,4,0)</f>
        <v>F1</v>
      </c>
      <c r="N93" s="26" t="str">
        <f>VLOOKUP(A93,BBDD!$1:$1048653,5,0)</f>
        <v>pegarridoblizzard@gmail.com</v>
      </c>
      <c r="O93" s="29">
        <v>45960.0</v>
      </c>
      <c r="P93" s="28" t="s">
        <v>5582</v>
      </c>
      <c r="Q93" s="28" t="s">
        <v>5586</v>
      </c>
      <c r="R93" s="28" t="s">
        <v>5716</v>
      </c>
      <c r="S93" s="23"/>
      <c r="T93" s="28" t="s">
        <v>5585</v>
      </c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</row>
    <row r="94" ht="14.25" customHeight="1">
      <c r="A94" s="28">
        <v>1.4435836E7</v>
      </c>
      <c r="B94" s="24" t="str">
        <f>VLOOKUP(A94,BBDD!$1:$1048653,2,0)</f>
        <v>14.435.836-8</v>
      </c>
      <c r="C94" s="25" t="str">
        <f>VLOOKUP(A94,BBDD!$1:$1048653,7,0)</f>
        <v>Fuentealba Avendaño Luis Hernan</v>
      </c>
      <c r="D94" s="24" t="str">
        <f>VLOOKUP(A94,BBDD!$1:$1048653,8,0)</f>
        <v>Tripulante</v>
      </c>
      <c r="E94" s="24" t="str">
        <f>VLOOKUP(A94,BBDD!$1:$1048653,10,0)</f>
        <v>Gerencia de Flota y Abastecimiento de Materias Primas</v>
      </c>
      <c r="F94" s="24" t="str">
        <f>VLOOKUP(A94,BBDD!$1:$1048653,11,0)</f>
        <v>Indefinido</v>
      </c>
      <c r="G94" s="24" t="str">
        <f>VLOOKUP(A94,BBDD!$1:$1048653,13,0)</f>
        <v>Coronel Rol Flota</v>
      </c>
      <c r="H94" s="24" t="str">
        <f>VLOOKUP(A94,BBDD!$1:$1048653,14,0)</f>
        <v>Gerencia Corp. Negocio Seafood</v>
      </c>
      <c r="I94" s="24" t="str">
        <f>VLOOKUP(A94,BBDD!$1:$1048653,16,0)</f>
        <v>Rol General (Cargo permanente o proyección indefinido)</v>
      </c>
      <c r="J94" s="24" t="str">
        <f>VLOOKUP(A94,BBDD!$1:$1048653,17,0)</f>
        <v/>
      </c>
      <c r="K94" s="26">
        <f>VLOOKUP(A94,BBDD!$1:$1048653,12,0)</f>
        <v>44106</v>
      </c>
      <c r="L94" s="26" t="str">
        <f>VLOOKUP(A94,BBDD!$1:$1048653,3,0)</f>
        <v>Orizon S.A</v>
      </c>
      <c r="M94" s="26" t="str">
        <f>VLOOKUP(A94,BBDD!$1:$1048653,4,0)</f>
        <v>F1</v>
      </c>
      <c r="N94" s="26" t="str">
        <f>VLOOKUP(A94,BBDD!$1:$1048653,5,0)</f>
        <v>luisfuentealba266@gmail.com</v>
      </c>
      <c r="O94" s="29">
        <v>45960.0</v>
      </c>
      <c r="P94" s="28" t="s">
        <v>5582</v>
      </c>
      <c r="Q94" s="28" t="s">
        <v>5591</v>
      </c>
      <c r="R94" s="28" t="s">
        <v>5717</v>
      </c>
      <c r="S94" s="23"/>
      <c r="T94" s="28" t="s">
        <v>5616</v>
      </c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</row>
    <row r="95" ht="14.25" customHeight="1">
      <c r="A95" s="28">
        <v>9750485.0</v>
      </c>
      <c r="B95" s="24" t="str">
        <f>VLOOKUP(A95,BBDD!$1:$1048653,2,0)</f>
        <v>9.750.485-7</v>
      </c>
      <c r="C95" s="25" t="str">
        <f>VLOOKUP(A95,BBDD!$1:$1048653,7,0)</f>
        <v>Ramirez Parada Luis Raul</v>
      </c>
      <c r="D95" s="24" t="str">
        <f>VLOOKUP(A95,BBDD!$1:$1048653,8,0)</f>
        <v>Jefe Mantención Mecánica</v>
      </c>
      <c r="E95" s="24" t="str">
        <f>VLOOKUP(A95,BBDD!$1:$1048653,10,0)</f>
        <v>Departamento Ingeniería</v>
      </c>
      <c r="F95" s="24" t="str">
        <f>VLOOKUP(A95,BBDD!$1:$1048653,11,0)</f>
        <v>Indefinido</v>
      </c>
      <c r="G95" s="24" t="str">
        <f>VLOOKUP(A95,BBDD!$1:$1048653,13,0)</f>
        <v>Coronel Rol Tierra</v>
      </c>
      <c r="H95" s="24" t="str">
        <f>VLOOKUP(A95,BBDD!$1:$1048653,14,0)</f>
        <v>Gerencia Corp. Negocio Seafood</v>
      </c>
      <c r="I95" s="24" t="str">
        <f>VLOOKUP(A95,BBDD!$1:$1048653,16,0)</f>
        <v>Rol General (Cargo permanente o proyección indefinido)</v>
      </c>
      <c r="J95" s="24" t="str">
        <f>VLOOKUP(A95,BBDD!$1:$1048653,17,0)</f>
        <v/>
      </c>
      <c r="K95" s="26">
        <f>VLOOKUP(A95,BBDD!$1:$1048653,12,0)</f>
        <v>45264</v>
      </c>
      <c r="L95" s="26" t="str">
        <f>VLOOKUP(A95,BBDD!$1:$1048653,3,0)</f>
        <v>Orizon S.A</v>
      </c>
      <c r="M95" s="26" t="str">
        <f>VLOOKUP(A95,BBDD!$1:$1048653,4,0)</f>
        <v>F1</v>
      </c>
      <c r="N95" s="26" t="str">
        <f>VLOOKUP(A95,BBDD!$1:$1048653,5,0)</f>
        <v>luis.ramirez@orizon.cl</v>
      </c>
      <c r="O95" s="29">
        <v>45960.0</v>
      </c>
      <c r="P95" s="28" t="s">
        <v>5594</v>
      </c>
      <c r="Q95" s="28" t="s">
        <v>1323</v>
      </c>
      <c r="R95" s="28" t="s">
        <v>5718</v>
      </c>
      <c r="S95" s="28" t="s">
        <v>5719</v>
      </c>
      <c r="T95" s="28" t="s">
        <v>5616</v>
      </c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</row>
    <row r="96" ht="14.25" customHeight="1">
      <c r="A96" s="28">
        <v>1.9108626E7</v>
      </c>
      <c r="B96" s="24" t="str">
        <f>VLOOKUP(A96,BBDD!$1:$1048653,2,0)</f>
        <v>19.108.626-0</v>
      </c>
      <c r="C96" s="25" t="str">
        <f>VLOOKUP(A96,BBDD!$1:$1048653,7,0)</f>
        <v>Bustos Jara Ivette Angelica</v>
      </c>
      <c r="D96" s="24" t="str">
        <f>VLOOKUP(A96,BBDD!$1:$1048653,8,0)</f>
        <v>Encargado(A) Logistico Iii</v>
      </c>
      <c r="E96" s="24" t="str">
        <f>VLOOKUP(A96,BBDD!$1:$1048653,10,0)</f>
        <v>Gerencia Logistica</v>
      </c>
      <c r="F96" s="24" t="str">
        <f>VLOOKUP(A96,BBDD!$1:$1048653,11,0)</f>
        <v>Indefinido</v>
      </c>
      <c r="G96" s="24" t="str">
        <f>VLOOKUP(A96,BBDD!$1:$1048653,13,0)</f>
        <v>Coronel Rol Tierra</v>
      </c>
      <c r="H96" s="24" t="str">
        <f>VLOOKUP(A96,BBDD!$1:$1048653,14,0)</f>
        <v>Gerencia Corp. Supply Chain</v>
      </c>
      <c r="I96" s="24" t="str">
        <f>VLOOKUP(A96,BBDD!$1:$1048653,16,0)</f>
        <v>Rol General (Cargo permanente o proyección indefinido)</v>
      </c>
      <c r="J96" s="24" t="str">
        <f>VLOOKUP(A96,BBDD!$1:$1048653,17,0)</f>
        <v/>
      </c>
      <c r="K96" s="26">
        <f>VLOOKUP(A96,BBDD!$1:$1048653,12,0)</f>
        <v>44652</v>
      </c>
      <c r="L96" s="26" t="str">
        <f>VLOOKUP(A96,BBDD!$1:$1048653,3,0)</f>
        <v>Orizon S.A</v>
      </c>
      <c r="M96" s="26" t="str">
        <f>VLOOKUP(A96,BBDD!$1:$1048653,4,0)</f>
        <v>F1</v>
      </c>
      <c r="N96" s="26" t="str">
        <f>VLOOKUP(A96,BBDD!$1:$1048653,5,0)</f>
        <v>ivette.bustos@orizon.cl</v>
      </c>
      <c r="O96" s="29">
        <v>45960.0</v>
      </c>
      <c r="P96" s="28" t="s">
        <v>5594</v>
      </c>
      <c r="Q96" s="28" t="s">
        <v>5586</v>
      </c>
      <c r="R96" s="28" t="s">
        <v>5720</v>
      </c>
      <c r="S96" s="28" t="s">
        <v>5721</v>
      </c>
      <c r="T96" s="23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</row>
    <row r="97" ht="14.25" customHeight="1">
      <c r="A97" s="28">
        <v>2.141627E7</v>
      </c>
      <c r="B97" s="24" t="str">
        <f>VLOOKUP(A97,BBDD!$1:$1048653,2,0)</f>
        <v>21.416.270-9</v>
      </c>
      <c r="C97" s="25" t="str">
        <f>VLOOKUP(A97,BBDD!$1:$1048653,7,0)</f>
        <v>Soto Soto Sarai Monserrat</v>
      </c>
      <c r="D97" s="24" t="str">
        <f>VLOOKUP(A97,BBDD!$1:$1048653,8,0)</f>
        <v>Operario Apoyo Elaboracion</v>
      </c>
      <c r="E97" s="24" t="str">
        <f>VLOOKUP(A97,BBDD!$1:$1048653,10,0)</f>
        <v>Gerencia Producción Pesca</v>
      </c>
      <c r="F97" s="24" t="str">
        <f>VLOOKUP(A97,BBDD!$1:$1048653,11,0)</f>
        <v>Plazo fijo</v>
      </c>
      <c r="G97" s="24" t="str">
        <f>VLOOKUP(A97,BBDD!$1:$1048653,13,0)</f>
        <v>Coronel Rol Eventual</v>
      </c>
      <c r="H97" s="24" t="str">
        <f>VLOOKUP(A97,BBDD!$1:$1048653,14,0)</f>
        <v>Gerencia Corp. Negocio Seafood</v>
      </c>
      <c r="I97" s="24" t="str">
        <f>VLOOKUP(A97,BBDD!$1:$1048653,16,0)</f>
        <v>Temporada (Con ocasión Temporada de Pesca)</v>
      </c>
      <c r="J97" s="24" t="str">
        <f>VLOOKUP(A97,BBDD!$1:$1048653,17,0)</f>
        <v/>
      </c>
      <c r="K97" s="26">
        <f>VLOOKUP(A97,BBDD!$1:$1048653,12,0)</f>
        <v>45941</v>
      </c>
      <c r="L97" s="26" t="str">
        <f>VLOOKUP(A97,BBDD!$1:$1048653,3,0)</f>
        <v>Orizon S.A</v>
      </c>
      <c r="M97" s="26" t="str">
        <f>VLOOKUP(A97,BBDD!$1:$1048653,4,0)</f>
        <v>F1</v>
      </c>
      <c r="N97" s="26" t="str">
        <f>VLOOKUP(A97,BBDD!$1:$1048653,5,0)</f>
        <v>sarai.monse2003@gmail.com</v>
      </c>
      <c r="O97" s="29">
        <v>45960.0</v>
      </c>
      <c r="P97" s="28" t="s">
        <v>5582</v>
      </c>
      <c r="Q97" s="28" t="s">
        <v>5692</v>
      </c>
      <c r="R97" s="28" t="s">
        <v>5722</v>
      </c>
      <c r="S97" s="28" t="s">
        <v>5723</v>
      </c>
      <c r="T97" s="28" t="s">
        <v>5585</v>
      </c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</row>
    <row r="98" ht="14.25" customHeight="1">
      <c r="A98" s="28">
        <v>1.3132449E7</v>
      </c>
      <c r="B98" s="24" t="str">
        <f>VLOOKUP(A98,BBDD!$1:$1048653,2,0)</f>
        <v>13.132.449-9</v>
      </c>
      <c r="C98" s="25" t="str">
        <f>VLOOKUP(A98,BBDD!$1:$1048653,7,0)</f>
        <v>Alarcón Reyes Cesar Alexis</v>
      </c>
      <c r="D98" s="24" t="str">
        <f>VLOOKUP(A98,BBDD!$1:$1048653,8,0)</f>
        <v>Tripulante</v>
      </c>
      <c r="E98" s="24" t="str">
        <f>VLOOKUP(A98,BBDD!$1:$1048653,10,0)</f>
        <v>Gerencia de Flota y Abastecimiento de Materias Primas</v>
      </c>
      <c r="F98" s="24" t="str">
        <f>VLOOKUP(A98,BBDD!$1:$1048653,11,0)</f>
        <v>Indefinido</v>
      </c>
      <c r="G98" s="24" t="str">
        <f>VLOOKUP(A98,BBDD!$1:$1048653,13,0)</f>
        <v>Coronel Rol flota</v>
      </c>
      <c r="H98" s="24" t="str">
        <f>VLOOKUP(A98,BBDD!$1:$1048653,14,0)</f>
        <v>Gerencia Corp. Negocio Seafood</v>
      </c>
      <c r="I98" s="24" t="str">
        <f>VLOOKUP(A98,BBDD!$1:$1048653,16,0)</f>
        <v>Rol General (Cargo permanente o proyección indefinido)</v>
      </c>
      <c r="J98" s="24" t="str">
        <f>VLOOKUP(A98,BBDD!$1:$1048653,17,0)</f>
        <v/>
      </c>
      <c r="K98" s="26">
        <f>VLOOKUP(A98,BBDD!$1:$1048653,12,0)</f>
        <v>45570</v>
      </c>
      <c r="L98" s="26" t="str">
        <f>VLOOKUP(A98,BBDD!$1:$1048653,3,0)</f>
        <v>Orizon S.A</v>
      </c>
      <c r="M98" s="26" t="str">
        <f>VLOOKUP(A98,BBDD!$1:$1048653,4,0)</f>
        <v>F2</v>
      </c>
      <c r="N98" s="26" t="str">
        <f>VLOOKUP(A98,BBDD!$1:$1048653,5,0)</f>
        <v>alexalarcon2129@gmail.com</v>
      </c>
      <c r="O98" s="29">
        <v>45960.0</v>
      </c>
      <c r="P98" s="28" t="s">
        <v>5582</v>
      </c>
      <c r="Q98" s="28" t="s">
        <v>5597</v>
      </c>
      <c r="R98" s="28" t="s">
        <v>5724</v>
      </c>
      <c r="S98" s="28" t="s">
        <v>5725</v>
      </c>
      <c r="T98" s="28" t="s">
        <v>5616</v>
      </c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</row>
    <row r="99" ht="14.25" customHeight="1">
      <c r="A99" s="28">
        <v>1.5756187E7</v>
      </c>
      <c r="B99" s="24" t="str">
        <f>VLOOKUP(A99,BBDD!$1:$1048653,2,0)</f>
        <v>15756187-1</v>
      </c>
      <c r="C99" s="25" t="str">
        <f>VLOOKUP(A99,BBDD!$1:$1048653,7,0)</f>
        <v>Benavides Luna Rómulo</v>
      </c>
      <c r="D99" s="24" t="str">
        <f>VLOOKUP(A99,BBDD!$1:$1048653,8,0)</f>
        <v>MANTENEDOR MECÁNICO</v>
      </c>
      <c r="E99" s="24" t="str">
        <f>VLOOKUP(A99,BBDD!$1:$1048653,10,0)</f>
        <v>Mantención Plantas</v>
      </c>
      <c r="F99" s="24" t="str">
        <f>VLOOKUP(A99,BBDD!$1:$1048653,11,0)</f>
        <v>Plazo fijo</v>
      </c>
      <c r="G99" s="24" t="str">
        <f>VLOOKUP(A99,BBDD!$1:$1048653,13,0)</f>
        <v>EST</v>
      </c>
      <c r="H99" s="24" t="str">
        <f>VLOOKUP(A99,BBDD!$1:$1048653,14,0)</f>
        <v>Gerencia Corp. Seafood</v>
      </c>
      <c r="I99" s="24" t="str">
        <f>VLOOKUP(A99,BBDD!$1:$1048653,16,0)</f>
        <v/>
      </c>
      <c r="J99" s="24" t="str">
        <f>VLOOKUP(A99,BBDD!$1:$1048653,17,0)</f>
        <v/>
      </c>
      <c r="K99" s="26">
        <f>VLOOKUP(A99,BBDD!$1:$1048653,12,0)</f>
        <v>45870</v>
      </c>
      <c r="L99" s="26" t="str">
        <f>VLOOKUP(A99,BBDD!$1:$1048653,3,0)</f>
        <v>EST</v>
      </c>
      <c r="M99" s="26" t="str">
        <f>VLOOKUP(A99,BBDD!$1:$1048653,4,0)</f>
        <v>F1</v>
      </c>
      <c r="N99" s="26" t="str">
        <f>VLOOKUP(A99,BBDD!$1:$1048653,5,0)</f>
        <v/>
      </c>
      <c r="O99" s="29">
        <v>45959.0</v>
      </c>
      <c r="P99" s="28" t="s">
        <v>5582</v>
      </c>
      <c r="Q99" s="28" t="s">
        <v>5401</v>
      </c>
      <c r="R99" s="28" t="s">
        <v>5726</v>
      </c>
      <c r="S99" s="28" t="s">
        <v>5727</v>
      </c>
      <c r="T99" s="28" t="s">
        <v>5585</v>
      </c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</row>
    <row r="100" ht="14.25" customHeight="1">
      <c r="A100" s="28">
        <v>1.8137625E7</v>
      </c>
      <c r="B100" s="24" t="str">
        <f>VLOOKUP(A100,BBDD!$1:$1048653,2,0)</f>
        <v>18137625-2</v>
      </c>
      <c r="C100" s="25" t="str">
        <f>VLOOKUP(A100,BBDD!$1:$1048653,7,0)</f>
        <v>Herrera Carrasco Jean</v>
      </c>
      <c r="D100" s="24" t="str">
        <f>VLOOKUP(A100,BBDD!$1:$1048653,8,0)</f>
        <v>MANTENEDOR ELECTROCONTROL</v>
      </c>
      <c r="E100" s="24" t="str">
        <f>VLOOKUP(A100,BBDD!$1:$1048653,10,0)</f>
        <v>Mantención Eléctrica</v>
      </c>
      <c r="F100" s="24" t="str">
        <f>VLOOKUP(A100,BBDD!$1:$1048653,11,0)</f>
        <v>Plazo fijo</v>
      </c>
      <c r="G100" s="24" t="str">
        <f>VLOOKUP(A100,BBDD!$1:$1048653,13,0)</f>
        <v>EST</v>
      </c>
      <c r="H100" s="24" t="str">
        <f>VLOOKUP(A100,BBDD!$1:$1048653,14,0)</f>
        <v>Gerencia Corp. Seafood</v>
      </c>
      <c r="I100" s="24" t="str">
        <f>VLOOKUP(A100,BBDD!$1:$1048653,16,0)</f>
        <v/>
      </c>
      <c r="J100" s="24" t="str">
        <f>VLOOKUP(A100,BBDD!$1:$1048653,17,0)</f>
        <v/>
      </c>
      <c r="K100" s="26">
        <f>VLOOKUP(A100,BBDD!$1:$1048653,12,0)</f>
        <v>45873</v>
      </c>
      <c r="L100" s="26" t="str">
        <f>VLOOKUP(A100,BBDD!$1:$1048653,3,0)</f>
        <v>EST</v>
      </c>
      <c r="M100" s="26" t="str">
        <f>VLOOKUP(A100,BBDD!$1:$1048653,4,0)</f>
        <v>F1</v>
      </c>
      <c r="N100" s="26" t="str">
        <f>VLOOKUP(A100,BBDD!$1:$1048653,5,0)</f>
        <v/>
      </c>
      <c r="O100" s="29">
        <v>45959.0</v>
      </c>
      <c r="P100" s="28" t="s">
        <v>5582</v>
      </c>
      <c r="Q100" s="28" t="s">
        <v>5401</v>
      </c>
      <c r="R100" s="28" t="s">
        <v>5726</v>
      </c>
      <c r="S100" s="28" t="s">
        <v>5727</v>
      </c>
      <c r="T100" s="28" t="s">
        <v>5585</v>
      </c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</row>
    <row r="101" ht="14.25" customHeight="1">
      <c r="A101" s="28">
        <v>1.7573952E7</v>
      </c>
      <c r="B101" s="24" t="str">
        <f>VLOOKUP(A101,BBDD!$1:$1048653,2,0)</f>
        <v>17.573.952-1</v>
      </c>
      <c r="C101" s="25" t="str">
        <f>VLOOKUP(A101,BBDD!$1:$1048653,7,0)</f>
        <v>Vergara Saavedra Francisco Javier</v>
      </c>
      <c r="D101" s="24" t="str">
        <f>VLOOKUP(A101,BBDD!$1:$1048653,8,0)</f>
        <v>Tripulante</v>
      </c>
      <c r="E101" s="24" t="str">
        <f>VLOOKUP(A101,BBDD!$1:$1048653,10,0)</f>
        <v>Gerencia de Flota y Abastecimiento de Materias Primas</v>
      </c>
      <c r="F101" s="24" t="str">
        <f>VLOOKUP(A101,BBDD!$1:$1048653,11,0)</f>
        <v>Indefinido</v>
      </c>
      <c r="G101" s="24" t="str">
        <f>VLOOKUP(A101,BBDD!$1:$1048653,13,0)</f>
        <v>Coronel Rol Flota</v>
      </c>
      <c r="H101" s="24" t="str">
        <f>VLOOKUP(A101,BBDD!$1:$1048653,14,0)</f>
        <v>Gerencia Corp. Negocio Seafood</v>
      </c>
      <c r="I101" s="24" t="str">
        <f>VLOOKUP(A101,BBDD!$1:$1048653,16,0)</f>
        <v>Rol General (Cargo permanente o proyección indefinido)</v>
      </c>
      <c r="J101" s="24" t="str">
        <f>VLOOKUP(A101,BBDD!$1:$1048653,17,0)</f>
        <v/>
      </c>
      <c r="K101" s="26">
        <f>VLOOKUP(A101,BBDD!$1:$1048653,12,0)</f>
        <v>45618</v>
      </c>
      <c r="L101" s="26" t="str">
        <f>VLOOKUP(A101,BBDD!$1:$1048653,3,0)</f>
        <v>Orizon S.A</v>
      </c>
      <c r="M101" s="26" t="str">
        <f>VLOOKUP(A101,BBDD!$1:$1048653,4,0)</f>
        <v>F2</v>
      </c>
      <c r="N101" s="26" t="str">
        <f>VLOOKUP(A101,BBDD!$1:$1048653,5,0)</f>
        <v>franciscovergaraa1988@gmail.com</v>
      </c>
      <c r="O101" s="29">
        <v>45959.0</v>
      </c>
      <c r="P101" s="28" t="s">
        <v>5594</v>
      </c>
      <c r="Q101" s="28" t="s">
        <v>5591</v>
      </c>
      <c r="R101" s="28" t="s">
        <v>5728</v>
      </c>
      <c r="S101" s="28" t="s">
        <v>5729</v>
      </c>
      <c r="T101" s="28" t="s">
        <v>5585</v>
      </c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</row>
    <row r="102" ht="14.25" customHeight="1">
      <c r="A102" s="28">
        <v>5879555.0</v>
      </c>
      <c r="B102" s="24" t="str">
        <f>VLOOKUP(A102,BBDD!$1:$1048653,2,0)</f>
        <v>5.879.555-0</v>
      </c>
      <c r="C102" s="25" t="str">
        <f>VLOOKUP(A102,BBDD!$1:$1048653,7,0)</f>
        <v>Pereira Martinez Gaston Antonio</v>
      </c>
      <c r="D102" s="24" t="str">
        <f>VLOOKUP(A102,BBDD!$1:$1048653,8,0)</f>
        <v>Operario Apoyo Elaboracion</v>
      </c>
      <c r="E102" s="24" t="str">
        <f>VLOOKUP(A102,BBDD!$1:$1048653,10,0)</f>
        <v>Gerencia Producción Pesca</v>
      </c>
      <c r="F102" s="24" t="str">
        <f>VLOOKUP(A102,BBDD!$1:$1048653,11,0)</f>
        <v>Plazo fijo</v>
      </c>
      <c r="G102" s="24" t="str">
        <f>VLOOKUP(A102,BBDD!$1:$1048653,13,0)</f>
        <v>Coronel Rol Eventual</v>
      </c>
      <c r="H102" s="24" t="str">
        <f>VLOOKUP(A102,BBDD!$1:$1048653,14,0)</f>
        <v>Gerencia Corp. Negocio Seafood</v>
      </c>
      <c r="I102" s="24" t="str">
        <f>VLOOKUP(A102,BBDD!$1:$1048653,16,0)</f>
        <v>Temporada (Con ocasión Temporada de Pesca)</v>
      </c>
      <c r="J102" s="24" t="str">
        <f>VLOOKUP(A102,BBDD!$1:$1048653,17,0)</f>
        <v/>
      </c>
      <c r="K102" s="26">
        <f>VLOOKUP(A102,BBDD!$1:$1048653,12,0)</f>
        <v>45931</v>
      </c>
      <c r="L102" s="26" t="str">
        <f>VLOOKUP(A102,BBDD!$1:$1048653,3,0)</f>
        <v>Orizon S.A</v>
      </c>
      <c r="M102" s="26" t="str">
        <f>VLOOKUP(A102,BBDD!$1:$1048653,4,0)</f>
        <v>F3</v>
      </c>
      <c r="N102" s="26" t="str">
        <f>VLOOKUP(A102,BBDD!$1:$1048653,5,0)</f>
        <v>PEREIRAGASTON88@GMAIL.COM</v>
      </c>
      <c r="O102" s="29">
        <v>45959.0</v>
      </c>
      <c r="P102" s="28" t="s">
        <v>5582</v>
      </c>
      <c r="Q102" s="28" t="s">
        <v>5586</v>
      </c>
      <c r="R102" s="28" t="s">
        <v>5730</v>
      </c>
      <c r="S102" s="23"/>
      <c r="T102" s="28" t="s">
        <v>5585</v>
      </c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</row>
    <row r="103" ht="14.25" customHeight="1">
      <c r="A103" s="28">
        <v>1.7204236E7</v>
      </c>
      <c r="B103" s="24" t="str">
        <f>VLOOKUP(A103,BBDD!$1:$1048653,2,0)</f>
        <v>17.204.236-8</v>
      </c>
      <c r="C103" s="25" t="str">
        <f>VLOOKUP(A103,BBDD!$1:$1048653,7,0)</f>
        <v>Sanchez Torres Lorena Del Carmen</v>
      </c>
      <c r="D103" s="24" t="str">
        <f>VLOOKUP(A103,BBDD!$1:$1048653,8,0)</f>
        <v>Operario Apoyo Elaboracion</v>
      </c>
      <c r="E103" s="24" t="str">
        <f>VLOOKUP(A103,BBDD!$1:$1048653,10,0)</f>
        <v>Gerencia Producción Pesca</v>
      </c>
      <c r="F103" s="24" t="str">
        <f>VLOOKUP(A103,BBDD!$1:$1048653,11,0)</f>
        <v>Plazo fijo</v>
      </c>
      <c r="G103" s="24" t="str">
        <f>VLOOKUP(A103,BBDD!$1:$1048653,13,0)</f>
        <v>Coronel Rol Eventual</v>
      </c>
      <c r="H103" s="24" t="str">
        <f>VLOOKUP(A103,BBDD!$1:$1048653,14,0)</f>
        <v>Gerencia Corp. Negocio Seafood</v>
      </c>
      <c r="I103" s="24" t="str">
        <f>VLOOKUP(A103,BBDD!$1:$1048653,16,0)</f>
        <v>Temporada (Con ocasión Temporada de Pesca)</v>
      </c>
      <c r="J103" s="24" t="str">
        <f>VLOOKUP(A103,BBDD!$1:$1048653,17,0)</f>
        <v/>
      </c>
      <c r="K103" s="26">
        <f>VLOOKUP(A103,BBDD!$1:$1048653,12,0)</f>
        <v>45931</v>
      </c>
      <c r="L103" s="26" t="str">
        <f>VLOOKUP(A103,BBDD!$1:$1048653,3,0)</f>
        <v>Orizon S.A</v>
      </c>
      <c r="M103" s="26" t="str">
        <f>VLOOKUP(A103,BBDD!$1:$1048653,4,0)</f>
        <v>F3</v>
      </c>
      <c r="N103" s="26" t="str">
        <f>VLOOKUP(A103,BBDD!$1:$1048653,5,0)</f>
        <v>sanchez288210@gmail.com</v>
      </c>
      <c r="O103" s="29">
        <v>45959.0</v>
      </c>
      <c r="P103" s="28" t="s">
        <v>5582</v>
      </c>
      <c r="Q103" s="28" t="s">
        <v>5567</v>
      </c>
      <c r="R103" s="28" t="s">
        <v>5731</v>
      </c>
      <c r="S103" s="28" t="s">
        <v>5732</v>
      </c>
      <c r="T103" s="28" t="s">
        <v>5585</v>
      </c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</row>
    <row r="104" ht="14.25" customHeight="1">
      <c r="A104" s="28">
        <v>1.7608363E7</v>
      </c>
      <c r="B104" s="24" t="str">
        <f>VLOOKUP(A104,BBDD!$1:$1048653,2,0)</f>
        <v>17.608.363-8</v>
      </c>
      <c r="C104" s="25" t="str">
        <f>VLOOKUP(A104,BBDD!$1:$1048653,7,0)</f>
        <v>Diaz Diaz Andrea Del Carmen</v>
      </c>
      <c r="D104" s="24" t="str">
        <f>VLOOKUP(A104,BBDD!$1:$1048653,8,0)</f>
        <v>Operario Apoyo Elaboracion</v>
      </c>
      <c r="E104" s="24" t="str">
        <f>VLOOKUP(A104,BBDD!$1:$1048653,10,0)</f>
        <v>Gerencia Producción Pesca</v>
      </c>
      <c r="F104" s="24" t="str">
        <f>VLOOKUP(A104,BBDD!$1:$1048653,11,0)</f>
        <v>Plazo fijo</v>
      </c>
      <c r="G104" s="24" t="str">
        <f>VLOOKUP(A104,BBDD!$1:$1048653,13,0)</f>
        <v>Coronel Rol Eventual</v>
      </c>
      <c r="H104" s="24" t="str">
        <f>VLOOKUP(A104,BBDD!$1:$1048653,14,0)</f>
        <v>Gerencia Corp. Negocio Seafood</v>
      </c>
      <c r="I104" s="24" t="str">
        <f>VLOOKUP(A104,BBDD!$1:$1048653,16,0)</f>
        <v>Temporada (Con ocasión Temporada de Pesca)</v>
      </c>
      <c r="J104" s="24" t="str">
        <f>VLOOKUP(A104,BBDD!$1:$1048653,17,0)</f>
        <v/>
      </c>
      <c r="K104" s="26">
        <f>VLOOKUP(A104,BBDD!$1:$1048653,12,0)</f>
        <v>45938</v>
      </c>
      <c r="L104" s="26" t="str">
        <f>VLOOKUP(A104,BBDD!$1:$1048653,3,0)</f>
        <v>Orizon S.A</v>
      </c>
      <c r="M104" s="26" t="str">
        <f>VLOOKUP(A104,BBDD!$1:$1048653,4,0)</f>
        <v>F1</v>
      </c>
      <c r="N104" s="26" t="str">
        <f>VLOOKUP(A104,BBDD!$1:$1048653,5,0)</f>
        <v>andrea.diaz46@gmail.com</v>
      </c>
      <c r="O104" s="29">
        <v>45959.0</v>
      </c>
      <c r="P104" s="28" t="s">
        <v>5582</v>
      </c>
      <c r="Q104" s="28" t="s">
        <v>5567</v>
      </c>
      <c r="R104" s="28" t="s">
        <v>5731</v>
      </c>
      <c r="S104" s="28" t="s">
        <v>5732</v>
      </c>
      <c r="T104" s="28" t="s">
        <v>5585</v>
      </c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</row>
    <row r="105" ht="14.25" customHeight="1">
      <c r="A105" s="28">
        <v>1.0</v>
      </c>
      <c r="B105" s="24" t="str">
        <f>VLOOKUP(A105,BBDD!$1:$1048653,2,0)</f>
        <v>Usuario Externo</v>
      </c>
      <c r="C105" s="25" t="str">
        <f>VLOOKUP(A105,BBDD!$1:$1048653,7,0)</f>
        <v>Usuario Externo</v>
      </c>
      <c r="D105" s="24" t="str">
        <f>VLOOKUP(A105,BBDD!$1:$1048653,8,0)</f>
        <v>Usuario Externo</v>
      </c>
      <c r="E105" s="24" t="str">
        <f>VLOOKUP(A105,BBDD!$1:$1048653,10,0)</f>
        <v>Usuario Externo</v>
      </c>
      <c r="F105" s="24" t="str">
        <f>VLOOKUP(A105,BBDD!$1:$1048653,11,0)</f>
        <v>Usuario Externo</v>
      </c>
      <c r="G105" s="24" t="str">
        <f>VLOOKUP(A105,BBDD!$1:$1048653,13,0)</f>
        <v>Usuario Externo</v>
      </c>
      <c r="H105" s="24" t="str">
        <f>VLOOKUP(A105,BBDD!$1:$1048653,14,0)</f>
        <v>Usuario Externo</v>
      </c>
      <c r="I105" s="24" t="str">
        <f>VLOOKUP(A105,BBDD!$1:$1048653,16,0)</f>
        <v>Usuario Externo</v>
      </c>
      <c r="J105" s="24" t="str">
        <f>VLOOKUP(A105,BBDD!$1:$1048653,17,0)</f>
        <v/>
      </c>
      <c r="K105" s="26" t="str">
        <f>VLOOKUP(A105,BBDD!$1:$1048653,12,0)</f>
        <v>Usuario Externo</v>
      </c>
      <c r="L105" s="26" t="str">
        <f>VLOOKUP(A105,BBDD!$1:$1048653,3,0)</f>
        <v>Usuario Externo</v>
      </c>
      <c r="M105" s="26" t="str">
        <f>VLOOKUP(A105,BBDD!$1:$1048653,4,0)</f>
        <v>Usuario Externo</v>
      </c>
      <c r="N105" s="26" t="str">
        <f>VLOOKUP(A105,BBDD!$1:$1048653,5,0)</f>
        <v>Usuario Externo</v>
      </c>
      <c r="O105" s="29">
        <v>45960.0</v>
      </c>
      <c r="P105" s="28" t="s">
        <v>5575</v>
      </c>
      <c r="Q105" s="28" t="s">
        <v>5598</v>
      </c>
      <c r="R105" s="28" t="s">
        <v>5733</v>
      </c>
      <c r="S105" s="28" t="s">
        <v>5734</v>
      </c>
      <c r="T105" s="28" t="s">
        <v>5585</v>
      </c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</row>
    <row r="106" ht="14.25" customHeight="1">
      <c r="A106" s="28">
        <v>1.2531108E7</v>
      </c>
      <c r="B106" s="24" t="str">
        <f>VLOOKUP(A106,BBDD!$1:$1048653,2,0)</f>
        <v>12.531.108-3</v>
      </c>
      <c r="C106" s="25" t="str">
        <f>VLOOKUP(A106,BBDD!$1:$1048653,7,0)</f>
        <v>Monsalvez Portiño Elga Elcira</v>
      </c>
      <c r="D106" s="24" t="str">
        <f>VLOOKUP(A106,BBDD!$1:$1048653,8,0)</f>
        <v>Operario Apoyo Elaboracion</v>
      </c>
      <c r="E106" s="24" t="str">
        <f>VLOOKUP(A106,BBDD!$1:$1048653,10,0)</f>
        <v>Gerencia Producción Pesca</v>
      </c>
      <c r="F106" s="24" t="str">
        <f>VLOOKUP(A106,BBDD!$1:$1048653,11,0)</f>
        <v>Plazo fijo</v>
      </c>
      <c r="G106" s="24" t="str">
        <f>VLOOKUP(A106,BBDD!$1:$1048653,13,0)</f>
        <v>Coronel Rol Eventual</v>
      </c>
      <c r="H106" s="24" t="str">
        <f>VLOOKUP(A106,BBDD!$1:$1048653,14,0)</f>
        <v>Gerencia Corp. Negocio Seafood</v>
      </c>
      <c r="I106" s="24" t="str">
        <f>VLOOKUP(A106,BBDD!$1:$1048653,16,0)</f>
        <v>Temporada (Con ocasión Temporada de Pesca)</v>
      </c>
      <c r="J106" s="24" t="str">
        <f>VLOOKUP(A106,BBDD!$1:$1048653,17,0)</f>
        <v/>
      </c>
      <c r="K106" s="26">
        <f>VLOOKUP(A106,BBDD!$1:$1048653,12,0)</f>
        <v>45941</v>
      </c>
      <c r="L106" s="26" t="str">
        <f>VLOOKUP(A106,BBDD!$1:$1048653,3,0)</f>
        <v>Orizon S.A</v>
      </c>
      <c r="M106" s="26" t="str">
        <f>VLOOKUP(A106,BBDD!$1:$1048653,4,0)</f>
        <v>F1</v>
      </c>
      <c r="N106" s="26" t="str">
        <f>VLOOKUP(A106,BBDD!$1:$1048653,5,0)</f>
        <v>elgamonsalvez1@gmail.com</v>
      </c>
      <c r="O106" s="29">
        <v>45960.0</v>
      </c>
      <c r="P106" s="28" t="s">
        <v>5582</v>
      </c>
      <c r="Q106" s="28" t="s">
        <v>1323</v>
      </c>
      <c r="R106" s="28" t="s">
        <v>5735</v>
      </c>
      <c r="S106" s="23"/>
      <c r="T106" s="28" t="s">
        <v>5585</v>
      </c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</row>
    <row r="107" ht="14.25" customHeight="1">
      <c r="A107" s="28">
        <v>1.6009687E7</v>
      </c>
      <c r="B107" s="24" t="str">
        <f>VLOOKUP(A107,BBDD!$1:$1048653,2,0)</f>
        <v>16.009.687-k</v>
      </c>
      <c r="C107" s="25" t="str">
        <f>VLOOKUP(A107,BBDD!$1:$1048653,7,0)</f>
        <v>Muñoz Muñoz Viviana Elizabeth</v>
      </c>
      <c r="D107" s="24" t="str">
        <f>VLOOKUP(A107,BBDD!$1:$1048653,8,0)</f>
        <v>Operario Apoyo Elaboracion</v>
      </c>
      <c r="E107" s="24" t="str">
        <f>VLOOKUP(A107,BBDD!$1:$1048653,10,0)</f>
        <v>Gerencia Producción Pesca</v>
      </c>
      <c r="F107" s="24" t="str">
        <f>VLOOKUP(A107,BBDD!$1:$1048653,11,0)</f>
        <v>Plazo fijo</v>
      </c>
      <c r="G107" s="24" t="str">
        <f>VLOOKUP(A107,BBDD!$1:$1048653,13,0)</f>
        <v>Coronel Rol Eventual</v>
      </c>
      <c r="H107" s="24" t="str">
        <f>VLOOKUP(A107,BBDD!$1:$1048653,14,0)</f>
        <v>Gerencia Corp. Negocio Seafood</v>
      </c>
      <c r="I107" s="24" t="str">
        <f>VLOOKUP(A107,BBDD!$1:$1048653,16,0)</f>
        <v>Temporada (Con ocasión Temporada de Pesca)</v>
      </c>
      <c r="J107" s="24" t="str">
        <f>VLOOKUP(A107,BBDD!$1:$1048653,17,0)</f>
        <v/>
      </c>
      <c r="K107" s="26">
        <f>VLOOKUP(A107,BBDD!$1:$1048653,12,0)</f>
        <v>45942</v>
      </c>
      <c r="L107" s="26" t="str">
        <f>VLOOKUP(A107,BBDD!$1:$1048653,3,0)</f>
        <v>Orizon S.A</v>
      </c>
      <c r="M107" s="26" t="str">
        <f>VLOOKUP(A107,BBDD!$1:$1048653,4,0)</f>
        <v>F3</v>
      </c>
      <c r="N107" s="26" t="str">
        <f>VLOOKUP(A107,BBDD!$1:$1048653,5,0)</f>
        <v>x.abrazame@hotmail.com</v>
      </c>
      <c r="O107" s="29">
        <v>45960.0</v>
      </c>
      <c r="P107" s="28" t="s">
        <v>5582</v>
      </c>
      <c r="Q107" s="28" t="s">
        <v>5591</v>
      </c>
      <c r="R107" s="28" t="s">
        <v>5736</v>
      </c>
      <c r="S107" s="28" t="s">
        <v>5737</v>
      </c>
      <c r="T107" s="28" t="s">
        <v>5616</v>
      </c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</row>
    <row r="108" ht="14.25" customHeight="1">
      <c r="A108" s="28">
        <v>1.5193188E7</v>
      </c>
      <c r="B108" s="24" t="str">
        <f>VLOOKUP(A108,BBDD!$1:$1048653,2,0)</f>
        <v>15.193.188-k</v>
      </c>
      <c r="C108" s="25" t="str">
        <f>VLOOKUP(A108,BBDD!$1:$1048653,7,0)</f>
        <v>Cabezas Vega Elizabeth Esther</v>
      </c>
      <c r="D108" s="24" t="str">
        <f>VLOOKUP(A108,BBDD!$1:$1048653,8,0)</f>
        <v>Operario Apoyo Elaboracion</v>
      </c>
      <c r="E108" s="24" t="str">
        <f>VLOOKUP(A108,BBDD!$1:$1048653,10,0)</f>
        <v>Gerencia Producción Pesca</v>
      </c>
      <c r="F108" s="24" t="str">
        <f>VLOOKUP(A108,BBDD!$1:$1048653,11,0)</f>
        <v>Plazo fijo</v>
      </c>
      <c r="G108" s="24" t="str">
        <f>VLOOKUP(A108,BBDD!$1:$1048653,13,0)</f>
        <v>Coronel Rol Eventual</v>
      </c>
      <c r="H108" s="24" t="str">
        <f>VLOOKUP(A108,BBDD!$1:$1048653,14,0)</f>
        <v>Gerencia Corp. Negocio Seafood</v>
      </c>
      <c r="I108" s="24" t="str">
        <f>VLOOKUP(A108,BBDD!$1:$1048653,16,0)</f>
        <v>Temporada (Con ocasión Temporada de Pesca)</v>
      </c>
      <c r="J108" s="24" t="str">
        <f>VLOOKUP(A108,BBDD!$1:$1048653,17,0)</f>
        <v/>
      </c>
      <c r="K108" s="26">
        <f>VLOOKUP(A108,BBDD!$1:$1048653,12,0)</f>
        <v>45931</v>
      </c>
      <c r="L108" s="26" t="str">
        <f>VLOOKUP(A108,BBDD!$1:$1048653,3,0)</f>
        <v>Orizon S.A</v>
      </c>
      <c r="M108" s="26" t="str">
        <f>VLOOKUP(A108,BBDD!$1:$1048653,4,0)</f>
        <v>F4</v>
      </c>
      <c r="N108" s="26" t="str">
        <f>VLOOKUP(A108,BBDD!$1:$1048653,5,0)</f>
        <v>eliesther2000@gmail.com</v>
      </c>
      <c r="O108" s="29">
        <v>45960.0</v>
      </c>
      <c r="P108" s="28" t="s">
        <v>5582</v>
      </c>
      <c r="Q108" s="28" t="s">
        <v>1323</v>
      </c>
      <c r="R108" s="28" t="s">
        <v>5738</v>
      </c>
      <c r="S108" s="28" t="s">
        <v>5739</v>
      </c>
      <c r="T108" s="28" t="s">
        <v>5616</v>
      </c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</row>
    <row r="109" ht="14.25" customHeight="1">
      <c r="A109" s="28">
        <v>1.3513483E7</v>
      </c>
      <c r="B109" s="24" t="str">
        <f>VLOOKUP(A109,BBDD!$1:$1048653,2,0)</f>
        <v>13.513.483-k</v>
      </c>
      <c r="C109" s="25" t="str">
        <f>VLOOKUP(A109,BBDD!$1:$1048653,7,0)</f>
        <v>Hidalgo Flores Jose Carlos</v>
      </c>
      <c r="D109" s="24" t="str">
        <f>VLOOKUP(A109,BBDD!$1:$1048653,8,0)</f>
        <v>Encargado(A) Planta Riles Y Agua Mar</v>
      </c>
      <c r="E109" s="24" t="str">
        <f>VLOOKUP(A109,BBDD!$1:$1048653,10,0)</f>
        <v>Departamento Ingeniería</v>
      </c>
      <c r="F109" s="24" t="str">
        <f>VLOOKUP(A109,BBDD!$1:$1048653,11,0)</f>
        <v>Indefinido</v>
      </c>
      <c r="G109" s="24" t="str">
        <f>VLOOKUP(A109,BBDD!$1:$1048653,13,0)</f>
        <v>Coronel Rol Tierra</v>
      </c>
      <c r="H109" s="24" t="str">
        <f>VLOOKUP(A109,BBDD!$1:$1048653,14,0)</f>
        <v>Gerencia Corp. Negocio Seafood</v>
      </c>
      <c r="I109" s="24" t="str">
        <f>VLOOKUP(A109,BBDD!$1:$1048653,16,0)</f>
        <v>Rol General (Cargo permanente o proyección indefinido)</v>
      </c>
      <c r="J109" s="24" t="str">
        <f>VLOOKUP(A109,BBDD!$1:$1048653,17,0)</f>
        <v/>
      </c>
      <c r="K109" s="26">
        <f>VLOOKUP(A109,BBDD!$1:$1048653,12,0)</f>
        <v>43586</v>
      </c>
      <c r="L109" s="26" t="str">
        <f>VLOOKUP(A109,BBDD!$1:$1048653,3,0)</f>
        <v>Orizon S.A</v>
      </c>
      <c r="M109" s="26" t="str">
        <f>VLOOKUP(A109,BBDD!$1:$1048653,4,0)</f>
        <v>F1</v>
      </c>
      <c r="N109" s="26" t="str">
        <f>VLOOKUP(A109,BBDD!$1:$1048653,5,0)</f>
        <v>jose.hidalgo@orizon.cl</v>
      </c>
      <c r="O109" s="29">
        <v>45960.0</v>
      </c>
      <c r="P109" s="28" t="s">
        <v>5582</v>
      </c>
      <c r="Q109" s="28" t="s">
        <v>5601</v>
      </c>
      <c r="R109" s="28" t="s">
        <v>5740</v>
      </c>
      <c r="S109" s="28" t="s">
        <v>5741</v>
      </c>
      <c r="T109" s="28" t="s">
        <v>5616</v>
      </c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</row>
    <row r="110" ht="14.25" customHeight="1">
      <c r="A110" s="28">
        <v>9466724.0</v>
      </c>
      <c r="B110" s="24" t="str">
        <f>VLOOKUP(A110,BBDD!$1:$1048653,2,0)</f>
        <v>9.466.724-0</v>
      </c>
      <c r="C110" s="25" t="str">
        <f>VLOOKUP(A110,BBDD!$1:$1048653,7,0)</f>
        <v>Alarcon Cariaga Jose Hernan</v>
      </c>
      <c r="D110" s="24" t="str">
        <f>VLOOKUP(A110,BBDD!$1:$1048653,8,0)</f>
        <v>Operador Elaboracion Php</v>
      </c>
      <c r="E110" s="24" t="str">
        <f>VLOOKUP(A110,BBDD!$1:$1048653,10,0)</f>
        <v>Gerencia Producción Pesca</v>
      </c>
      <c r="F110" s="24" t="str">
        <f>VLOOKUP(A110,BBDD!$1:$1048653,11,0)</f>
        <v>Indefinido</v>
      </c>
      <c r="G110" s="24" t="str">
        <f>VLOOKUP(A110,BBDD!$1:$1048653,13,0)</f>
        <v>Coronel Rol Tierra</v>
      </c>
      <c r="H110" s="24" t="str">
        <f>VLOOKUP(A110,BBDD!$1:$1048653,14,0)</f>
        <v>Gerencia Corp. Negocio Seafood</v>
      </c>
      <c r="I110" s="24" t="str">
        <f>VLOOKUP(A110,BBDD!$1:$1048653,16,0)</f>
        <v>Rol General (Cargo permanente o proyección indefinido)</v>
      </c>
      <c r="J110" s="24" t="str">
        <f>VLOOKUP(A110,BBDD!$1:$1048653,17,0)</f>
        <v/>
      </c>
      <c r="K110" s="26">
        <f>VLOOKUP(A110,BBDD!$1:$1048653,12,0)</f>
        <v>40513</v>
      </c>
      <c r="L110" s="26" t="str">
        <f>VLOOKUP(A110,BBDD!$1:$1048653,3,0)</f>
        <v>Orizon S.A</v>
      </c>
      <c r="M110" s="26" t="str">
        <f>VLOOKUP(A110,BBDD!$1:$1048653,4,0)</f>
        <v>F1</v>
      </c>
      <c r="N110" s="26" t="str">
        <f>VLOOKUP(A110,BBDD!$1:$1048653,5,0)</f>
        <v>josehernanalarcon285@gmail.com</v>
      </c>
      <c r="O110" s="29">
        <v>45960.0</v>
      </c>
      <c r="P110" s="28" t="s">
        <v>5582</v>
      </c>
      <c r="Q110" s="28" t="s">
        <v>5597</v>
      </c>
      <c r="R110" s="28" t="s">
        <v>5742</v>
      </c>
      <c r="S110" s="28" t="s">
        <v>5743</v>
      </c>
      <c r="T110" s="28" t="s">
        <v>5616</v>
      </c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</row>
    <row r="111" ht="14.25" customHeight="1">
      <c r="A111" s="28">
        <v>1.0</v>
      </c>
      <c r="B111" s="24" t="str">
        <f>VLOOKUP(A111,BBDD!$1:$1048653,2,0)</f>
        <v>Usuario Externo</v>
      </c>
      <c r="C111" s="25" t="str">
        <f>VLOOKUP(A111,BBDD!$1:$1048653,7,0)</f>
        <v>Usuario Externo</v>
      </c>
      <c r="D111" s="24" t="str">
        <f>VLOOKUP(A111,BBDD!$1:$1048653,8,0)</f>
        <v>Usuario Externo</v>
      </c>
      <c r="E111" s="24" t="str">
        <f>VLOOKUP(A111,BBDD!$1:$1048653,10,0)</f>
        <v>Usuario Externo</v>
      </c>
      <c r="F111" s="24" t="str">
        <f>VLOOKUP(A111,BBDD!$1:$1048653,11,0)</f>
        <v>Usuario Externo</v>
      </c>
      <c r="G111" s="24" t="str">
        <f>VLOOKUP(A111,BBDD!$1:$1048653,13,0)</f>
        <v>Usuario Externo</v>
      </c>
      <c r="H111" s="24" t="str">
        <f>VLOOKUP(A111,BBDD!$1:$1048653,14,0)</f>
        <v>Usuario Externo</v>
      </c>
      <c r="I111" s="24" t="str">
        <f>VLOOKUP(A111,BBDD!$1:$1048653,16,0)</f>
        <v>Usuario Externo</v>
      </c>
      <c r="J111" s="24" t="str">
        <f>VLOOKUP(A111,BBDD!$1:$1048653,17,0)</f>
        <v/>
      </c>
      <c r="K111" s="26" t="str">
        <f>VLOOKUP(A111,BBDD!$1:$1048653,12,0)</f>
        <v>Usuario Externo</v>
      </c>
      <c r="L111" s="26" t="str">
        <f>VLOOKUP(A111,BBDD!$1:$1048653,3,0)</f>
        <v>Usuario Externo</v>
      </c>
      <c r="M111" s="26" t="str">
        <f>VLOOKUP(A111,BBDD!$1:$1048653,4,0)</f>
        <v>Usuario Externo</v>
      </c>
      <c r="N111" s="26" t="str">
        <f>VLOOKUP(A111,BBDD!$1:$1048653,5,0)</f>
        <v>Usuario Externo</v>
      </c>
      <c r="O111" s="29">
        <v>45960.0</v>
      </c>
      <c r="P111" s="28" t="s">
        <v>5594</v>
      </c>
      <c r="Q111" s="28" t="s">
        <v>5603</v>
      </c>
      <c r="R111" s="28" t="s">
        <v>5744</v>
      </c>
      <c r="S111" s="28" t="s">
        <v>5745</v>
      </c>
      <c r="T111" s="28" t="s">
        <v>5585</v>
      </c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</row>
    <row r="112" ht="14.25" customHeight="1">
      <c r="A112" s="28">
        <v>1.862641E7</v>
      </c>
      <c r="B112" s="24" t="str">
        <f>VLOOKUP(A112,BBDD!$1:$1048653,2,0)</f>
        <v>18.626.410-k</v>
      </c>
      <c r="C112" s="25" t="str">
        <f>VLOOKUP(A112,BBDD!$1:$1048653,7,0)</f>
        <v>Albornoz Sepulveda Elizabeth Andrea</v>
      </c>
      <c r="D112" s="24" t="str">
        <f>VLOOKUP(A112,BBDD!$1:$1048653,8,0)</f>
        <v>Operario Apoyo Elaboracion</v>
      </c>
      <c r="E112" s="24" t="str">
        <f>VLOOKUP(A112,BBDD!$1:$1048653,10,0)</f>
        <v>Gerencia Producción Pesca</v>
      </c>
      <c r="F112" s="24" t="str">
        <f>VLOOKUP(A112,BBDD!$1:$1048653,11,0)</f>
        <v>Obra</v>
      </c>
      <c r="G112" s="24" t="str">
        <f>VLOOKUP(A112,BBDD!$1:$1048653,13,0)</f>
        <v>Coronel Rol Eventual</v>
      </c>
      <c r="H112" s="24" t="str">
        <f>VLOOKUP(A112,BBDD!$1:$1048653,14,0)</f>
        <v>Gerencia Corp. Negocio Seafood</v>
      </c>
      <c r="I112" s="24" t="str">
        <f>VLOOKUP(A112,BBDD!$1:$1048653,16,0)</f>
        <v>Temporada (Con ocasión Temporada de Pesca)</v>
      </c>
      <c r="J112" s="24" t="str">
        <f>VLOOKUP(A112,BBDD!$1:$1048653,17,0)</f>
        <v/>
      </c>
      <c r="K112" s="26">
        <f>VLOOKUP(A112,BBDD!$1:$1048653,12,0)</f>
        <v>45621</v>
      </c>
      <c r="L112" s="26" t="str">
        <f>VLOOKUP(A112,BBDD!$1:$1048653,3,0)</f>
        <v>Orizon S.A</v>
      </c>
      <c r="M112" s="26" t="str">
        <f>VLOOKUP(A112,BBDD!$1:$1048653,4,0)</f>
        <v>F3</v>
      </c>
      <c r="N112" s="26" t="str">
        <f>VLOOKUP(A112,BBDD!$1:$1048653,5,0)</f>
        <v>ALBORNOZELIZABETH24@GMAIL.COM</v>
      </c>
      <c r="O112" s="29">
        <v>45960.0</v>
      </c>
      <c r="P112" s="28" t="s">
        <v>5575</v>
      </c>
      <c r="Q112" s="28" t="s">
        <v>5586</v>
      </c>
      <c r="R112" s="28" t="s">
        <v>5746</v>
      </c>
      <c r="S112" s="28" t="s">
        <v>5747</v>
      </c>
      <c r="T112" s="28" t="s">
        <v>5585</v>
      </c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</row>
    <row r="113" ht="14.25" customHeight="1">
      <c r="A113" s="32">
        <v>1.9827439E7</v>
      </c>
      <c r="B113" s="33" t="str">
        <f>VLOOKUP(A113,BBDD!$1:$1048653,2,0)</f>
        <v>19.827.439-9</v>
      </c>
      <c r="C113" s="34" t="str">
        <f>VLOOKUP(A113,BBDD!$1:$1048653,7,0)</f>
        <v>Aburto Vasquez Constanza Andrea</v>
      </c>
      <c r="D113" s="33" t="str">
        <f>VLOOKUP(A113,BBDD!$1:$1048653,8,0)</f>
        <v>Asistente Operaciones Pt</v>
      </c>
      <c r="E113" s="33" t="str">
        <f>VLOOKUP(A113,BBDD!$1:$1048653,10,0)</f>
        <v>Gerencia Logistica</v>
      </c>
      <c r="F113" s="33" t="str">
        <f>VLOOKUP(A113,BBDD!$1:$1048653,11,0)</f>
        <v>Plazo fijo</v>
      </c>
      <c r="G113" s="33" t="str">
        <f>VLOOKUP(A113,BBDD!$1:$1048653,13,0)</f>
        <v>Coronel Rol Tierra</v>
      </c>
      <c r="H113" s="33" t="str">
        <f>VLOOKUP(A113,BBDD!$1:$1048653,14,0)</f>
        <v>Gerencia Corp. Supply Chain</v>
      </c>
      <c r="I113" s="33" t="str">
        <f>VLOOKUP(A113,BBDD!$1:$1048653,16,0)</f>
        <v>Temporada (Con ocasión Temporada de Pesca)</v>
      </c>
      <c r="J113" s="33" t="str">
        <f>VLOOKUP(A113,BBDD!$1:$1048653,17,0)</f>
        <v/>
      </c>
      <c r="K113" s="35">
        <f>VLOOKUP(A113,BBDD!$1:$1048653,12,0)</f>
        <v>45936</v>
      </c>
      <c r="L113" s="35" t="str">
        <f>VLOOKUP(A113,BBDD!$1:$1048653,3,0)</f>
        <v>Orizon S.A</v>
      </c>
      <c r="M113" s="35" t="str">
        <f>VLOOKUP(A113,BBDD!$1:$1048653,4,0)</f>
        <v>F1</v>
      </c>
      <c r="N113" s="35" t="str">
        <f>VLOOKUP(A113,BBDD!$1:$1048653,5,0)</f>
        <v>constanza.aburto.0303@gmail.com</v>
      </c>
      <c r="O113" s="36">
        <v>45960.0</v>
      </c>
      <c r="P113" s="32" t="s">
        <v>5582</v>
      </c>
      <c r="Q113" s="32" t="s">
        <v>5597</v>
      </c>
      <c r="R113" s="32" t="s">
        <v>5748</v>
      </c>
      <c r="S113" s="37"/>
      <c r="T113" s="32" t="s">
        <v>5585</v>
      </c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</row>
    <row r="114" ht="14.25" customHeight="1">
      <c r="A114" s="32">
        <v>1.060303E7</v>
      </c>
      <c r="B114" s="33" t="str">
        <f>VLOOKUP(A114,BBDD!$1:$1048653,2,0)</f>
        <v>10.603.030-8</v>
      </c>
      <c r="C114" s="34" t="str">
        <f>VLOOKUP(A114,BBDD!$1:$1048653,7,0)</f>
        <v>Sanhueza Yevenes Jacqueline De Las Mercedes</v>
      </c>
      <c r="D114" s="33" t="str">
        <f>VLOOKUP(A114,BBDD!$1:$1048653,8,0)</f>
        <v>Operario Apoyo Elaboracion</v>
      </c>
      <c r="E114" s="33" t="str">
        <f>VLOOKUP(A114,BBDD!$1:$1048653,10,0)</f>
        <v>Gerencia Producción Pesca</v>
      </c>
      <c r="F114" s="33" t="str">
        <f>VLOOKUP(A114,BBDD!$1:$1048653,11,0)</f>
        <v>Plazo fijo</v>
      </c>
      <c r="G114" s="33" t="str">
        <f>VLOOKUP(A114,BBDD!$1:$1048653,13,0)</f>
        <v>Coronel Rol Eventual</v>
      </c>
      <c r="H114" s="33" t="str">
        <f>VLOOKUP(A114,BBDD!$1:$1048653,14,0)</f>
        <v>Gerencia Corp. Negocio Seafood</v>
      </c>
      <c r="I114" s="33" t="str">
        <f>VLOOKUP(A114,BBDD!$1:$1048653,16,0)</f>
        <v>Temporada (Con ocasión Temporada de Pesca)</v>
      </c>
      <c r="J114" s="33" t="str">
        <f>VLOOKUP(A114,BBDD!$1:$1048653,17,0)</f>
        <v/>
      </c>
      <c r="K114" s="35">
        <f>VLOOKUP(A114,BBDD!$1:$1048653,12,0)</f>
        <v>45931</v>
      </c>
      <c r="L114" s="35" t="str">
        <f>VLOOKUP(A114,BBDD!$1:$1048653,3,0)</f>
        <v>Orizon S.A</v>
      </c>
      <c r="M114" s="35" t="str">
        <f>VLOOKUP(A114,BBDD!$1:$1048653,4,0)</f>
        <v>F5</v>
      </c>
      <c r="N114" s="35" t="str">
        <f>VLOOKUP(A114,BBDD!$1:$1048653,5,0)</f>
        <v>sanhuezayevenes68@gmail.com</v>
      </c>
      <c r="O114" s="36">
        <v>45960.0</v>
      </c>
      <c r="P114" s="32" t="s">
        <v>5582</v>
      </c>
      <c r="Q114" s="32" t="s">
        <v>5606</v>
      </c>
      <c r="R114" s="32" t="s">
        <v>5749</v>
      </c>
      <c r="S114" s="37"/>
      <c r="T114" s="32" t="s">
        <v>5585</v>
      </c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</row>
    <row r="115" ht="14.25" customHeight="1">
      <c r="A115" s="32">
        <v>1.6391758E7</v>
      </c>
      <c r="B115" s="33" t="str">
        <f>VLOOKUP(A115,BBDD!$1:$1048653,2,0)</f>
        <v>16.391.758-0</v>
      </c>
      <c r="C115" s="34" t="str">
        <f>VLOOKUP(A115,BBDD!$1:$1048653,7,0)</f>
        <v>Mella Medina Karen Andrea</v>
      </c>
      <c r="D115" s="33" t="str">
        <f>VLOOKUP(A115,BBDD!$1:$1048653,8,0)</f>
        <v>Operario Apoyo Elaboracion</v>
      </c>
      <c r="E115" s="33" t="str">
        <f>VLOOKUP(A115,BBDD!$1:$1048653,10,0)</f>
        <v>Gerencia Producción Pesca</v>
      </c>
      <c r="F115" s="33" t="str">
        <f>VLOOKUP(A115,BBDD!$1:$1048653,11,0)</f>
        <v>Plazo fijo</v>
      </c>
      <c r="G115" s="33" t="str">
        <f>VLOOKUP(A115,BBDD!$1:$1048653,13,0)</f>
        <v>Coronel Rol Eventual</v>
      </c>
      <c r="H115" s="33" t="str">
        <f>VLOOKUP(A115,BBDD!$1:$1048653,14,0)</f>
        <v>Gerencia Corp. Negocio Seafood</v>
      </c>
      <c r="I115" s="33" t="str">
        <f>VLOOKUP(A115,BBDD!$1:$1048653,16,0)</f>
        <v>Temporada (Con ocasión Temporada de Pesca)</v>
      </c>
      <c r="J115" s="33" t="str">
        <f>VLOOKUP(A115,BBDD!$1:$1048653,17,0)</f>
        <v/>
      </c>
      <c r="K115" s="35">
        <f>VLOOKUP(A115,BBDD!$1:$1048653,12,0)</f>
        <v>45938</v>
      </c>
      <c r="L115" s="35" t="str">
        <f>VLOOKUP(A115,BBDD!$1:$1048653,3,0)</f>
        <v>Orizon S.A</v>
      </c>
      <c r="M115" s="35" t="str">
        <f>VLOOKUP(A115,BBDD!$1:$1048653,4,0)</f>
        <v>F3</v>
      </c>
      <c r="N115" s="35" t="str">
        <f>VLOOKUP(A115,BBDD!$1:$1048653,5,0)</f>
        <v>mellakaren229@gmail.com</v>
      </c>
      <c r="O115" s="36">
        <v>45960.0</v>
      </c>
      <c r="P115" s="32" t="s">
        <v>5582</v>
      </c>
      <c r="Q115" s="32" t="s">
        <v>5606</v>
      </c>
      <c r="R115" s="32" t="s">
        <v>5750</v>
      </c>
      <c r="S115" s="37"/>
      <c r="T115" s="32" t="s">
        <v>5616</v>
      </c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</row>
    <row r="116" ht="14.25" customHeight="1">
      <c r="A116" s="32">
        <v>1.8137569E7</v>
      </c>
      <c r="B116" s="33" t="str">
        <f>VLOOKUP(A116,BBDD!$1:$1048653,2,0)</f>
        <v>18.137.569-8</v>
      </c>
      <c r="C116" s="34" t="str">
        <f>VLOOKUP(A116,BBDD!$1:$1048653,7,0)</f>
        <v>Hidalgo Mella Diego Alejandro</v>
      </c>
      <c r="D116" s="33" t="str">
        <f>VLOOKUP(A116,BBDD!$1:$1048653,8,0)</f>
        <v>Operador Grua Horquilla</v>
      </c>
      <c r="E116" s="33" t="str">
        <f>VLOOKUP(A116,BBDD!$1:$1048653,10,0)</f>
        <v>Gerencia Producción Pesca</v>
      </c>
      <c r="F116" s="33" t="str">
        <f>VLOOKUP(A116,BBDD!$1:$1048653,11,0)</f>
        <v>Plazo fijo</v>
      </c>
      <c r="G116" s="33" t="str">
        <f>VLOOKUP(A116,BBDD!$1:$1048653,13,0)</f>
        <v>Coronel Rol Eventual</v>
      </c>
      <c r="H116" s="33" t="str">
        <f>VLOOKUP(A116,BBDD!$1:$1048653,14,0)</f>
        <v>Gerencia Corp. Negocio Seafood</v>
      </c>
      <c r="I116" s="33" t="str">
        <f>VLOOKUP(A116,BBDD!$1:$1048653,16,0)</f>
        <v>Temporada (Con ocasión Temporada de Pesca)</v>
      </c>
      <c r="J116" s="33" t="str">
        <f>VLOOKUP(A116,BBDD!$1:$1048653,17,0)</f>
        <v/>
      </c>
      <c r="K116" s="35">
        <f>VLOOKUP(A116,BBDD!$1:$1048653,12,0)</f>
        <v>45943</v>
      </c>
      <c r="L116" s="35" t="str">
        <f>VLOOKUP(A116,BBDD!$1:$1048653,3,0)</f>
        <v>Orizon S.A</v>
      </c>
      <c r="M116" s="35" t="str">
        <f>VLOOKUP(A116,BBDD!$1:$1048653,4,0)</f>
        <v>F2</v>
      </c>
      <c r="N116" s="33" t="str">
        <f>VLOOKUP(A116,BBDD!$1:$1048653,5,0)</f>
        <v>DHIDALGOMELLA@GMAIL.COM</v>
      </c>
      <c r="O116" s="36">
        <v>45960.0</v>
      </c>
      <c r="P116" s="32" t="s">
        <v>5582</v>
      </c>
      <c r="Q116" s="32" t="s">
        <v>5606</v>
      </c>
      <c r="R116" s="32" t="s">
        <v>5750</v>
      </c>
      <c r="S116" s="37"/>
      <c r="T116" s="32" t="s">
        <v>5616</v>
      </c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</row>
    <row r="117" ht="14.25" customHeight="1">
      <c r="A117" s="32">
        <v>9279811.0</v>
      </c>
      <c r="B117" s="33" t="str">
        <f>VLOOKUP(A117,BBDD!$1:$1048653,2,0)</f>
        <v>9.279.811-9</v>
      </c>
      <c r="C117" s="34" t="str">
        <f>VLOOKUP(A117,BBDD!$1:$1048653,7,0)</f>
        <v>Guzman Gallardo Segundo Rene</v>
      </c>
      <c r="D117" s="33" t="str">
        <f>VLOOKUP(A117,BBDD!$1:$1048653,8,0)</f>
        <v>Operario Apoyo Elaboracion</v>
      </c>
      <c r="E117" s="33" t="str">
        <f>VLOOKUP(A117,BBDD!$1:$1048653,10,0)</f>
        <v>Gerencia Producción Pesca</v>
      </c>
      <c r="F117" s="33" t="str">
        <f>VLOOKUP(A117,BBDD!$1:$1048653,11,0)</f>
        <v>Plazo fijo</v>
      </c>
      <c r="G117" s="33" t="str">
        <f>VLOOKUP(A117,BBDD!$1:$1048653,13,0)</f>
        <v>Coronel Rol Eventual</v>
      </c>
      <c r="H117" s="33" t="str">
        <f>VLOOKUP(A117,BBDD!$1:$1048653,14,0)</f>
        <v>Gerencia Corp. Negocio Seafood</v>
      </c>
      <c r="I117" s="33" t="str">
        <f>VLOOKUP(A117,BBDD!$1:$1048653,16,0)</f>
        <v>Temporada (Con ocasión Temporada de Pesca)</v>
      </c>
      <c r="J117" s="33" t="str">
        <f>VLOOKUP(A117,BBDD!$1:$1048653,17,0)</f>
        <v/>
      </c>
      <c r="K117" s="35">
        <f>VLOOKUP(A117,BBDD!$1:$1048653,12,0)</f>
        <v>45941</v>
      </c>
      <c r="L117" s="35" t="str">
        <f>VLOOKUP(A117,BBDD!$1:$1048653,3,0)</f>
        <v>Orizon S.A</v>
      </c>
      <c r="M117" s="35" t="str">
        <f>VLOOKUP(A117,BBDD!$1:$1048653,4,0)</f>
        <v>F1</v>
      </c>
      <c r="N117" s="35" t="str">
        <f>VLOOKUP(A117,BBDD!$1:$1048653,5,0)</f>
        <v>reneguzman009@gmail.com</v>
      </c>
      <c r="O117" s="36">
        <v>45960.0</v>
      </c>
      <c r="P117" s="32" t="s">
        <v>5582</v>
      </c>
      <c r="Q117" s="32" t="s">
        <v>5597</v>
      </c>
      <c r="R117" s="37"/>
      <c r="S117" s="37"/>
      <c r="T117" s="32" t="s">
        <v>5585</v>
      </c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</row>
    <row r="118" ht="14.25" customHeight="1">
      <c r="A118" s="32">
        <v>1.7396116E7</v>
      </c>
      <c r="B118" s="33" t="str">
        <f>VLOOKUP(A118,BBDD!$1:$1048653,2,0)</f>
        <v>17.396.116-2</v>
      </c>
      <c r="C118" s="34" t="str">
        <f>VLOOKUP(A118,BBDD!$1:$1048653,7,0)</f>
        <v>Contreras Monsalves Solange Constanza</v>
      </c>
      <c r="D118" s="33" t="str">
        <f>VLOOKUP(A118,BBDD!$1:$1048653,8,0)</f>
        <v>Operario Apoyo Elaboracion</v>
      </c>
      <c r="E118" s="33" t="str">
        <f>VLOOKUP(A118,BBDD!$1:$1048653,10,0)</f>
        <v>Gerencia Producción Pesca</v>
      </c>
      <c r="F118" s="33" t="str">
        <f>VLOOKUP(A118,BBDD!$1:$1048653,11,0)</f>
        <v>Plazo fijo</v>
      </c>
      <c r="G118" s="33" t="str">
        <f>VLOOKUP(A118,BBDD!$1:$1048653,13,0)</f>
        <v>Coronel Rol Eventual</v>
      </c>
      <c r="H118" s="33" t="str">
        <f>VLOOKUP(A118,BBDD!$1:$1048653,14,0)</f>
        <v>Gerencia Corp. Negocio Seafood</v>
      </c>
      <c r="I118" s="33" t="str">
        <f>VLOOKUP(A118,BBDD!$1:$1048653,16,0)</f>
        <v>Temporada (Con ocasión Temporada de Pesca)</v>
      </c>
      <c r="J118" s="33" t="str">
        <f>VLOOKUP(A118,BBDD!$1:$1048653,17,0)</f>
        <v/>
      </c>
      <c r="K118" s="35">
        <f>VLOOKUP(A118,BBDD!$1:$1048653,12,0)</f>
        <v>45931</v>
      </c>
      <c r="L118" s="35" t="str">
        <f>VLOOKUP(A118,BBDD!$1:$1048653,3,0)</f>
        <v>Orizon S.A</v>
      </c>
      <c r="M118" s="35" t="str">
        <f>VLOOKUP(A118,BBDD!$1:$1048653,4,0)</f>
        <v>F6</v>
      </c>
      <c r="N118" s="35" t="str">
        <f>VLOOKUP(A118,BBDD!$1:$1048653,5,0)</f>
        <v>solange.constanza31@gmail.com</v>
      </c>
      <c r="O118" s="36">
        <v>45960.0</v>
      </c>
      <c r="P118" s="32" t="s">
        <v>5582</v>
      </c>
      <c r="Q118" s="32" t="s">
        <v>5606</v>
      </c>
      <c r="R118" s="32" t="s">
        <v>5751</v>
      </c>
      <c r="S118" s="32" t="s">
        <v>5752</v>
      </c>
      <c r="T118" s="32" t="s">
        <v>5585</v>
      </c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</row>
    <row r="119" ht="14.25" customHeight="1">
      <c r="A119" s="28">
        <v>1.8802638E7</v>
      </c>
      <c r="B119" s="33" t="str">
        <f>VLOOKUP(A119,BBDD!$1:$1048653,2,0)</f>
        <v>18.802.638-9</v>
      </c>
      <c r="C119" s="34" t="str">
        <f>VLOOKUP(A119,BBDD!$1:$1048653,7,0)</f>
        <v>Carrillo Manriquez Luis David</v>
      </c>
      <c r="D119" s="33" t="str">
        <f>VLOOKUP(A119,BBDD!$1:$1048653,8,0)</f>
        <v>Operario Apoyo Elaboracion</v>
      </c>
      <c r="E119" s="33" t="str">
        <f>VLOOKUP(A119,BBDD!$1:$1048653,10,0)</f>
        <v>Gerencia Producción Pesca</v>
      </c>
      <c r="F119" s="33" t="str">
        <f>VLOOKUP(A119,BBDD!$1:$1048653,11,0)</f>
        <v>Plazo fijo</v>
      </c>
      <c r="G119" s="33" t="str">
        <f>VLOOKUP(A119,BBDD!$1:$1048653,13,0)</f>
        <v>Coronel Rol Eventual</v>
      </c>
      <c r="H119" s="33" t="str">
        <f>VLOOKUP(A119,BBDD!$1:$1048653,14,0)</f>
        <v>Gerencia Corp. Negocio Seafood</v>
      </c>
      <c r="I119" s="33" t="str">
        <f>VLOOKUP(A119,BBDD!$1:$1048653,16,0)</f>
        <v>Temporada (Con ocasión Temporada de Pesca)</v>
      </c>
      <c r="J119" s="33" t="str">
        <f>VLOOKUP(A119,BBDD!$1:$1048653,17,0)</f>
        <v/>
      </c>
      <c r="K119" s="35">
        <f>VLOOKUP(A119,BBDD!$1:$1048653,12,0)</f>
        <v>45931</v>
      </c>
      <c r="L119" s="35" t="str">
        <f>VLOOKUP(A119,BBDD!$1:$1048653,3,0)</f>
        <v>Orizon S.A</v>
      </c>
      <c r="M119" s="35" t="str">
        <f>VLOOKUP(A119,BBDD!$1:$1048653,4,0)</f>
        <v>F5</v>
      </c>
      <c r="N119" s="35" t="str">
        <f>VLOOKUP(A119,BBDD!$1:$1048653,5,0)</f>
        <v>ludacm1495@gmail.com</v>
      </c>
      <c r="O119" s="36">
        <v>45960.0</v>
      </c>
      <c r="P119" s="32" t="s">
        <v>5582</v>
      </c>
      <c r="Q119" s="32" t="s">
        <v>5606</v>
      </c>
      <c r="R119" s="32" t="s">
        <v>5753</v>
      </c>
      <c r="S119" s="32"/>
      <c r="T119" s="32" t="s">
        <v>5585</v>
      </c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</row>
    <row r="120" ht="14.25" customHeight="1">
      <c r="A120" s="32">
        <v>8885420.0</v>
      </c>
      <c r="B120" s="33" t="str">
        <f>VLOOKUP(A120,BBDD!$1:$1048653,2,0)</f>
        <v>8.885.420-9</v>
      </c>
      <c r="C120" s="34" t="str">
        <f>VLOOKUP(A120,BBDD!$1:$1048653,7,0)</f>
        <v>Vargas Jerez Ricardo Segundo</v>
      </c>
      <c r="D120" s="33" t="str">
        <f>VLOOKUP(A120,BBDD!$1:$1048653,8,0)</f>
        <v>Operario Apoyo Elaboracion</v>
      </c>
      <c r="E120" s="33" t="str">
        <f>VLOOKUP(A120,BBDD!$1:$1048653,10,0)</f>
        <v>Gerencia Producción Pesca</v>
      </c>
      <c r="F120" s="33" t="str">
        <f>VLOOKUP(A120,BBDD!$1:$1048653,11,0)</f>
        <v>Plazo fijo</v>
      </c>
      <c r="G120" s="33" t="str">
        <f>VLOOKUP(A120,BBDD!$1:$1048653,13,0)</f>
        <v>Coronel Rol Eventual</v>
      </c>
      <c r="H120" s="33" t="str">
        <f>VLOOKUP(A120,BBDD!$1:$1048653,14,0)</f>
        <v>Gerencia Corp. Negocio Seafood</v>
      </c>
      <c r="I120" s="33" t="str">
        <f>VLOOKUP(A120,BBDD!$1:$1048653,16,0)</f>
        <v>Temporada (Con ocasión Temporada de Pesca)</v>
      </c>
      <c r="J120" s="33" t="str">
        <f>VLOOKUP(A120,BBDD!$1:$1048653,17,0)</f>
        <v/>
      </c>
      <c r="K120" s="35">
        <f>VLOOKUP(A120,BBDD!$1:$1048653,12,0)</f>
        <v>45931</v>
      </c>
      <c r="L120" s="35" t="str">
        <f>VLOOKUP(A120,BBDD!$1:$1048653,3,0)</f>
        <v>Orizon S.A</v>
      </c>
      <c r="M120" s="35" t="str">
        <f>VLOOKUP(A120,BBDD!$1:$1048653,4,0)</f>
        <v>F3</v>
      </c>
      <c r="N120" s="35" t="str">
        <f>VLOOKUP(A120,BBDD!$1:$1048653,5,0)</f>
        <v>ricardovargasjerez.777@gmail.com</v>
      </c>
      <c r="O120" s="36">
        <v>45960.0</v>
      </c>
      <c r="P120" s="32" t="s">
        <v>5582</v>
      </c>
      <c r="Q120" s="32" t="s">
        <v>5597</v>
      </c>
      <c r="R120" s="37"/>
      <c r="S120" s="37"/>
      <c r="T120" s="32" t="s">
        <v>5585</v>
      </c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</row>
    <row r="121" ht="14.25" customHeight="1">
      <c r="A121" s="32">
        <v>1.0921078E7</v>
      </c>
      <c r="B121" s="38"/>
      <c r="C121" s="34" t="str">
        <f>VLOOKUP(A121,BBDD!$1:$1048653,7,0)</f>
        <v>Fernandez Vergara Andres Esteban</v>
      </c>
      <c r="D121" s="33" t="str">
        <f>VLOOKUP(A121,BBDD!$1:$1048653,8,0)</f>
        <v>Operador Sala Control Trainee</v>
      </c>
      <c r="E121" s="33" t="str">
        <f>VLOOKUP(A121,BBDD!$1:$1048653,10,0)</f>
        <v>Gerencia Producción Pesca</v>
      </c>
      <c r="F121" s="33" t="str">
        <f>VLOOKUP(A121,BBDD!$1:$1048653,11,0)</f>
        <v>Plazo fijo</v>
      </c>
      <c r="G121" s="33" t="str">
        <f>VLOOKUP(A121,BBDD!$1:$1048653,13,0)</f>
        <v>Coronel Rol Tierra</v>
      </c>
      <c r="H121" s="33" t="str">
        <f>VLOOKUP(A121,BBDD!$1:$1048653,14,0)</f>
        <v>Gerencia Corp. Negocio Seafood</v>
      </c>
      <c r="I121" s="33" t="str">
        <f>VLOOKUP(A121,BBDD!$1:$1048653,16,0)</f>
        <v>Temporada (Con ocasión Temporada de Pesca)</v>
      </c>
      <c r="J121" s="33" t="str">
        <f>VLOOKUP(A121,BBDD!$1:$1048653,17,0)</f>
        <v/>
      </c>
      <c r="K121" s="35">
        <f>VLOOKUP(A121,BBDD!$1:$1048653,12,0)</f>
        <v>45962</v>
      </c>
      <c r="L121" s="35" t="str">
        <f>VLOOKUP(A121,BBDD!$1:$1048653,3,0)</f>
        <v>Orizon S.A</v>
      </c>
      <c r="M121" s="35" t="str">
        <f>VLOOKUP(A121,BBDD!$1:$1048653,4,0)</f>
        <v>F5</v>
      </c>
      <c r="N121" s="35" t="str">
        <f>VLOOKUP(A121,BBDD!$1:$1048653,5,0)</f>
        <v>andyfer.vergara@gmail.com</v>
      </c>
      <c r="O121" s="36">
        <v>45964.0</v>
      </c>
      <c r="P121" s="32" t="s">
        <v>5582</v>
      </c>
      <c r="Q121" s="32" t="s">
        <v>5401</v>
      </c>
      <c r="R121" s="32" t="s">
        <v>5754</v>
      </c>
      <c r="S121" s="32" t="s">
        <v>5755</v>
      </c>
      <c r="T121" s="32" t="s">
        <v>5585</v>
      </c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</row>
    <row r="122" ht="14.25" customHeight="1">
      <c r="A122" s="32">
        <v>1.9387435E7</v>
      </c>
      <c r="B122" s="33" t="str">
        <f>VLOOKUP(A122,BBDD!$1:$1048653,2,0)</f>
        <v>19.387.435-5</v>
      </c>
      <c r="C122" s="34" t="str">
        <f>VLOOKUP(A122,BBDD!$1:$1048653,7,0)</f>
        <v>Gonzalez Monje Daniska Sivoney</v>
      </c>
      <c r="D122" s="33" t="str">
        <f>VLOOKUP(A122,BBDD!$1:$1048653,8,0)</f>
        <v>Operario Apoyo Elaboracion</v>
      </c>
      <c r="E122" s="33" t="str">
        <f>VLOOKUP(A122,BBDD!$1:$1048653,10,0)</f>
        <v>Gerencia Producción Pesca</v>
      </c>
      <c r="F122" s="33" t="str">
        <f>VLOOKUP(A122,BBDD!$1:$1048653,11,0)</f>
        <v>Plazo fijo</v>
      </c>
      <c r="G122" s="33" t="str">
        <f>VLOOKUP(A122,BBDD!$1:$1048653,13,0)</f>
        <v>Coronel Rol Eventual</v>
      </c>
      <c r="H122" s="33" t="str">
        <f>VLOOKUP(A122,BBDD!$1:$1048653,14,0)</f>
        <v>Gerencia Corp. Negocio Seafood</v>
      </c>
      <c r="I122" s="33" t="str">
        <f>VLOOKUP(A122,BBDD!$1:$1048653,16,0)</f>
        <v>Temporada (Con ocasión Temporada de Pesca)</v>
      </c>
      <c r="J122" s="33" t="str">
        <f>VLOOKUP(A122,BBDD!$1:$1048653,17,0)</f>
        <v/>
      </c>
      <c r="K122" s="35">
        <f>VLOOKUP(A122,BBDD!$1:$1048653,12,0)</f>
        <v>45931</v>
      </c>
      <c r="L122" s="35" t="str">
        <f>VLOOKUP(A122,BBDD!$1:$1048653,3,0)</f>
        <v>Orizon S.A</v>
      </c>
      <c r="M122" s="35" t="str">
        <f>VLOOKUP(A122,BBDD!$1:$1048653,4,0)</f>
        <v>F4</v>
      </c>
      <c r="N122" s="35" t="str">
        <f>VLOOKUP(A122,BBDD!$1:$1048653,5,0)</f>
        <v>daniskaa.gonzalezm@gmail.com</v>
      </c>
      <c r="O122" s="36">
        <v>45964.0</v>
      </c>
      <c r="P122" s="32" t="s">
        <v>5582</v>
      </c>
      <c r="Q122" s="32" t="s">
        <v>5603</v>
      </c>
      <c r="R122" s="32" t="s">
        <v>5756</v>
      </c>
      <c r="S122" s="37"/>
      <c r="T122" s="32" t="s">
        <v>5616</v>
      </c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</row>
    <row r="123" ht="14.25" customHeight="1">
      <c r="A123" s="32">
        <v>7263920.0</v>
      </c>
      <c r="B123" s="33" t="str">
        <f>VLOOKUP(A123,BBDD!$1:$1048653,2,0)</f>
        <v>7.263.920-0</v>
      </c>
      <c r="C123" s="34" t="str">
        <f>VLOOKUP(A123,BBDD!$1:$1048653,7,0)</f>
        <v>Vallejos Peralta Fernando Enrique</v>
      </c>
      <c r="D123" s="33" t="str">
        <f>VLOOKUP(A123,BBDD!$1:$1048653,8,0)</f>
        <v>Operario Apoyo Elaboracion</v>
      </c>
      <c r="E123" s="33" t="str">
        <f>VLOOKUP(A123,BBDD!$1:$1048653,10,0)</f>
        <v>Gerencia Producción Pesca</v>
      </c>
      <c r="F123" s="33" t="str">
        <f>VLOOKUP(A123,BBDD!$1:$1048653,11,0)</f>
        <v>Plazo fijo</v>
      </c>
      <c r="G123" s="33" t="str">
        <f>VLOOKUP(A123,BBDD!$1:$1048653,13,0)</f>
        <v>Coronel Rol Eventual</v>
      </c>
      <c r="H123" s="33" t="str">
        <f>VLOOKUP(A123,BBDD!$1:$1048653,14,0)</f>
        <v>Gerencia Corp. Negocio Seafood</v>
      </c>
      <c r="I123" s="33" t="str">
        <f>VLOOKUP(A123,BBDD!$1:$1048653,16,0)</f>
        <v>Temporada (Con ocasión Temporada de Pesca)</v>
      </c>
      <c r="J123" s="33" t="str">
        <f>VLOOKUP(A123,BBDD!$1:$1048653,17,0)</f>
        <v/>
      </c>
      <c r="K123" s="35">
        <f>VLOOKUP(A123,BBDD!$1:$1048653,12,0)</f>
        <v>45940</v>
      </c>
      <c r="L123" s="35" t="str">
        <f>VLOOKUP(A123,BBDD!$1:$1048653,3,0)</f>
        <v>Orizon S.A</v>
      </c>
      <c r="M123" s="35" t="str">
        <f>VLOOKUP(A123,BBDD!$1:$1048653,4,0)</f>
        <v>F4</v>
      </c>
      <c r="N123" s="35" t="str">
        <f>VLOOKUP(A123,BBDD!$1:$1048653,5,0)</f>
        <v>VALLEJOSFERNANDO635@GMAIL.COM</v>
      </c>
      <c r="O123" s="36">
        <v>45964.0</v>
      </c>
      <c r="P123" s="32" t="s">
        <v>5582</v>
      </c>
      <c r="Q123" s="37"/>
      <c r="R123" s="32" t="s">
        <v>5757</v>
      </c>
      <c r="S123" s="37"/>
      <c r="T123" s="32" t="s">
        <v>5585</v>
      </c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</row>
    <row r="124" ht="14.25" customHeight="1">
      <c r="A124" s="32">
        <v>1.4909103E7</v>
      </c>
      <c r="B124" s="33" t="str">
        <f>VLOOKUP(A124,BBDD!$1:$1048653,2,0)</f>
        <v>14.909.103-3</v>
      </c>
      <c r="C124" s="34" t="str">
        <f>VLOOKUP(A124,BBDD!$1:$1048653,7,0)</f>
        <v>Lay Flores Yerka Paola</v>
      </c>
      <c r="D124" s="33" t="str">
        <f>VLOOKUP(A124,BBDD!$1:$1048653,8,0)</f>
        <v>Operario Apoyo Elaboracion</v>
      </c>
      <c r="E124" s="33" t="str">
        <f>VLOOKUP(A124,BBDD!$1:$1048653,10,0)</f>
        <v>Gerencia Producción Pesca</v>
      </c>
      <c r="F124" s="33" t="str">
        <f>VLOOKUP(A124,BBDD!$1:$1048653,11,0)</f>
        <v>Plazo fijo</v>
      </c>
      <c r="G124" s="33" t="str">
        <f>VLOOKUP(A124,BBDD!$1:$1048653,13,0)</f>
        <v>Coronel Rol Eventual</v>
      </c>
      <c r="H124" s="33" t="str">
        <f>VLOOKUP(A124,BBDD!$1:$1048653,14,0)</f>
        <v>Gerencia Corp. Negocio Seafood</v>
      </c>
      <c r="I124" s="33" t="str">
        <f>VLOOKUP(A124,BBDD!$1:$1048653,16,0)</f>
        <v>Temporada (Con ocasión Temporada de Pesca)</v>
      </c>
      <c r="J124" s="33" t="str">
        <f>VLOOKUP(A124,BBDD!$1:$1048653,17,0)</f>
        <v/>
      </c>
      <c r="K124" s="35">
        <f>VLOOKUP(A124,BBDD!$1:$1048653,12,0)</f>
        <v>45940</v>
      </c>
      <c r="L124" s="35" t="str">
        <f>VLOOKUP(A124,BBDD!$1:$1048653,3,0)</f>
        <v>Orizon S.A</v>
      </c>
      <c r="M124" s="35" t="str">
        <f>VLOOKUP(A124,BBDD!$1:$1048653,4,0)</f>
        <v>F4</v>
      </c>
      <c r="N124" s="35" t="str">
        <f>VLOOKUP(A124,BBDD!$1:$1048653,5,0)</f>
        <v>YERKALAY7@GMAIL.COM</v>
      </c>
      <c r="O124" s="36">
        <v>45964.0</v>
      </c>
      <c r="P124" s="32" t="s">
        <v>5582</v>
      </c>
      <c r="Q124" s="32" t="s">
        <v>5597</v>
      </c>
      <c r="R124" s="32" t="s">
        <v>5758</v>
      </c>
      <c r="S124" s="32" t="s">
        <v>5759</v>
      </c>
      <c r="T124" s="32" t="s">
        <v>5585</v>
      </c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</row>
    <row r="125" ht="14.25" customHeight="1">
      <c r="A125" s="32">
        <v>1.6990945E7</v>
      </c>
      <c r="B125" s="33" t="str">
        <f>VLOOKUP(A125,BBDD!$1:$1048653,2,0)</f>
        <v>16.990.945-8</v>
      </c>
      <c r="C125" s="34" t="str">
        <f>VLOOKUP(A125,BBDD!$1:$1048653,7,0)</f>
        <v>Lazcano Salinas Palmenia De Las Rosas</v>
      </c>
      <c r="D125" s="33" t="str">
        <f>VLOOKUP(A125,BBDD!$1:$1048653,8,0)</f>
        <v>Operario Apoyo Elaboracion</v>
      </c>
      <c r="E125" s="33" t="str">
        <f>VLOOKUP(A125,BBDD!$1:$1048653,10,0)</f>
        <v>Gerencia Producción Pesca</v>
      </c>
      <c r="F125" s="33" t="str">
        <f>VLOOKUP(A125,BBDD!$1:$1048653,11,0)</f>
        <v>Plazo fijo</v>
      </c>
      <c r="G125" s="33" t="str">
        <f>VLOOKUP(A125,BBDD!$1:$1048653,13,0)</f>
        <v>Coronel Rol Eventual</v>
      </c>
      <c r="H125" s="33" t="str">
        <f>VLOOKUP(A125,BBDD!$1:$1048653,14,0)</f>
        <v>Gerencia Corp. Negocio Seafood</v>
      </c>
      <c r="I125" s="33" t="str">
        <f>VLOOKUP(A125,BBDD!$1:$1048653,16,0)</f>
        <v>Temporada (Con ocasión Temporada de Pesca)</v>
      </c>
      <c r="J125" s="33" t="str">
        <f>VLOOKUP(A125,BBDD!$1:$1048653,17,0)</f>
        <v/>
      </c>
      <c r="K125" s="35">
        <f>VLOOKUP(A125,BBDD!$1:$1048653,12,0)</f>
        <v>45940</v>
      </c>
      <c r="L125" s="35" t="str">
        <f>VLOOKUP(A125,BBDD!$1:$1048653,3,0)</f>
        <v>Orizon S.A</v>
      </c>
      <c r="M125" s="35" t="str">
        <f>VLOOKUP(A125,BBDD!$1:$1048653,4,0)</f>
        <v>F1</v>
      </c>
      <c r="N125" s="35" t="str">
        <f>VLOOKUP(A125,BBDD!$1:$1048653,5,0)</f>
        <v>palmeniapao@gmail.com</v>
      </c>
      <c r="O125" s="36">
        <v>45964.0</v>
      </c>
      <c r="P125" s="32" t="s">
        <v>5582</v>
      </c>
      <c r="Q125" s="32" t="s">
        <v>5586</v>
      </c>
      <c r="R125" s="32" t="s">
        <v>5760</v>
      </c>
      <c r="S125" s="32" t="s">
        <v>5761</v>
      </c>
      <c r="T125" s="32" t="s">
        <v>5585</v>
      </c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</row>
    <row r="126" ht="14.25" customHeight="1">
      <c r="A126" s="39">
        <v>1.5954566E7</v>
      </c>
      <c r="B126" s="33" t="str">
        <f>VLOOKUP(A126,BBDD!$1:$1048653,2,0)</f>
        <v>15.954.566-0</v>
      </c>
      <c r="C126" s="34" t="str">
        <f>VLOOKUP(A126,BBDD!$1:$1048653,7,0)</f>
        <v>Vega Rios Miguel Angel</v>
      </c>
      <c r="D126" s="33" t="str">
        <f>VLOOKUP(A126,BBDD!$1:$1048653,8,0)</f>
        <v>Operador de Caldera</v>
      </c>
      <c r="E126" s="33" t="str">
        <f>VLOOKUP(A126,BBDD!$1:$1048653,10,0)</f>
        <v>Gerencia Producción Pesca</v>
      </c>
      <c r="F126" s="33" t="str">
        <f>VLOOKUP(A126,BBDD!$1:$1048653,11,0)</f>
        <v>Plazo fijo</v>
      </c>
      <c r="G126" s="33" t="str">
        <f>VLOOKUP(A126,BBDD!$1:$1048653,13,0)</f>
        <v>Coronel Rol Tierra</v>
      </c>
      <c r="H126" s="33" t="str">
        <f>VLOOKUP(A126,BBDD!$1:$1048653,14,0)</f>
        <v>Gerencia Corp. Negocio Seafood</v>
      </c>
      <c r="I126" s="33" t="str">
        <f>VLOOKUP(A126,BBDD!$1:$1048653,16,0)</f>
        <v>Temporada (Con ocasión Temporada de Pesca)</v>
      </c>
      <c r="J126" s="33" t="str">
        <f>VLOOKUP(A126,BBDD!$1:$1048653,17,0)</f>
        <v/>
      </c>
      <c r="K126" s="35">
        <f>VLOOKUP(A126,BBDD!$1:$1048653,12,0)</f>
        <v>45938</v>
      </c>
      <c r="L126" s="35" t="str">
        <f>VLOOKUP(A126,BBDD!$1:$1048653,3,0)</f>
        <v>Orizon S.A</v>
      </c>
      <c r="M126" s="35" t="str">
        <f>VLOOKUP(A126,BBDD!$1:$1048653,4,0)</f>
        <v>F2</v>
      </c>
      <c r="N126" s="35" t="str">
        <f>VLOOKUP(A126,BBDD!$1:$1048653,5,0)</f>
        <v>blaguel@hotmail.com</v>
      </c>
      <c r="O126" s="36">
        <v>45964.0</v>
      </c>
      <c r="P126" s="32" t="s">
        <v>5582</v>
      </c>
      <c r="Q126" s="32" t="s">
        <v>5606</v>
      </c>
      <c r="R126" s="32" t="s">
        <v>5762</v>
      </c>
      <c r="S126" s="32" t="s">
        <v>5763</v>
      </c>
      <c r="T126" s="32" t="s">
        <v>5585</v>
      </c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</row>
    <row r="127" ht="14.25" customHeight="1">
      <c r="A127" s="32">
        <v>1.6347833E7</v>
      </c>
      <c r="B127" s="33" t="str">
        <f>VLOOKUP(A127,BBDD!$1:$1048653,2,0)</f>
        <v>16.347.833-1</v>
      </c>
      <c r="C127" s="34" t="str">
        <f>VLOOKUP(A127,BBDD!$1:$1048653,7,0)</f>
        <v>Neira Escobar Pedro Andres</v>
      </c>
      <c r="D127" s="33" t="str">
        <f>VLOOKUP(A127,BBDD!$1:$1048653,8,0)</f>
        <v>Piloto</v>
      </c>
      <c r="E127" s="33" t="str">
        <f>VLOOKUP(A127,BBDD!$1:$1048653,10,0)</f>
        <v>Gerencia de Flota y Abastecimiento de Materias Primas</v>
      </c>
      <c r="F127" s="33" t="str">
        <f>VLOOKUP(A127,BBDD!$1:$1048653,11,0)</f>
        <v>Indefinido</v>
      </c>
      <c r="G127" s="33" t="str">
        <f>VLOOKUP(A127,BBDD!$1:$1048653,13,0)</f>
        <v>Coronel Rol Flota</v>
      </c>
      <c r="H127" s="33" t="str">
        <f>VLOOKUP(A127,BBDD!$1:$1048653,14,0)</f>
        <v>Gerencia Corp. Negocio Seafood</v>
      </c>
      <c r="I127" s="33" t="str">
        <f>VLOOKUP(A127,BBDD!$1:$1048653,16,0)</f>
        <v>Rol General (Cargo permanente o proyección indefinido)</v>
      </c>
      <c r="J127" s="33" t="str">
        <f>VLOOKUP(A127,BBDD!$1:$1048653,17,0)</f>
        <v/>
      </c>
      <c r="K127" s="35">
        <f>VLOOKUP(A127,BBDD!$1:$1048653,12,0)</f>
        <v>44200</v>
      </c>
      <c r="L127" s="35" t="str">
        <f>VLOOKUP(A127,BBDD!$1:$1048653,3,0)</f>
        <v>Orizon S.A</v>
      </c>
      <c r="M127" s="35" t="str">
        <f>VLOOKUP(A127,BBDD!$1:$1048653,4,0)</f>
        <v>F1</v>
      </c>
      <c r="N127" s="35" t="str">
        <f>VLOOKUP(A127,BBDD!$1:$1048653,5,0)</f>
        <v>neiraandresescobar@gmail.com</v>
      </c>
      <c r="O127" s="36">
        <v>45965.0</v>
      </c>
      <c r="P127" s="32" t="s">
        <v>5582</v>
      </c>
      <c r="Q127" s="32" t="s">
        <v>5606</v>
      </c>
      <c r="R127" s="32" t="s">
        <v>5764</v>
      </c>
      <c r="S127" s="32" t="s">
        <v>5765</v>
      </c>
      <c r="T127" s="32" t="s">
        <v>5585</v>
      </c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</row>
    <row r="128" ht="14.25" customHeight="1">
      <c r="A128" s="39">
        <v>1.1901061E7</v>
      </c>
      <c r="B128" s="33" t="str">
        <f>VLOOKUP(A128,BBDD!$1:$1048653,2,0)</f>
        <v>11.901.061-6</v>
      </c>
      <c r="C128" s="34" t="str">
        <f>VLOOKUP(A128,BBDD!$1:$1048653,7,0)</f>
        <v>Alarcon Oviedo Cristian Marcelo</v>
      </c>
      <c r="D128" s="33" t="str">
        <f>VLOOKUP(A128,BBDD!$1:$1048653,8,0)</f>
        <v>Logístico Junior</v>
      </c>
      <c r="E128" s="33" t="str">
        <f>VLOOKUP(A128,BBDD!$1:$1048653,10,0)</f>
        <v>Gerencia Abastecimiento</v>
      </c>
      <c r="F128" s="33" t="str">
        <f>VLOOKUP(A128,BBDD!$1:$1048653,11,0)</f>
        <v>Indefinido</v>
      </c>
      <c r="G128" s="33" t="str">
        <f>VLOOKUP(A128,BBDD!$1:$1048653,13,0)</f>
        <v>Coronel Rol Tierra</v>
      </c>
      <c r="H128" s="33" t="str">
        <f>VLOOKUP(A128,BBDD!$1:$1048653,14,0)</f>
        <v>Gerencia Corp. Supply Chain</v>
      </c>
      <c r="I128" s="33" t="str">
        <f>VLOOKUP(A128,BBDD!$1:$1048653,16,0)</f>
        <v>Rol General (Cargo permanente o proyección indefinido)</v>
      </c>
      <c r="J128" s="33" t="str">
        <f>VLOOKUP(A128,BBDD!$1:$1048653,17,0)</f>
        <v/>
      </c>
      <c r="K128" s="35">
        <f>VLOOKUP(A128,BBDD!$1:$1048653,12,0)</f>
        <v>44586</v>
      </c>
      <c r="L128" s="35" t="str">
        <f>VLOOKUP(A128,BBDD!$1:$1048653,3,0)</f>
        <v>Orizon S.A</v>
      </c>
      <c r="M128" s="35" t="str">
        <f>VLOOKUP(A128,BBDD!$1:$1048653,4,0)</f>
        <v>F1</v>
      </c>
      <c r="N128" s="35" t="str">
        <f>VLOOKUP(A128,BBDD!$1:$1048653,5,0)</f>
        <v>cristian.alarcon@orizon.cl</v>
      </c>
      <c r="O128" s="36">
        <v>45965.0</v>
      </c>
      <c r="P128" s="32" t="s">
        <v>5582</v>
      </c>
      <c r="Q128" s="32" t="s">
        <v>1323</v>
      </c>
      <c r="R128" s="32" t="s">
        <v>5766</v>
      </c>
      <c r="S128" s="37"/>
      <c r="T128" s="32" t="s">
        <v>5585</v>
      </c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</row>
    <row r="129" ht="14.25" customHeight="1">
      <c r="A129" s="32">
        <v>8701346.0</v>
      </c>
      <c r="B129" s="33" t="str">
        <f>VLOOKUP(A129,BBDD!$1:$1048653,2,0)</f>
        <v>8.701.346-4</v>
      </c>
      <c r="C129" s="34" t="str">
        <f>VLOOKUP(A129,BBDD!$1:$1048653,7,0)</f>
        <v>Gonzalez Rojas Juan Miguel</v>
      </c>
      <c r="D129" s="33" t="str">
        <f>VLOOKUP(A129,BBDD!$1:$1048653,8,0)</f>
        <v>Tripulante</v>
      </c>
      <c r="E129" s="33" t="str">
        <f>VLOOKUP(A129,BBDD!$1:$1048653,10,0)</f>
        <v>Gerencia de Flota y Abastecimiento de Materias Primas</v>
      </c>
      <c r="F129" s="33" t="str">
        <f>VLOOKUP(A129,BBDD!$1:$1048653,11,0)</f>
        <v>Indefinido</v>
      </c>
      <c r="G129" s="33" t="str">
        <f>VLOOKUP(A129,BBDD!$1:$1048653,13,0)</f>
        <v>Coronel Rol Flota</v>
      </c>
      <c r="H129" s="33" t="str">
        <f>VLOOKUP(A129,BBDD!$1:$1048653,14,0)</f>
        <v>Gerencia Corp. Negocio Seafood</v>
      </c>
      <c r="I129" s="33" t="str">
        <f>VLOOKUP(A129,BBDD!$1:$1048653,16,0)</f>
        <v>Rol General (Cargo permanente o proyección indefinido)</v>
      </c>
      <c r="J129" s="33" t="str">
        <f>VLOOKUP(A129,BBDD!$1:$1048653,17,0)</f>
        <v/>
      </c>
      <c r="K129" s="35">
        <f>VLOOKUP(A129,BBDD!$1:$1048653,12,0)</f>
        <v>44111</v>
      </c>
      <c r="L129" s="35" t="str">
        <f>VLOOKUP(A129,BBDD!$1:$1048653,3,0)</f>
        <v>Orizon S.A</v>
      </c>
      <c r="M129" s="35" t="str">
        <f>VLOOKUP(A129,BBDD!$1:$1048653,4,0)</f>
        <v>F1</v>
      </c>
      <c r="N129" s="35" t="str">
        <f>VLOOKUP(A129,BBDD!$1:$1048653,5,0)</f>
        <v>juanmiguelgonzalezrojas@gmail.com</v>
      </c>
      <c r="O129" s="36">
        <v>45965.0</v>
      </c>
      <c r="P129" s="32" t="s">
        <v>5582</v>
      </c>
      <c r="Q129" s="32" t="s">
        <v>5583</v>
      </c>
      <c r="R129" s="37"/>
      <c r="S129" s="32" t="s">
        <v>5767</v>
      </c>
      <c r="T129" s="32" t="s">
        <v>5585</v>
      </c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</row>
    <row r="130" ht="14.25" customHeight="1">
      <c r="A130" s="39">
        <v>1.9335444E7</v>
      </c>
      <c r="B130" s="33" t="str">
        <f>VLOOKUP(A130,BBDD!$1:$1048653,2,0)</f>
        <v>19.335.444-0</v>
      </c>
      <c r="C130" s="34" t="str">
        <f>VLOOKUP(A130,BBDD!$1:$1048653,7,0)</f>
        <v>Campos Formandoy Robert Alejandro</v>
      </c>
      <c r="D130" s="33" t="str">
        <f>VLOOKUP(A130,BBDD!$1:$1048653,8,0)</f>
        <v>Operario Apoyo Elaboracion</v>
      </c>
      <c r="E130" s="33" t="str">
        <f>VLOOKUP(A130,BBDD!$1:$1048653,10,0)</f>
        <v>Gerencia Producción Pesca</v>
      </c>
      <c r="F130" s="33" t="str">
        <f>VLOOKUP(A130,BBDD!$1:$1048653,11,0)</f>
        <v>Plazo fijo</v>
      </c>
      <c r="G130" s="33" t="str">
        <f>VLOOKUP(A130,BBDD!$1:$1048653,13,0)</f>
        <v>Coronel Rol Eventual</v>
      </c>
      <c r="H130" s="33" t="str">
        <f>VLOOKUP(A130,BBDD!$1:$1048653,14,0)</f>
        <v>Gerencia Corp. Negocio Seafood</v>
      </c>
      <c r="I130" s="33" t="str">
        <f>VLOOKUP(A130,BBDD!$1:$1048653,16,0)</f>
        <v>Temporada (Con ocasión Temporada de Pesca)</v>
      </c>
      <c r="J130" s="33" t="str">
        <f>VLOOKUP(A130,BBDD!$1:$1048653,17,0)</f>
        <v/>
      </c>
      <c r="K130" s="35">
        <f>VLOOKUP(A130,BBDD!$1:$1048653,12,0)</f>
        <v>45932</v>
      </c>
      <c r="L130" s="35" t="str">
        <f>VLOOKUP(A130,BBDD!$1:$1048653,3,0)</f>
        <v>Orizon S.A</v>
      </c>
      <c r="M130" s="35" t="str">
        <f>VLOOKUP(A130,BBDD!$1:$1048653,4,0)</f>
        <v>F4</v>
      </c>
      <c r="N130" s="35" t="str">
        <f>VLOOKUP(A130,BBDD!$1:$1048653,5,0)</f>
        <v>rcformandoy@gmail.com</v>
      </c>
      <c r="O130" s="36">
        <v>45965.0</v>
      </c>
      <c r="P130" s="32" t="s">
        <v>5582</v>
      </c>
      <c r="Q130" s="32" t="s">
        <v>5567</v>
      </c>
      <c r="R130" s="32" t="s">
        <v>5768</v>
      </c>
      <c r="S130" s="32" t="s">
        <v>5769</v>
      </c>
      <c r="T130" s="32" t="s">
        <v>5616</v>
      </c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</row>
    <row r="131" ht="14.25" customHeight="1">
      <c r="A131" s="39">
        <v>1.9335444E7</v>
      </c>
      <c r="B131" s="33" t="str">
        <f>VLOOKUP(A131,BBDD!$1:$1048653,2,0)</f>
        <v>19.335.444-0</v>
      </c>
      <c r="C131" s="34" t="str">
        <f>VLOOKUP(A131,BBDD!$1:$1048653,7,0)</f>
        <v>Campos Formandoy Robert Alejandro</v>
      </c>
      <c r="D131" s="33" t="str">
        <f>VLOOKUP(A131,BBDD!$1:$1048653,8,0)</f>
        <v>Operario Apoyo Elaboracion</v>
      </c>
      <c r="E131" s="33" t="str">
        <f>VLOOKUP(A131,BBDD!$1:$1048653,10,0)</f>
        <v>Gerencia Producción Pesca</v>
      </c>
      <c r="F131" s="33" t="str">
        <f>VLOOKUP(A131,BBDD!$1:$1048653,11,0)</f>
        <v>Plazo fijo</v>
      </c>
      <c r="G131" s="33" t="str">
        <f>VLOOKUP(A131,BBDD!$1:$1048653,13,0)</f>
        <v>Coronel Rol Eventual</v>
      </c>
      <c r="H131" s="33" t="str">
        <f>VLOOKUP(A131,BBDD!$1:$1048653,14,0)</f>
        <v>Gerencia Corp. Negocio Seafood</v>
      </c>
      <c r="I131" s="33" t="str">
        <f>VLOOKUP(A131,BBDD!$1:$1048653,16,0)</f>
        <v>Temporada (Con ocasión Temporada de Pesca)</v>
      </c>
      <c r="J131" s="33" t="str">
        <f>VLOOKUP(A131,BBDD!$1:$1048653,17,0)</f>
        <v/>
      </c>
      <c r="K131" s="35">
        <f>VLOOKUP(A131,BBDD!$1:$1048653,12,0)</f>
        <v>45932</v>
      </c>
      <c r="L131" s="35" t="str">
        <f>VLOOKUP(A131,BBDD!$1:$1048653,3,0)</f>
        <v>Orizon S.A</v>
      </c>
      <c r="M131" s="35" t="str">
        <f>VLOOKUP(A131,BBDD!$1:$1048653,4,0)</f>
        <v>F4</v>
      </c>
      <c r="N131" s="35" t="str">
        <f>VLOOKUP(A131,BBDD!$1:$1048653,5,0)</f>
        <v>rcformandoy@gmail.com</v>
      </c>
      <c r="O131" s="36">
        <v>45965.0</v>
      </c>
      <c r="P131" s="32" t="s">
        <v>5582</v>
      </c>
      <c r="Q131" s="32" t="s">
        <v>5586</v>
      </c>
      <c r="R131" s="32" t="s">
        <v>5770</v>
      </c>
      <c r="S131" s="32" t="s">
        <v>5771</v>
      </c>
      <c r="T131" s="32" t="s">
        <v>5585</v>
      </c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</row>
    <row r="132" ht="14.25" customHeight="1">
      <c r="A132" s="32">
        <v>1.5615512E7</v>
      </c>
      <c r="B132" s="33" t="str">
        <f>VLOOKUP(A132,BBDD!$1:$1048653,2,0)</f>
        <v>15.615.512-8</v>
      </c>
      <c r="C132" s="34" t="str">
        <f>VLOOKUP(A132,BBDD!$1:$1048653,7,0)</f>
        <v>Rios Rios Susana Jacqueline</v>
      </c>
      <c r="D132" s="33" t="str">
        <f>VLOOKUP(A132,BBDD!$1:$1048653,8,0)</f>
        <v>Operario Apoyo Elaboracion</v>
      </c>
      <c r="E132" s="33" t="str">
        <f>VLOOKUP(A132,BBDD!$1:$1048653,10,0)</f>
        <v>Gerencia Producción Pesca</v>
      </c>
      <c r="F132" s="33" t="str">
        <f>VLOOKUP(A132,BBDD!$1:$1048653,11,0)</f>
        <v>Plazo fijo</v>
      </c>
      <c r="G132" s="33" t="str">
        <f>VLOOKUP(A132,BBDD!$1:$1048653,13,0)</f>
        <v>Coronel Rol Eventual</v>
      </c>
      <c r="H132" s="33" t="str">
        <f>VLOOKUP(A132,BBDD!$1:$1048653,14,0)</f>
        <v>Gerencia Corp. Negocio Seafood</v>
      </c>
      <c r="I132" s="33" t="str">
        <f>VLOOKUP(A132,BBDD!$1:$1048653,16,0)</f>
        <v>Temporada (Con ocasión Temporada de Pesca)</v>
      </c>
      <c r="J132" s="33" t="str">
        <f>VLOOKUP(A132,BBDD!$1:$1048653,17,0)</f>
        <v/>
      </c>
      <c r="K132" s="35">
        <f>VLOOKUP(A132,BBDD!$1:$1048653,12,0)</f>
        <v>45931</v>
      </c>
      <c r="L132" s="35" t="str">
        <f>VLOOKUP(A132,BBDD!$1:$1048653,3,0)</f>
        <v>Orizon S.A</v>
      </c>
      <c r="M132" s="35" t="str">
        <f>VLOOKUP(A132,BBDD!$1:$1048653,4,0)</f>
        <v>F5</v>
      </c>
      <c r="N132" s="35" t="str">
        <f>VLOOKUP(A132,BBDD!$1:$1048653,5,0)</f>
        <v>susanarios91.sr@gmail.com</v>
      </c>
      <c r="O132" s="36">
        <v>45965.0</v>
      </c>
      <c r="P132" s="32" t="s">
        <v>5582</v>
      </c>
      <c r="Q132" s="32" t="s">
        <v>5598</v>
      </c>
      <c r="R132" s="32" t="s">
        <v>5772</v>
      </c>
      <c r="S132" s="32" t="s">
        <v>5773</v>
      </c>
      <c r="T132" s="32" t="s">
        <v>5585</v>
      </c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</row>
    <row r="133" ht="14.25" customHeight="1">
      <c r="A133" s="32">
        <v>9513767.0</v>
      </c>
      <c r="B133" s="33" t="str">
        <f>VLOOKUP(A133,BBDD!$1:$1048653,2,0)</f>
        <v>9.513.767-9</v>
      </c>
      <c r="C133" s="34" t="str">
        <f>VLOOKUP(A133,BBDD!$1:$1048653,7,0)</f>
        <v>Rodriguez Cea Alejandro Emilio</v>
      </c>
      <c r="D133" s="33" t="str">
        <f>VLOOKUP(A133,BBDD!$1:$1048653,8,0)</f>
        <v>Tripulante</v>
      </c>
      <c r="E133" s="33" t="str">
        <f>VLOOKUP(A133,BBDD!$1:$1048653,10,0)</f>
        <v>Gerencia de Flota y Abastecimiento de Materias Primas</v>
      </c>
      <c r="F133" s="33" t="str">
        <f>VLOOKUP(A133,BBDD!$1:$1048653,11,0)</f>
        <v>Indefinido</v>
      </c>
      <c r="G133" s="33" t="str">
        <f>VLOOKUP(A133,BBDD!$1:$1048653,13,0)</f>
        <v>Coronel Rol Flota</v>
      </c>
      <c r="H133" s="33" t="str">
        <f>VLOOKUP(A133,BBDD!$1:$1048653,14,0)</f>
        <v>Gerencia Corp. Negocio Seafood</v>
      </c>
      <c r="I133" s="33" t="str">
        <f>VLOOKUP(A133,BBDD!$1:$1048653,16,0)</f>
        <v>Rol General (Cargo permanente o proyección indefinido)</v>
      </c>
      <c r="J133" s="33" t="str">
        <f>VLOOKUP(A133,BBDD!$1:$1048653,17,0)</f>
        <v/>
      </c>
      <c r="K133" s="35">
        <f>VLOOKUP(A133,BBDD!$1:$1048653,12,0)</f>
        <v>40513</v>
      </c>
      <c r="L133" s="35" t="str">
        <f>VLOOKUP(A133,BBDD!$1:$1048653,3,0)</f>
        <v>Orizon S.A</v>
      </c>
      <c r="M133" s="35" t="str">
        <f>VLOOKUP(A133,BBDD!$1:$1048653,4,0)</f>
        <v>F1</v>
      </c>
      <c r="N133" s="35" t="str">
        <f>VLOOKUP(A133,BBDD!$1:$1048653,5,0)</f>
        <v>alejandrorodriguezcea10@gmail.com</v>
      </c>
      <c r="O133" s="36">
        <v>45965.0</v>
      </c>
      <c r="P133" s="32" t="s">
        <v>5582</v>
      </c>
      <c r="Q133" s="32" t="s">
        <v>5599</v>
      </c>
      <c r="R133" s="32" t="s">
        <v>5774</v>
      </c>
      <c r="S133" s="32" t="s">
        <v>5775</v>
      </c>
      <c r="T133" s="32" t="s">
        <v>5585</v>
      </c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</row>
    <row r="134" ht="14.25" customHeight="1">
      <c r="A134" s="32">
        <v>9513767.0</v>
      </c>
      <c r="B134" s="33" t="str">
        <f>VLOOKUP(A134,BBDD!$1:$1048653,2,0)</f>
        <v>9.513.767-9</v>
      </c>
      <c r="C134" s="34" t="str">
        <f>VLOOKUP(A134,BBDD!$1:$1048653,7,0)</f>
        <v>Rodriguez Cea Alejandro Emilio</v>
      </c>
      <c r="D134" s="33" t="str">
        <f>VLOOKUP(A134,BBDD!$1:$1048653,8,0)</f>
        <v>Tripulante</v>
      </c>
      <c r="E134" s="33" t="str">
        <f>VLOOKUP(A134,BBDD!$1:$1048653,10,0)</f>
        <v>Gerencia de Flota y Abastecimiento de Materias Primas</v>
      </c>
      <c r="F134" s="33" t="str">
        <f>VLOOKUP(A134,BBDD!$1:$1048653,11,0)</f>
        <v>Indefinido</v>
      </c>
      <c r="G134" s="33" t="str">
        <f>VLOOKUP(A134,BBDD!$1:$1048653,13,0)</f>
        <v>Coronel Rol Flota</v>
      </c>
      <c r="H134" s="33" t="str">
        <f>VLOOKUP(A134,BBDD!$1:$1048653,14,0)</f>
        <v>Gerencia Corp. Negocio Seafood</v>
      </c>
      <c r="I134" s="33" t="str">
        <f>VLOOKUP(A134,BBDD!$1:$1048653,16,0)</f>
        <v>Rol General (Cargo permanente o proyección indefinido)</v>
      </c>
      <c r="J134" s="33" t="str">
        <f>VLOOKUP(A134,BBDD!$1:$1048653,17,0)</f>
        <v/>
      </c>
      <c r="K134" s="35">
        <f>VLOOKUP(A134,BBDD!$1:$1048653,12,0)</f>
        <v>40513</v>
      </c>
      <c r="L134" s="35" t="str">
        <f>VLOOKUP(A134,BBDD!$1:$1048653,3,0)</f>
        <v>Orizon S.A</v>
      </c>
      <c r="M134" s="35" t="str">
        <f>VLOOKUP(A134,BBDD!$1:$1048653,4,0)</f>
        <v>F1</v>
      </c>
      <c r="N134" s="35" t="str">
        <f>VLOOKUP(A134,BBDD!$1:$1048653,5,0)</f>
        <v>alejandrorodriguezcea10@gmail.com</v>
      </c>
      <c r="O134" s="36">
        <v>45965.0</v>
      </c>
      <c r="P134" s="32" t="s">
        <v>5582</v>
      </c>
      <c r="Q134" s="32" t="s">
        <v>5599</v>
      </c>
      <c r="R134" s="32" t="s">
        <v>5774</v>
      </c>
      <c r="S134" s="32" t="s">
        <v>5775</v>
      </c>
      <c r="T134" s="32" t="s">
        <v>5585</v>
      </c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</row>
    <row r="135" ht="14.25" customHeight="1">
      <c r="A135" s="39">
        <v>1.1103782E7</v>
      </c>
      <c r="B135" s="33" t="str">
        <f>VLOOKUP(A135,BBDD!$1:$1048653,2,0)</f>
        <v>11.103.782-5</v>
      </c>
      <c r="C135" s="34" t="str">
        <f>VLOOKUP(A135,BBDD!$1:$1048653,7,0)</f>
        <v>Carrillo Machuca Yessica Cecilia</v>
      </c>
      <c r="D135" s="33" t="str">
        <f>VLOOKUP(A135,BBDD!$1:$1048653,8,0)</f>
        <v>Operario Apoyo Elaboracion</v>
      </c>
      <c r="E135" s="33" t="str">
        <f>VLOOKUP(A135,BBDD!$1:$1048653,10,0)</f>
        <v>Gerencia Producción Pesca</v>
      </c>
      <c r="F135" s="33" t="str">
        <f>VLOOKUP(A135,BBDD!$1:$1048653,11,0)</f>
        <v>Plazo fijo</v>
      </c>
      <c r="G135" s="33" t="str">
        <f>VLOOKUP(A135,BBDD!$1:$1048653,13,0)</f>
        <v>Coronel Rol Eventual</v>
      </c>
      <c r="H135" s="33" t="str">
        <f>VLOOKUP(A135,BBDD!$1:$1048653,14,0)</f>
        <v>Gerencia Corp. Negocio Seafood</v>
      </c>
      <c r="I135" s="33" t="str">
        <f>VLOOKUP(A135,BBDD!$1:$1048653,16,0)</f>
        <v>Temporada (Con ocasión Temporada de Pesca)</v>
      </c>
      <c r="J135" s="33" t="str">
        <f>VLOOKUP(A135,BBDD!$1:$1048653,17,0)</f>
        <v/>
      </c>
      <c r="K135" s="35">
        <f>VLOOKUP(A135,BBDD!$1:$1048653,12,0)</f>
        <v>45931</v>
      </c>
      <c r="L135" s="35" t="str">
        <f>VLOOKUP(A135,BBDD!$1:$1048653,3,0)</f>
        <v>Orizon S.A</v>
      </c>
      <c r="M135" s="35" t="str">
        <f>VLOOKUP(A135,BBDD!$1:$1048653,4,0)</f>
        <v>F4</v>
      </c>
      <c r="N135" s="35" t="str">
        <f>VLOOKUP(A135,BBDD!$1:$1048653,5,0)</f>
        <v>yccmachuk@gmail.com</v>
      </c>
      <c r="O135" s="36">
        <v>45965.0</v>
      </c>
      <c r="P135" s="32" t="s">
        <v>5582</v>
      </c>
      <c r="Q135" s="32" t="s">
        <v>5597</v>
      </c>
      <c r="R135" s="32" t="s">
        <v>5776</v>
      </c>
      <c r="S135" s="32" t="s">
        <v>5777</v>
      </c>
      <c r="T135" s="32" t="s">
        <v>5585</v>
      </c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</row>
    <row r="136" ht="14.25" customHeight="1">
      <c r="A136" s="39">
        <v>2.0613517E7</v>
      </c>
      <c r="B136" s="33" t="str">
        <f>VLOOKUP(A136,BBDD!$1:$1048653,2,0)</f>
        <v>20.613.517-4</v>
      </c>
      <c r="C136" s="34" t="str">
        <f>VLOOKUP(A136,BBDD!$1:$1048653,7,0)</f>
        <v>Viveros Cuevas Roberto Zacarias</v>
      </c>
      <c r="D136" s="33" t="str">
        <f>VLOOKUP(A136,BBDD!$1:$1048653,8,0)</f>
        <v>Operario Apoyo Elaboracion</v>
      </c>
      <c r="E136" s="33" t="str">
        <f>VLOOKUP(A136,BBDD!$1:$1048653,10,0)</f>
        <v>Gerencia Producción Pesca</v>
      </c>
      <c r="F136" s="33" t="str">
        <f>VLOOKUP(A136,BBDD!$1:$1048653,11,0)</f>
        <v>Plazo fijo</v>
      </c>
      <c r="G136" s="33" t="str">
        <f>VLOOKUP(A136,BBDD!$1:$1048653,13,0)</f>
        <v>Coronel Rol Eventual</v>
      </c>
      <c r="H136" s="33" t="str">
        <f>VLOOKUP(A136,BBDD!$1:$1048653,14,0)</f>
        <v>Gerencia Corp. Negocio Seafood</v>
      </c>
      <c r="I136" s="33" t="str">
        <f>VLOOKUP(A136,BBDD!$1:$1048653,16,0)</f>
        <v>Temporada (Con ocasión Temporada de Pesca)</v>
      </c>
      <c r="J136" s="33" t="str">
        <f>VLOOKUP(A136,BBDD!$1:$1048653,17,0)</f>
        <v/>
      </c>
      <c r="K136" s="35">
        <f>VLOOKUP(A136,BBDD!$1:$1048653,12,0)</f>
        <v>45938</v>
      </c>
      <c r="L136" s="35" t="str">
        <f>VLOOKUP(A136,BBDD!$1:$1048653,3,0)</f>
        <v>Orizon S.A</v>
      </c>
      <c r="M136" s="35" t="str">
        <f>VLOOKUP(A136,BBDD!$1:$1048653,4,0)</f>
        <v>F5</v>
      </c>
      <c r="N136" s="35" t="str">
        <f>VLOOKUP(A136,BBDD!$1:$1048653,5,0)</f>
        <v>ROBERTOJOSUE0402@GMAIL.COM</v>
      </c>
      <c r="O136" s="36">
        <v>45965.0</v>
      </c>
      <c r="P136" s="32" t="s">
        <v>5582</v>
      </c>
      <c r="Q136" s="32" t="s">
        <v>5598</v>
      </c>
      <c r="R136" s="32" t="s">
        <v>5778</v>
      </c>
      <c r="S136" s="32" t="s">
        <v>5779</v>
      </c>
      <c r="T136" s="32" t="s">
        <v>5585</v>
      </c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</row>
    <row r="137" ht="14.25" customHeight="1">
      <c r="A137" s="32">
        <v>1.7348089E7</v>
      </c>
      <c r="B137" s="33" t="str">
        <f>VLOOKUP(A137,BBDD!$1:$1048653,2,0)</f>
        <v>17.348.089-k</v>
      </c>
      <c r="C137" s="34" t="str">
        <f>VLOOKUP(A137,BBDD!$1:$1048653,7,0)</f>
        <v>Toloza Inostroza Nicole Macarena</v>
      </c>
      <c r="D137" s="33" t="str">
        <f>VLOOKUP(A137,BBDD!$1:$1048653,8,0)</f>
        <v>Especialista Calidad Y Desarrollo Petfood</v>
      </c>
      <c r="E137" s="33" t="str">
        <f>VLOOKUP(A137,BBDD!$1:$1048653,10,0)</f>
        <v>SubGerencia de Desarrollo y Business Intelligence</v>
      </c>
      <c r="F137" s="33" t="str">
        <f>VLOOKUP(A137,BBDD!$1:$1048653,11,0)</f>
        <v>Indefinido</v>
      </c>
      <c r="G137" s="33" t="str">
        <f>VLOOKUP(A137,BBDD!$1:$1048653,13,0)</f>
        <v>Coronel Rol Tierra</v>
      </c>
      <c r="H137" s="33" t="str">
        <f>VLOOKUP(A137,BBDD!$1:$1048653,14,0)</f>
        <v>Gerencia Corp. Comercial y Marketing</v>
      </c>
      <c r="I137" s="33" t="str">
        <f>VLOOKUP(A137,BBDD!$1:$1048653,16,0)</f>
        <v>Rol General (Cargo permanente o proyección indefinido)</v>
      </c>
      <c r="J137" s="33" t="str">
        <f>VLOOKUP(A137,BBDD!$1:$1048653,17,0)</f>
        <v/>
      </c>
      <c r="K137" s="35">
        <f>VLOOKUP(A137,BBDD!$1:$1048653,12,0)</f>
        <v>45194</v>
      </c>
      <c r="L137" s="35" t="str">
        <f>VLOOKUP(A137,BBDD!$1:$1048653,3,0)</f>
        <v>Orizon S.A</v>
      </c>
      <c r="M137" s="35" t="str">
        <f>VLOOKUP(A137,BBDD!$1:$1048653,4,0)</f>
        <v>F1</v>
      </c>
      <c r="N137" s="35" t="str">
        <f>VLOOKUP(A137,BBDD!$1:$1048653,5,0)</f>
        <v>NICOLE.TOLOZA@ORIZON.CL</v>
      </c>
      <c r="O137" s="36">
        <v>45965.0</v>
      </c>
      <c r="P137" s="32" t="s">
        <v>5594</v>
      </c>
      <c r="Q137" s="32" t="s">
        <v>5583</v>
      </c>
      <c r="R137" s="32" t="s">
        <v>5780</v>
      </c>
      <c r="S137" s="37"/>
      <c r="T137" s="32" t="s">
        <v>5585</v>
      </c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</row>
    <row r="138" ht="14.25" customHeight="1">
      <c r="A138" s="39">
        <v>1.7578787E7</v>
      </c>
      <c r="B138" s="33" t="str">
        <f>VLOOKUP(A138,BBDD!$1:$1048653,2,0)</f>
        <v>17.578.787-9</v>
      </c>
      <c r="C138" s="34" t="str">
        <f>VLOOKUP(A138,BBDD!$1:$1048653,7,0)</f>
        <v>Henriquez Gallardo Danielle Andrea</v>
      </c>
      <c r="D138" s="33" t="str">
        <f>VLOOKUP(A138,BBDD!$1:$1048653,8,0)</f>
        <v>Operario Apoyo Elaboracion</v>
      </c>
      <c r="E138" s="33" t="str">
        <f>VLOOKUP(A138,BBDD!$1:$1048653,10,0)</f>
        <v>Gerencia Producción Pesca</v>
      </c>
      <c r="F138" s="33" t="str">
        <f>VLOOKUP(A138,BBDD!$1:$1048653,11,0)</f>
        <v>Obra</v>
      </c>
      <c r="G138" s="33" t="str">
        <f>VLOOKUP(A138,BBDD!$1:$1048653,13,0)</f>
        <v>Coronel Rol Eventual</v>
      </c>
      <c r="H138" s="33" t="str">
        <f>VLOOKUP(A138,BBDD!$1:$1048653,14,0)</f>
        <v>Gerencia Corp. Negocio Seafood</v>
      </c>
      <c r="I138" s="33" t="str">
        <f>VLOOKUP(A138,BBDD!$1:$1048653,16,0)</f>
        <v>Temporada (Con ocasión Temporada de Pesca)</v>
      </c>
      <c r="J138" s="33" t="str">
        <f>VLOOKUP(A138,BBDD!$1:$1048653,17,0)</f>
        <v/>
      </c>
      <c r="K138" s="35">
        <f>VLOOKUP(A138,BBDD!$1:$1048653,12,0)</f>
        <v>45628</v>
      </c>
      <c r="L138" s="35" t="str">
        <f>VLOOKUP(A138,BBDD!$1:$1048653,3,0)</f>
        <v>Orizon S.A</v>
      </c>
      <c r="M138" s="35" t="str">
        <f>VLOOKUP(A138,BBDD!$1:$1048653,4,0)</f>
        <v>F2</v>
      </c>
      <c r="N138" s="35" t="str">
        <f>VLOOKUP(A138,BBDD!$1:$1048653,5,0)</f>
        <v>DANIELLEHENRIQUEZ22@GMAIL.COM</v>
      </c>
      <c r="O138" s="36">
        <v>45965.0</v>
      </c>
      <c r="P138" s="32" t="s">
        <v>5575</v>
      </c>
      <c r="Q138" s="32" t="s">
        <v>5692</v>
      </c>
      <c r="R138" s="32" t="s">
        <v>5781</v>
      </c>
      <c r="S138" s="32" t="s">
        <v>5782</v>
      </c>
      <c r="T138" s="32" t="s">
        <v>5585</v>
      </c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</row>
    <row r="139" ht="14.25" customHeight="1">
      <c r="A139" s="39">
        <v>2.2150417E7</v>
      </c>
      <c r="B139" s="33" t="str">
        <f>VLOOKUP(A139,BBDD!$1:$1048653,2,0)</f>
        <v>#N/A</v>
      </c>
      <c r="C139" s="34" t="str">
        <f>VLOOKUP(A139,BBDD!$1:$1048653,7,0)</f>
        <v>#N/A</v>
      </c>
      <c r="D139" s="33" t="str">
        <f>VLOOKUP(A139,BBDD!$1:$1048653,8,0)</f>
        <v>#N/A</v>
      </c>
      <c r="E139" s="33" t="str">
        <f>VLOOKUP(A139,BBDD!$1:$1048653,10,0)</f>
        <v>#N/A</v>
      </c>
      <c r="F139" s="33" t="str">
        <f>VLOOKUP(A139,BBDD!$1:$1048653,11,0)</f>
        <v>#N/A</v>
      </c>
      <c r="G139" s="33" t="str">
        <f>VLOOKUP(A139,BBDD!$1:$1048653,13,0)</f>
        <v>#N/A</v>
      </c>
      <c r="H139" s="33" t="str">
        <f>VLOOKUP(A139,BBDD!$1:$1048653,14,0)</f>
        <v>#N/A</v>
      </c>
      <c r="I139" s="33" t="str">
        <f>VLOOKUP(A139,BBDD!$1:$1048653,16,0)</f>
        <v>#N/A</v>
      </c>
      <c r="J139" s="33" t="str">
        <f>VLOOKUP(A139,BBDD!$1:$1048653,17,0)</f>
        <v>#N/A</v>
      </c>
      <c r="K139" s="35" t="str">
        <f>VLOOKUP(A139,BBDD!$1:$1048653,12,0)</f>
        <v>#N/A</v>
      </c>
      <c r="L139" s="35" t="str">
        <f>VLOOKUP(A139,BBDD!$1:$1048653,3,0)</f>
        <v>#N/A</v>
      </c>
      <c r="M139" s="35" t="str">
        <f>VLOOKUP(A139,BBDD!$1:$1048653,4,0)</f>
        <v>#N/A</v>
      </c>
      <c r="N139" s="35" t="str">
        <f>VLOOKUP(A139,BBDD!$1:$1048653,5,0)</f>
        <v>#N/A</v>
      </c>
      <c r="O139" s="36">
        <v>45965.0</v>
      </c>
      <c r="P139" s="32" t="s">
        <v>5594</v>
      </c>
      <c r="Q139" s="32" t="s">
        <v>5586</v>
      </c>
      <c r="R139" s="32" t="s">
        <v>5783</v>
      </c>
      <c r="S139" s="32" t="s">
        <v>5784</v>
      </c>
      <c r="T139" s="32" t="s">
        <v>5616</v>
      </c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</row>
    <row r="140" ht="14.25" customHeight="1">
      <c r="A140" s="39">
        <v>1.2873362E7</v>
      </c>
      <c r="B140" s="33" t="str">
        <f>VLOOKUP(A140,BBDD!$1:$1048653,2,0)</f>
        <v>#N/A</v>
      </c>
      <c r="C140" s="34" t="str">
        <f>VLOOKUP(A140,BBDD!$1:$1048653,7,0)</f>
        <v>#N/A</v>
      </c>
      <c r="D140" s="33" t="str">
        <f>VLOOKUP(A140,BBDD!$1:$1048653,8,0)</f>
        <v>#N/A</v>
      </c>
      <c r="E140" s="33" t="str">
        <f>VLOOKUP(A140,BBDD!$1:$1048653,10,0)</f>
        <v>#N/A</v>
      </c>
      <c r="F140" s="33" t="str">
        <f>VLOOKUP(A140,BBDD!$1:$1048653,11,0)</f>
        <v>#N/A</v>
      </c>
      <c r="G140" s="33" t="str">
        <f>VLOOKUP(A140,BBDD!$1:$1048653,13,0)</f>
        <v>#N/A</v>
      </c>
      <c r="H140" s="33" t="str">
        <f>VLOOKUP(A140,BBDD!$1:$1048653,14,0)</f>
        <v>#N/A</v>
      </c>
      <c r="I140" s="33" t="str">
        <f>VLOOKUP(A140,BBDD!$1:$1048653,16,0)</f>
        <v>#N/A</v>
      </c>
      <c r="J140" s="33" t="str">
        <f>VLOOKUP(A140,BBDD!$1:$1048653,17,0)</f>
        <v>#N/A</v>
      </c>
      <c r="K140" s="35" t="str">
        <f>VLOOKUP(A140,BBDD!$1:$1048653,12,0)</f>
        <v>#N/A</v>
      </c>
      <c r="L140" s="35" t="str">
        <f>VLOOKUP(A140,BBDD!$1:$1048653,3,0)</f>
        <v>#N/A</v>
      </c>
      <c r="M140" s="35" t="str">
        <f>VLOOKUP(A140,BBDD!$1:$1048653,4,0)</f>
        <v>#N/A</v>
      </c>
      <c r="N140" s="35" t="str">
        <f>VLOOKUP(A140,BBDD!$1:$1048653,5,0)</f>
        <v>#N/A</v>
      </c>
      <c r="O140" s="36">
        <v>45965.0</v>
      </c>
      <c r="P140" s="32" t="s">
        <v>5594</v>
      </c>
      <c r="Q140" s="32" t="s">
        <v>5586</v>
      </c>
      <c r="R140" s="32" t="s">
        <v>5785</v>
      </c>
      <c r="S140" s="32" t="s">
        <v>5786</v>
      </c>
      <c r="T140" s="32" t="s">
        <v>5616</v>
      </c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</row>
    <row r="141" ht="14.25" customHeight="1">
      <c r="A141" s="32">
        <v>1.0</v>
      </c>
      <c r="B141" s="33" t="str">
        <f>VLOOKUP(A141,BBDD!$1:$1048653,2,0)</f>
        <v>Usuario Externo</v>
      </c>
      <c r="C141" s="34" t="str">
        <f>VLOOKUP(A141,BBDD!$1:$1048653,7,0)</f>
        <v>Usuario Externo</v>
      </c>
      <c r="D141" s="33" t="str">
        <f>VLOOKUP(A141,BBDD!$1:$1048653,8,0)</f>
        <v>Usuario Externo</v>
      </c>
      <c r="E141" s="33" t="str">
        <f>VLOOKUP(A141,BBDD!$1:$1048653,10,0)</f>
        <v>Usuario Externo</v>
      </c>
      <c r="F141" s="33" t="str">
        <f>VLOOKUP(A141,BBDD!$1:$1048653,11,0)</f>
        <v>Usuario Externo</v>
      </c>
      <c r="G141" s="33" t="str">
        <f>VLOOKUP(A141,BBDD!$1:$1048653,13,0)</f>
        <v>Usuario Externo</v>
      </c>
      <c r="H141" s="33" t="str">
        <f>VLOOKUP(A141,BBDD!$1:$1048653,14,0)</f>
        <v>Usuario Externo</v>
      </c>
      <c r="I141" s="33" t="str">
        <f>VLOOKUP(A141,BBDD!$1:$1048653,16,0)</f>
        <v>Usuario Externo</v>
      </c>
      <c r="J141" s="33" t="str">
        <f>VLOOKUP(A141,BBDD!$1:$1048653,17,0)</f>
        <v/>
      </c>
      <c r="K141" s="35" t="str">
        <f>VLOOKUP(A141,BBDD!$1:$1048653,12,0)</f>
        <v>Usuario Externo</v>
      </c>
      <c r="L141" s="35" t="str">
        <f>VLOOKUP(A141,BBDD!$1:$1048653,3,0)</f>
        <v>Usuario Externo</v>
      </c>
      <c r="M141" s="35" t="str">
        <f>VLOOKUP(A141,BBDD!$1:$1048653,4,0)</f>
        <v>Usuario Externo</v>
      </c>
      <c r="N141" s="35" t="str">
        <f>VLOOKUP(A141,BBDD!$1:$1048653,5,0)</f>
        <v>Usuario Externo</v>
      </c>
      <c r="O141" s="36">
        <v>45965.0</v>
      </c>
      <c r="P141" s="32" t="s">
        <v>5582</v>
      </c>
      <c r="Q141" s="32" t="s">
        <v>5598</v>
      </c>
      <c r="R141" s="32" t="s">
        <v>5787</v>
      </c>
      <c r="S141" s="32" t="s">
        <v>5788</v>
      </c>
      <c r="T141" s="32" t="s">
        <v>5585</v>
      </c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</row>
    <row r="142" ht="14.25" customHeight="1">
      <c r="A142" s="32">
        <v>1.7573952E7</v>
      </c>
      <c r="B142" s="33" t="str">
        <f>VLOOKUP(A142,BBDD!$1:$1048653,2,0)</f>
        <v>17.573.952-1</v>
      </c>
      <c r="C142" s="34" t="str">
        <f>VLOOKUP(A142,BBDD!$1:$1048653,7,0)</f>
        <v>Vergara Saavedra Francisco Javier</v>
      </c>
      <c r="D142" s="33" t="str">
        <f>VLOOKUP(A142,BBDD!$1:$1048653,8,0)</f>
        <v>Tripulante</v>
      </c>
      <c r="E142" s="33" t="str">
        <f>VLOOKUP(A142,BBDD!$1:$1048653,10,0)</f>
        <v>Gerencia de Flota y Abastecimiento de Materias Primas</v>
      </c>
      <c r="F142" s="33" t="str">
        <f>VLOOKUP(A142,BBDD!$1:$1048653,11,0)</f>
        <v>Indefinido</v>
      </c>
      <c r="G142" s="33" t="str">
        <f>VLOOKUP(A142,BBDD!$1:$1048653,13,0)</f>
        <v>Coronel Rol Flota</v>
      </c>
      <c r="H142" s="33" t="str">
        <f>VLOOKUP(A142,BBDD!$1:$1048653,14,0)</f>
        <v>Gerencia Corp. Negocio Seafood</v>
      </c>
      <c r="I142" s="33" t="str">
        <f>VLOOKUP(A142,BBDD!$1:$1048653,16,0)</f>
        <v>Rol General (Cargo permanente o proyección indefinido)</v>
      </c>
      <c r="J142" s="33" t="str">
        <f>VLOOKUP(A142,BBDD!$1:$1048653,17,0)</f>
        <v/>
      </c>
      <c r="K142" s="35">
        <f>VLOOKUP(A142,BBDD!$1:$1048653,12,0)</f>
        <v>45618</v>
      </c>
      <c r="L142" s="35" t="str">
        <f>VLOOKUP(A142,BBDD!$1:$1048653,3,0)</f>
        <v>Orizon S.A</v>
      </c>
      <c r="M142" s="35" t="str">
        <f>VLOOKUP(A142,BBDD!$1:$1048653,4,0)</f>
        <v>F2</v>
      </c>
      <c r="N142" s="35" t="str">
        <f>VLOOKUP(A142,BBDD!$1:$1048653,5,0)</f>
        <v>franciscovergaraa1988@gmail.com</v>
      </c>
      <c r="O142" s="36">
        <v>45965.0</v>
      </c>
      <c r="P142" s="32" t="s">
        <v>5594</v>
      </c>
      <c r="Q142" s="32" t="s">
        <v>5591</v>
      </c>
      <c r="R142" s="32" t="s">
        <v>5789</v>
      </c>
      <c r="S142" s="32" t="s">
        <v>5790</v>
      </c>
      <c r="T142" s="32" t="s">
        <v>5585</v>
      </c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</row>
    <row r="143" ht="14.25" customHeight="1">
      <c r="A143" s="32">
        <v>1.0</v>
      </c>
      <c r="B143" s="33" t="str">
        <f>VLOOKUP(A143,BBDD!$1:$1048653,2,0)</f>
        <v>Usuario Externo</v>
      </c>
      <c r="C143" s="34" t="str">
        <f>VLOOKUP(A143,BBDD!$1:$1048653,7,0)</f>
        <v>Usuario Externo</v>
      </c>
      <c r="D143" s="33" t="str">
        <f>VLOOKUP(A143,BBDD!$1:$1048653,8,0)</f>
        <v>Usuario Externo</v>
      </c>
      <c r="E143" s="33" t="str">
        <f>VLOOKUP(A143,BBDD!$1:$1048653,10,0)</f>
        <v>Usuario Externo</v>
      </c>
      <c r="F143" s="33" t="str">
        <f>VLOOKUP(A143,BBDD!$1:$1048653,11,0)</f>
        <v>Usuario Externo</v>
      </c>
      <c r="G143" s="33" t="str">
        <f>VLOOKUP(A143,BBDD!$1:$1048653,13,0)</f>
        <v>Usuario Externo</v>
      </c>
      <c r="H143" s="33" t="str">
        <f>VLOOKUP(A143,BBDD!$1:$1048653,14,0)</f>
        <v>Usuario Externo</v>
      </c>
      <c r="I143" s="33" t="str">
        <f>VLOOKUP(A143,BBDD!$1:$1048653,16,0)</f>
        <v>Usuario Externo</v>
      </c>
      <c r="J143" s="33" t="str">
        <f>VLOOKUP(A143,BBDD!$1:$1048653,17,0)</f>
        <v/>
      </c>
      <c r="K143" s="35" t="str">
        <f>VLOOKUP(A143,BBDD!$1:$1048653,12,0)</f>
        <v>Usuario Externo</v>
      </c>
      <c r="L143" s="35" t="str">
        <f>VLOOKUP(A143,BBDD!$1:$1048653,3,0)</f>
        <v>Usuario Externo</v>
      </c>
      <c r="M143" s="35" t="str">
        <f>VLOOKUP(A143,BBDD!$1:$1048653,4,0)</f>
        <v>Usuario Externo</v>
      </c>
      <c r="N143" s="35" t="str">
        <f>VLOOKUP(A143,BBDD!$1:$1048653,5,0)</f>
        <v>Usuario Externo</v>
      </c>
      <c r="O143" s="36">
        <v>45965.0</v>
      </c>
      <c r="P143" s="32" t="s">
        <v>5582</v>
      </c>
      <c r="Q143" s="32" t="s">
        <v>5598</v>
      </c>
      <c r="R143" s="32" t="s">
        <v>5791</v>
      </c>
      <c r="S143" s="32" t="s">
        <v>5788</v>
      </c>
      <c r="T143" s="32" t="s">
        <v>5585</v>
      </c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</row>
    <row r="144" ht="14.25" customHeight="1">
      <c r="A144" s="39">
        <v>1.4462254E7</v>
      </c>
      <c r="B144" s="33" t="str">
        <f>VLOOKUP(A144,BBDD!$1:$1048653,2,0)</f>
        <v>14.462.254-5</v>
      </c>
      <c r="C144" s="34" t="str">
        <f>VLOOKUP(A144,BBDD!$1:$1048653,7,0)</f>
        <v>Saez Cisterna Eloisa Del Carmen</v>
      </c>
      <c r="D144" s="33" t="str">
        <f>VLOOKUP(A144,BBDD!$1:$1048653,8,0)</f>
        <v>Operario Apoyo Elaboracion</v>
      </c>
      <c r="E144" s="33" t="str">
        <f>VLOOKUP(A144,BBDD!$1:$1048653,10,0)</f>
        <v>Gerencia Producción Pesca</v>
      </c>
      <c r="F144" s="33" t="str">
        <f>VLOOKUP(A144,BBDD!$1:$1048653,11,0)</f>
        <v>Plazo fijo</v>
      </c>
      <c r="G144" s="33" t="str">
        <f>VLOOKUP(A144,BBDD!$1:$1048653,13,0)</f>
        <v>Coronel Rol Eventual</v>
      </c>
      <c r="H144" s="33" t="str">
        <f>VLOOKUP(A144,BBDD!$1:$1048653,14,0)</f>
        <v>Gerencia Corp. Negocio Seafood</v>
      </c>
      <c r="I144" s="33" t="str">
        <f>VLOOKUP(A144,BBDD!$1:$1048653,16,0)</f>
        <v>Temporada (Con ocasión Temporada de Pesca)</v>
      </c>
      <c r="J144" s="33" t="str">
        <f>VLOOKUP(A144,BBDD!$1:$1048653,17,0)</f>
        <v/>
      </c>
      <c r="K144" s="35">
        <f>VLOOKUP(A144,BBDD!$1:$1048653,12,0)</f>
        <v>45931</v>
      </c>
      <c r="L144" s="35" t="str">
        <f>VLOOKUP(A144,BBDD!$1:$1048653,3,0)</f>
        <v>Orizon S.A</v>
      </c>
      <c r="M144" s="35" t="str">
        <f>VLOOKUP(A144,BBDD!$1:$1048653,4,0)</f>
        <v>F3</v>
      </c>
      <c r="N144" s="35" t="str">
        <f>VLOOKUP(A144,BBDD!$1:$1048653,5,0)</f>
        <v>elosaez1971@gmail.com</v>
      </c>
      <c r="O144" s="36">
        <v>45965.0</v>
      </c>
      <c r="P144" s="32" t="s">
        <v>5582</v>
      </c>
      <c r="Q144" s="32" t="s">
        <v>5586</v>
      </c>
      <c r="R144" s="32" t="s">
        <v>5792</v>
      </c>
      <c r="S144" s="32" t="s">
        <v>5793</v>
      </c>
      <c r="T144" s="32" t="s">
        <v>5585</v>
      </c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</row>
    <row r="145" ht="14.25" customHeight="1">
      <c r="A145" s="32">
        <v>1.2704501E7</v>
      </c>
      <c r="B145" s="33" t="str">
        <f>VLOOKUP(A145,BBDD!$1:$1048653,2,0)</f>
        <v>12.704.501-1</v>
      </c>
      <c r="C145" s="34" t="str">
        <f>VLOOKUP(A145,BBDD!$1:$1048653,7,0)</f>
        <v>Canales Jara Pablo Enrique</v>
      </c>
      <c r="D145" s="33" t="str">
        <f>VLOOKUP(A145,BBDD!$1:$1048653,8,0)</f>
        <v>Operario Apoyo Elaboracion</v>
      </c>
      <c r="E145" s="33" t="str">
        <f>VLOOKUP(A145,BBDD!$1:$1048653,10,0)</f>
        <v>Gerencia Producción Pesca</v>
      </c>
      <c r="F145" s="33" t="str">
        <f>VLOOKUP(A145,BBDD!$1:$1048653,11,0)</f>
        <v>Plazo fijo</v>
      </c>
      <c r="G145" s="33" t="str">
        <f>VLOOKUP(A145,BBDD!$1:$1048653,13,0)</f>
        <v>Coronel Rol Eventual</v>
      </c>
      <c r="H145" s="33" t="str">
        <f>VLOOKUP(A145,BBDD!$1:$1048653,14,0)</f>
        <v>Gerencia Corp. Negocio Seafood</v>
      </c>
      <c r="I145" s="33" t="str">
        <f>VLOOKUP(A145,BBDD!$1:$1048653,16,0)</f>
        <v>Temporada (Con ocasión Temporada de Pesca)</v>
      </c>
      <c r="J145" s="33" t="str">
        <f>VLOOKUP(A145,BBDD!$1:$1048653,17,0)</f>
        <v/>
      </c>
      <c r="K145" s="35">
        <f>VLOOKUP(A145,BBDD!$1:$1048653,12,0)</f>
        <v>45931</v>
      </c>
      <c r="L145" s="35" t="str">
        <f>VLOOKUP(A145,BBDD!$1:$1048653,3,0)</f>
        <v>Orizon S.A</v>
      </c>
      <c r="M145" s="35" t="str">
        <f>VLOOKUP(A145,BBDD!$1:$1048653,4,0)</f>
        <v>F2</v>
      </c>
      <c r="N145" s="35" t="str">
        <f>VLOOKUP(A145,BBDD!$1:$1048653,5,0)</f>
        <v>pablocanalesjara@gmail.com</v>
      </c>
      <c r="O145" s="36">
        <v>45965.0</v>
      </c>
      <c r="P145" s="32" t="s">
        <v>5582</v>
      </c>
      <c r="Q145" s="32" t="s">
        <v>5601</v>
      </c>
      <c r="R145" s="32" t="s">
        <v>5794</v>
      </c>
      <c r="S145" s="32" t="s">
        <v>5795</v>
      </c>
      <c r="T145" s="32" t="s">
        <v>5585</v>
      </c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</row>
    <row r="146" ht="14.25" customHeight="1">
      <c r="A146" s="32">
        <v>1.6504596E7</v>
      </c>
      <c r="B146" s="33" t="str">
        <f>VLOOKUP(A146,BBDD!$1:$1048653,2,0)</f>
        <v>16.504.596-3</v>
      </c>
      <c r="C146" s="34" t="str">
        <f>VLOOKUP(A146,BBDD!$1:$1048653,7,0)</f>
        <v>Arredondo Zurita Teresa Ester</v>
      </c>
      <c r="D146" s="33" t="str">
        <f>VLOOKUP(A146,BBDD!$1:$1048653,8,0)</f>
        <v>Operario Apoyo Elaboracion</v>
      </c>
      <c r="E146" s="33" t="str">
        <f>VLOOKUP(A146,BBDD!$1:$1048653,10,0)</f>
        <v>Gerencia Producción Pesca</v>
      </c>
      <c r="F146" s="33" t="str">
        <f>VLOOKUP(A146,BBDD!$1:$1048653,11,0)</f>
        <v>Plazo fijo</v>
      </c>
      <c r="G146" s="33" t="str">
        <f>VLOOKUP(A146,BBDD!$1:$1048653,13,0)</f>
        <v>Coronel Rol Eventual</v>
      </c>
      <c r="H146" s="33" t="str">
        <f>VLOOKUP(A146,BBDD!$1:$1048653,14,0)</f>
        <v>Gerencia Corp. Negocio Seafood</v>
      </c>
      <c r="I146" s="33" t="str">
        <f>VLOOKUP(A146,BBDD!$1:$1048653,16,0)</f>
        <v>Temporada (Con ocasión Temporada de Pesca)</v>
      </c>
      <c r="J146" s="33" t="str">
        <f>VLOOKUP(A146,BBDD!$1:$1048653,17,0)</f>
        <v/>
      </c>
      <c r="K146" s="35">
        <f>VLOOKUP(A146,BBDD!$1:$1048653,12,0)</f>
        <v>45931</v>
      </c>
      <c r="L146" s="35" t="str">
        <f>VLOOKUP(A146,BBDD!$1:$1048653,3,0)</f>
        <v>Orizon S.A</v>
      </c>
      <c r="M146" s="35" t="str">
        <f>VLOOKUP(A146,BBDD!$1:$1048653,4,0)</f>
        <v>F2</v>
      </c>
      <c r="N146" s="35" t="str">
        <f>VLOOKUP(A146,BBDD!$1:$1048653,5,0)</f>
        <v>TERESAARREDONDOZURITA@GMAIL.COM</v>
      </c>
      <c r="O146" s="36">
        <v>45966.0</v>
      </c>
      <c r="P146" s="32" t="s">
        <v>5582</v>
      </c>
      <c r="Q146" s="32" t="s">
        <v>5606</v>
      </c>
      <c r="R146" s="37"/>
      <c r="S146" s="37"/>
      <c r="T146" s="32" t="s">
        <v>5585</v>
      </c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</row>
    <row r="147" ht="14.25" customHeight="1">
      <c r="A147" s="32">
        <v>1.0</v>
      </c>
      <c r="B147" s="33" t="str">
        <f>VLOOKUP(A147,BBDD!$1:$1048653,2,0)</f>
        <v>Usuario Externo</v>
      </c>
      <c r="C147" s="34" t="str">
        <f>VLOOKUP(A147,BBDD!$1:$1048653,7,0)</f>
        <v>Usuario Externo</v>
      </c>
      <c r="D147" s="33" t="str">
        <f>VLOOKUP(A147,BBDD!$1:$1048653,8,0)</f>
        <v>Usuario Externo</v>
      </c>
      <c r="E147" s="33" t="str">
        <f>VLOOKUP(A147,BBDD!$1:$1048653,10,0)</f>
        <v>Usuario Externo</v>
      </c>
      <c r="F147" s="33" t="str">
        <f>VLOOKUP(A147,BBDD!$1:$1048653,11,0)</f>
        <v>Usuario Externo</v>
      </c>
      <c r="G147" s="33" t="str">
        <f>VLOOKUP(A147,BBDD!$1:$1048653,13,0)</f>
        <v>Usuario Externo</v>
      </c>
      <c r="H147" s="33" t="str">
        <f>VLOOKUP(A147,BBDD!$1:$1048653,14,0)</f>
        <v>Usuario Externo</v>
      </c>
      <c r="I147" s="33" t="str">
        <f>VLOOKUP(A147,BBDD!$1:$1048653,16,0)</f>
        <v>Usuario Externo</v>
      </c>
      <c r="J147" s="33" t="str">
        <f>VLOOKUP(A147,BBDD!$1:$1048653,17,0)</f>
        <v/>
      </c>
      <c r="K147" s="35" t="str">
        <f>VLOOKUP(A147,BBDD!$1:$1048653,12,0)</f>
        <v>Usuario Externo</v>
      </c>
      <c r="L147" s="35" t="str">
        <f>VLOOKUP(A147,BBDD!$1:$1048653,3,0)</f>
        <v>Usuario Externo</v>
      </c>
      <c r="M147" s="35" t="str">
        <f>VLOOKUP(A147,BBDD!$1:$1048653,4,0)</f>
        <v>Usuario Externo</v>
      </c>
      <c r="N147" s="35" t="str">
        <f>VLOOKUP(A147,BBDD!$1:$1048653,5,0)</f>
        <v>Usuario Externo</v>
      </c>
      <c r="O147" s="36">
        <v>45966.0</v>
      </c>
      <c r="P147" s="32" t="s">
        <v>5594</v>
      </c>
      <c r="Q147" s="32" t="s">
        <v>5598</v>
      </c>
      <c r="R147" s="32" t="s">
        <v>5796</v>
      </c>
      <c r="S147" s="32" t="s">
        <v>5797</v>
      </c>
      <c r="T147" s="32" t="s">
        <v>5585</v>
      </c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</row>
    <row r="148" ht="14.25" customHeight="1">
      <c r="A148" s="32">
        <v>1.0376049E7</v>
      </c>
      <c r="B148" s="33" t="str">
        <f>VLOOKUP(A148,BBDD!$1:$1048653,2,0)</f>
        <v>10.376.049-6</v>
      </c>
      <c r="C148" s="34" t="str">
        <f>VLOOKUP(A148,BBDD!$1:$1048653,7,0)</f>
        <v>Cifuentes Peña Nelson Del Carmen</v>
      </c>
      <c r="D148" s="33" t="str">
        <f>VLOOKUP(A148,BBDD!$1:$1048653,8,0)</f>
        <v>Tripulante</v>
      </c>
      <c r="E148" s="33" t="str">
        <f>VLOOKUP(A148,BBDD!$1:$1048653,10,0)</f>
        <v>Gerencia de Flota y Abastecimiento de Materias Primas</v>
      </c>
      <c r="F148" s="33" t="str">
        <f>VLOOKUP(A148,BBDD!$1:$1048653,11,0)</f>
        <v>Indefinido</v>
      </c>
      <c r="G148" s="33" t="str">
        <f>VLOOKUP(A148,BBDD!$1:$1048653,13,0)</f>
        <v>Coronel Rol Flota</v>
      </c>
      <c r="H148" s="33" t="str">
        <f>VLOOKUP(A148,BBDD!$1:$1048653,14,0)</f>
        <v>Gerencia Corp. Negocio Seafood</v>
      </c>
      <c r="I148" s="33" t="str">
        <f>VLOOKUP(A148,BBDD!$1:$1048653,16,0)</f>
        <v>Rol General (Cargo permanente o proyección indefinido)</v>
      </c>
      <c r="J148" s="33" t="str">
        <f>VLOOKUP(A148,BBDD!$1:$1048653,17,0)</f>
        <v/>
      </c>
      <c r="K148" s="35">
        <f>VLOOKUP(A148,BBDD!$1:$1048653,12,0)</f>
        <v>45562</v>
      </c>
      <c r="L148" s="35" t="str">
        <f>VLOOKUP(A148,BBDD!$1:$1048653,3,0)</f>
        <v>Orizon S.A</v>
      </c>
      <c r="M148" s="35" t="str">
        <f>VLOOKUP(A148,BBDD!$1:$1048653,4,0)</f>
        <v>F2</v>
      </c>
      <c r="N148" s="35" t="str">
        <f>VLOOKUP(A148,BBDD!$1:$1048653,5,0)</f>
        <v>nelson.acero.cp@gmail.com</v>
      </c>
      <c r="O148" s="36">
        <v>45966.0</v>
      </c>
      <c r="P148" s="32" t="s">
        <v>5582</v>
      </c>
      <c r="Q148" s="32" t="s">
        <v>5692</v>
      </c>
      <c r="R148" s="37"/>
      <c r="S148" s="32" t="s">
        <v>5798</v>
      </c>
      <c r="T148" s="32" t="s">
        <v>5585</v>
      </c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</row>
    <row r="149" ht="14.25" customHeight="1">
      <c r="A149" s="32">
        <v>1.0</v>
      </c>
      <c r="B149" s="33" t="str">
        <f>VLOOKUP(A149,BBDD!$1:$1048653,2,0)</f>
        <v>Usuario Externo</v>
      </c>
      <c r="C149" s="34" t="str">
        <f>VLOOKUP(A149,BBDD!$1:$1048653,7,0)</f>
        <v>Usuario Externo</v>
      </c>
      <c r="D149" s="33" t="str">
        <f>VLOOKUP(A149,BBDD!$1:$1048653,8,0)</f>
        <v>Usuario Externo</v>
      </c>
      <c r="E149" s="33" t="str">
        <f>VLOOKUP(A149,BBDD!$1:$1048653,10,0)</f>
        <v>Usuario Externo</v>
      </c>
      <c r="F149" s="33" t="str">
        <f>VLOOKUP(A149,BBDD!$1:$1048653,11,0)</f>
        <v>Usuario Externo</v>
      </c>
      <c r="G149" s="33" t="str">
        <f>VLOOKUP(A149,BBDD!$1:$1048653,13,0)</f>
        <v>Usuario Externo</v>
      </c>
      <c r="H149" s="33" t="str">
        <f>VLOOKUP(A149,BBDD!$1:$1048653,14,0)</f>
        <v>Usuario Externo</v>
      </c>
      <c r="I149" s="33" t="str">
        <f>VLOOKUP(A149,BBDD!$1:$1048653,16,0)</f>
        <v>Usuario Externo</v>
      </c>
      <c r="J149" s="33" t="str">
        <f>VLOOKUP(A149,BBDD!$1:$1048653,17,0)</f>
        <v/>
      </c>
      <c r="K149" s="35" t="str">
        <f>VLOOKUP(A149,BBDD!$1:$1048653,12,0)</f>
        <v>Usuario Externo</v>
      </c>
      <c r="L149" s="35" t="str">
        <f>VLOOKUP(A149,BBDD!$1:$1048653,3,0)</f>
        <v>Usuario Externo</v>
      </c>
      <c r="M149" s="35" t="str">
        <f>VLOOKUP(A149,BBDD!$1:$1048653,4,0)</f>
        <v>Usuario Externo</v>
      </c>
      <c r="N149" s="35" t="str">
        <f>VLOOKUP(A149,BBDD!$1:$1048653,5,0)</f>
        <v>Usuario Externo</v>
      </c>
      <c r="O149" s="36">
        <v>45966.0</v>
      </c>
      <c r="P149" s="32" t="s">
        <v>5582</v>
      </c>
      <c r="Q149" s="32" t="s">
        <v>5603</v>
      </c>
      <c r="R149" s="32" t="s">
        <v>5799</v>
      </c>
      <c r="S149" s="37"/>
      <c r="T149" s="32" t="s">
        <v>5616</v>
      </c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</row>
    <row r="150" ht="14.25" customHeight="1">
      <c r="A150" s="32">
        <v>1.0522016E7</v>
      </c>
      <c r="B150" s="33" t="str">
        <f>VLOOKUP(A150,BBDD!$1:$1048653,2,0)</f>
        <v>10.522.016-2</v>
      </c>
      <c r="C150" s="34" t="str">
        <f>VLOOKUP(A150,BBDD!$1:$1048653,7,0)</f>
        <v>Diaz Letelier Fabiola Elizabeth</v>
      </c>
      <c r="D150" s="33" t="str">
        <f>VLOOKUP(A150,BBDD!$1:$1048653,8,0)</f>
        <v>Operario Apoyo Elaboracion</v>
      </c>
      <c r="E150" s="33" t="str">
        <f>VLOOKUP(A150,BBDD!$1:$1048653,10,0)</f>
        <v>Gerencia Producción Pesca</v>
      </c>
      <c r="F150" s="33" t="str">
        <f>VLOOKUP(A150,BBDD!$1:$1048653,11,0)</f>
        <v>Plazo fijo</v>
      </c>
      <c r="G150" s="33" t="str">
        <f>VLOOKUP(A150,BBDD!$1:$1048653,13,0)</f>
        <v>Coronel Rol Eventual</v>
      </c>
      <c r="H150" s="33" t="str">
        <f>VLOOKUP(A150,BBDD!$1:$1048653,14,0)</f>
        <v>Gerencia Corp. Negocio Seafood</v>
      </c>
      <c r="I150" s="33" t="str">
        <f>VLOOKUP(A150,BBDD!$1:$1048653,16,0)</f>
        <v>Temporada (Con ocasión Temporada de Pesca)</v>
      </c>
      <c r="J150" s="33" t="str">
        <f>VLOOKUP(A150,BBDD!$1:$1048653,17,0)</f>
        <v/>
      </c>
      <c r="K150" s="35">
        <f>VLOOKUP(A150,BBDD!$1:$1048653,12,0)</f>
        <v>45940</v>
      </c>
      <c r="L150" s="35" t="str">
        <f>VLOOKUP(A150,BBDD!$1:$1048653,3,0)</f>
        <v>Orizon S.A</v>
      </c>
      <c r="M150" s="35" t="str">
        <f>VLOOKUP(A150,BBDD!$1:$1048653,4,0)</f>
        <v>F3</v>
      </c>
      <c r="N150" s="35" t="str">
        <f>VLOOKUP(A150,BBDD!$1:$1048653,5,0)</f>
        <v>LETELIERDFABIOLA@GMAIL.COM</v>
      </c>
      <c r="O150" s="36">
        <v>45966.0</v>
      </c>
      <c r="P150" s="32" t="s">
        <v>5582</v>
      </c>
      <c r="Q150" s="32" t="s">
        <v>5586</v>
      </c>
      <c r="R150" s="32" t="s">
        <v>5800</v>
      </c>
      <c r="S150" s="32" t="s">
        <v>5801</v>
      </c>
      <c r="T150" s="32" t="s">
        <v>5585</v>
      </c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</row>
    <row r="151" ht="14.25" customHeight="1">
      <c r="A151" s="32">
        <v>1.0</v>
      </c>
      <c r="B151" s="33" t="str">
        <f>VLOOKUP(A151,BBDD!$1:$1048653,2,0)</f>
        <v>Usuario Externo</v>
      </c>
      <c r="C151" s="34" t="str">
        <f>VLOOKUP(A151,BBDD!$1:$1048653,7,0)</f>
        <v>Usuario Externo</v>
      </c>
      <c r="D151" s="33" t="str">
        <f>VLOOKUP(A151,BBDD!$1:$1048653,8,0)</f>
        <v>Usuario Externo</v>
      </c>
      <c r="E151" s="33" t="str">
        <f>VLOOKUP(A151,BBDD!$1:$1048653,10,0)</f>
        <v>Usuario Externo</v>
      </c>
      <c r="F151" s="33" t="str">
        <f>VLOOKUP(A151,BBDD!$1:$1048653,11,0)</f>
        <v>Usuario Externo</v>
      </c>
      <c r="G151" s="33" t="str">
        <f>VLOOKUP(A151,BBDD!$1:$1048653,13,0)</f>
        <v>Usuario Externo</v>
      </c>
      <c r="H151" s="33" t="str">
        <f>VLOOKUP(A151,BBDD!$1:$1048653,14,0)</f>
        <v>Usuario Externo</v>
      </c>
      <c r="I151" s="33" t="str">
        <f>VLOOKUP(A151,BBDD!$1:$1048653,16,0)</f>
        <v>Usuario Externo</v>
      </c>
      <c r="J151" s="33" t="str">
        <f>VLOOKUP(A151,BBDD!$1:$1048653,17,0)</f>
        <v/>
      </c>
      <c r="K151" s="35" t="str">
        <f>VLOOKUP(A151,BBDD!$1:$1048653,12,0)</f>
        <v>Usuario Externo</v>
      </c>
      <c r="L151" s="35" t="str">
        <f>VLOOKUP(A151,BBDD!$1:$1048653,3,0)</f>
        <v>Usuario Externo</v>
      </c>
      <c r="M151" s="35" t="str">
        <f>VLOOKUP(A151,BBDD!$1:$1048653,4,0)</f>
        <v>Usuario Externo</v>
      </c>
      <c r="N151" s="35" t="str">
        <f>VLOOKUP(A151,BBDD!$1:$1048653,5,0)</f>
        <v>Usuario Externo</v>
      </c>
      <c r="O151" s="36">
        <v>45966.0</v>
      </c>
      <c r="P151" s="32" t="s">
        <v>5582</v>
      </c>
      <c r="Q151" s="32" t="s">
        <v>5692</v>
      </c>
      <c r="R151" s="32" t="s">
        <v>5802</v>
      </c>
      <c r="S151" s="37"/>
      <c r="T151" s="32" t="s">
        <v>5585</v>
      </c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</row>
    <row r="152" ht="14.25" customHeight="1">
      <c r="A152" s="40">
        <v>1.5175822E7</v>
      </c>
      <c r="B152" s="33" t="str">
        <f>VLOOKUP(A152,BBDD!$1:$1048653,2,0)</f>
        <v>15.175.822-3</v>
      </c>
      <c r="C152" s="34" t="str">
        <f>VLOOKUP(A152,BBDD!$1:$1048653,7,0)</f>
        <v>Hernandez Roa Pedro Antonio</v>
      </c>
      <c r="D152" s="33" t="str">
        <f>VLOOKUP(A152,BBDD!$1:$1048653,8,0)</f>
        <v>Tripulante</v>
      </c>
      <c r="E152" s="33" t="str">
        <f>VLOOKUP(A152,BBDD!$1:$1048653,10,0)</f>
        <v>Gerencia de Flota y Abastecimiento de Materias Primas</v>
      </c>
      <c r="F152" s="33" t="str">
        <f>VLOOKUP(A152,BBDD!$1:$1048653,11,0)</f>
        <v>Indefinido</v>
      </c>
      <c r="G152" s="33" t="str">
        <f>VLOOKUP(A152,BBDD!$1:$1048653,13,0)</f>
        <v>Coronel Rol Flota</v>
      </c>
      <c r="H152" s="33" t="str">
        <f>VLOOKUP(A152,BBDD!$1:$1048653,14,0)</f>
        <v>Gerencia Corp. Negocio Seafood</v>
      </c>
      <c r="I152" s="33" t="str">
        <f>VLOOKUP(A152,BBDD!$1:$1048653,16,0)</f>
        <v>Rol General (Cargo permanente o proyección indefinido)</v>
      </c>
      <c r="J152" s="33" t="str">
        <f>VLOOKUP(A152,BBDD!$1:$1048653,17,0)</f>
        <v/>
      </c>
      <c r="K152" s="35">
        <f>VLOOKUP(A152,BBDD!$1:$1048653,12,0)</f>
        <v>45603</v>
      </c>
      <c r="L152" s="35" t="str">
        <f>VLOOKUP(A152,BBDD!$1:$1048653,3,0)</f>
        <v>Orizon S.A</v>
      </c>
      <c r="M152" s="35" t="str">
        <f>VLOOKUP(A152,BBDD!$1:$1048653,4,0)</f>
        <v>F2</v>
      </c>
      <c r="N152" s="35" t="str">
        <f>VLOOKUP(A152,BBDD!$1:$1048653,5,0)</f>
        <v>pedroroa124@gmail.com</v>
      </c>
      <c r="O152" s="36">
        <v>45966.0</v>
      </c>
      <c r="P152" s="32" t="s">
        <v>5582</v>
      </c>
      <c r="Q152" s="32" t="s">
        <v>5583</v>
      </c>
      <c r="R152" s="37"/>
      <c r="S152" s="37"/>
      <c r="T152" s="32" t="s">
        <v>5585</v>
      </c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</row>
    <row r="153" ht="14.25" customHeight="1">
      <c r="A153" s="32">
        <v>1.0</v>
      </c>
      <c r="B153" s="33" t="str">
        <f>VLOOKUP(A153,BBDD!$1:$1048653,2,0)</f>
        <v>Usuario Externo</v>
      </c>
      <c r="C153" s="34" t="str">
        <f>VLOOKUP(A153,BBDD!$1:$1048653,7,0)</f>
        <v>Usuario Externo</v>
      </c>
      <c r="D153" s="33" t="str">
        <f>VLOOKUP(A153,BBDD!$1:$1048653,8,0)</f>
        <v>Usuario Externo</v>
      </c>
      <c r="E153" s="33" t="str">
        <f>VLOOKUP(A153,BBDD!$1:$1048653,10,0)</f>
        <v>Usuario Externo</v>
      </c>
      <c r="F153" s="33" t="str">
        <f>VLOOKUP(A153,BBDD!$1:$1048653,11,0)</f>
        <v>Usuario Externo</v>
      </c>
      <c r="G153" s="33" t="str">
        <f>VLOOKUP(A153,BBDD!$1:$1048653,13,0)</f>
        <v>Usuario Externo</v>
      </c>
      <c r="H153" s="33" t="str">
        <f>VLOOKUP(A153,BBDD!$1:$1048653,14,0)</f>
        <v>Usuario Externo</v>
      </c>
      <c r="I153" s="33" t="str">
        <f>VLOOKUP(A153,BBDD!$1:$1048653,16,0)</f>
        <v>Usuario Externo</v>
      </c>
      <c r="J153" s="33" t="str">
        <f>VLOOKUP(A153,BBDD!$1:$1048653,17,0)</f>
        <v/>
      </c>
      <c r="K153" s="35" t="str">
        <f>VLOOKUP(A153,BBDD!$1:$1048653,12,0)</f>
        <v>Usuario Externo</v>
      </c>
      <c r="L153" s="35" t="str">
        <f>VLOOKUP(A153,BBDD!$1:$1048653,3,0)</f>
        <v>Usuario Externo</v>
      </c>
      <c r="M153" s="35" t="str">
        <f>VLOOKUP(A153,BBDD!$1:$1048653,4,0)</f>
        <v>Usuario Externo</v>
      </c>
      <c r="N153" s="35" t="str">
        <f>VLOOKUP(A153,BBDD!$1:$1048653,5,0)</f>
        <v>Usuario Externo</v>
      </c>
      <c r="O153" s="36">
        <v>45966.0</v>
      </c>
      <c r="P153" s="32" t="s">
        <v>5582</v>
      </c>
      <c r="Q153" s="32" t="s">
        <v>5606</v>
      </c>
      <c r="R153" s="37"/>
      <c r="S153" s="37"/>
      <c r="T153" s="32" t="s">
        <v>5616</v>
      </c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</row>
    <row r="154" ht="14.25" customHeight="1">
      <c r="A154" s="32">
        <v>1.0</v>
      </c>
      <c r="B154" s="33" t="str">
        <f>VLOOKUP(A154,BBDD!$1:$1048653,2,0)</f>
        <v>Usuario Externo</v>
      </c>
      <c r="C154" s="34" t="str">
        <f>VLOOKUP(A154,BBDD!$1:$1048653,7,0)</f>
        <v>Usuario Externo</v>
      </c>
      <c r="D154" s="33" t="str">
        <f>VLOOKUP(A154,BBDD!$1:$1048653,8,0)</f>
        <v>Usuario Externo</v>
      </c>
      <c r="E154" s="33" t="str">
        <f>VLOOKUP(A154,BBDD!$1:$1048653,10,0)</f>
        <v>Usuario Externo</v>
      </c>
      <c r="F154" s="33" t="str">
        <f>VLOOKUP(A154,BBDD!$1:$1048653,11,0)</f>
        <v>Usuario Externo</v>
      </c>
      <c r="G154" s="33" t="str">
        <f>VLOOKUP(A154,BBDD!$1:$1048653,13,0)</f>
        <v>Usuario Externo</v>
      </c>
      <c r="H154" s="33" t="str">
        <f>VLOOKUP(A154,BBDD!$1:$1048653,14,0)</f>
        <v>Usuario Externo</v>
      </c>
      <c r="I154" s="33" t="str">
        <f>VLOOKUP(A154,BBDD!$1:$1048653,16,0)</f>
        <v>Usuario Externo</v>
      </c>
      <c r="J154" s="33" t="str">
        <f>VLOOKUP(A154,BBDD!$1:$1048653,17,0)</f>
        <v/>
      </c>
      <c r="K154" s="35" t="str">
        <f>VLOOKUP(A154,BBDD!$1:$1048653,12,0)</f>
        <v>Usuario Externo</v>
      </c>
      <c r="L154" s="35" t="str">
        <f>VLOOKUP(A154,BBDD!$1:$1048653,3,0)</f>
        <v>Usuario Externo</v>
      </c>
      <c r="M154" s="35" t="str">
        <f>VLOOKUP(A154,BBDD!$1:$1048653,4,0)</f>
        <v>Usuario Externo</v>
      </c>
      <c r="N154" s="35" t="str">
        <f>VLOOKUP(A154,BBDD!$1:$1048653,5,0)</f>
        <v>Usuario Externo</v>
      </c>
      <c r="O154" s="36">
        <v>45966.0</v>
      </c>
      <c r="P154" s="32" t="s">
        <v>5582</v>
      </c>
      <c r="Q154" s="32" t="s">
        <v>5401</v>
      </c>
      <c r="R154" s="32" t="s">
        <v>5803</v>
      </c>
      <c r="S154" s="32" t="s">
        <v>5804</v>
      </c>
      <c r="T154" s="32" t="s">
        <v>5585</v>
      </c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</row>
    <row r="155" ht="14.25" customHeight="1">
      <c r="A155" s="32">
        <v>1.0</v>
      </c>
      <c r="B155" s="33" t="str">
        <f>VLOOKUP(A155,BBDD!$1:$1048653,2,0)</f>
        <v>Usuario Externo</v>
      </c>
      <c r="C155" s="34" t="str">
        <f>VLOOKUP(A155,BBDD!$1:$1048653,7,0)</f>
        <v>Usuario Externo</v>
      </c>
      <c r="D155" s="33" t="str">
        <f>VLOOKUP(A155,BBDD!$1:$1048653,8,0)</f>
        <v>Usuario Externo</v>
      </c>
      <c r="E155" s="33" t="str">
        <f>VLOOKUP(A155,BBDD!$1:$1048653,10,0)</f>
        <v>Usuario Externo</v>
      </c>
      <c r="F155" s="33" t="str">
        <f>VLOOKUP(A155,BBDD!$1:$1048653,11,0)</f>
        <v>Usuario Externo</v>
      </c>
      <c r="G155" s="33" t="str">
        <f>VLOOKUP(A155,BBDD!$1:$1048653,13,0)</f>
        <v>Usuario Externo</v>
      </c>
      <c r="H155" s="33" t="str">
        <f>VLOOKUP(A155,BBDD!$1:$1048653,14,0)</f>
        <v>Usuario Externo</v>
      </c>
      <c r="I155" s="33" t="str">
        <f>VLOOKUP(A155,BBDD!$1:$1048653,16,0)</f>
        <v>Usuario Externo</v>
      </c>
      <c r="J155" s="33" t="str">
        <f>VLOOKUP(A155,BBDD!$1:$1048653,17,0)</f>
        <v/>
      </c>
      <c r="K155" s="35" t="str">
        <f>VLOOKUP(A155,BBDD!$1:$1048653,12,0)</f>
        <v>Usuario Externo</v>
      </c>
      <c r="L155" s="35" t="str">
        <f>VLOOKUP(A155,BBDD!$1:$1048653,3,0)</f>
        <v>Usuario Externo</v>
      </c>
      <c r="M155" s="35" t="str">
        <f>VLOOKUP(A155,BBDD!$1:$1048653,4,0)</f>
        <v>Usuario Externo</v>
      </c>
      <c r="N155" s="35" t="str">
        <f>VLOOKUP(A155,BBDD!$1:$1048653,5,0)</f>
        <v>Usuario Externo</v>
      </c>
      <c r="O155" s="36">
        <v>45966.0</v>
      </c>
      <c r="P155" s="32" t="s">
        <v>5582</v>
      </c>
      <c r="Q155" s="32" t="s">
        <v>5401</v>
      </c>
      <c r="R155" s="32" t="s">
        <v>5805</v>
      </c>
      <c r="S155" s="32" t="s">
        <v>5804</v>
      </c>
      <c r="T155" s="32" t="s">
        <v>5585</v>
      </c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</row>
    <row r="156" ht="14.25" customHeight="1">
      <c r="A156" s="32">
        <v>1.5848773E7</v>
      </c>
      <c r="B156" s="33" t="str">
        <f>VLOOKUP(A156,BBDD!$1:$1048653,2,0)</f>
        <v>15.848.773-k</v>
      </c>
      <c r="C156" s="34" t="str">
        <f>VLOOKUP(A156,BBDD!$1:$1048653,7,0)</f>
        <v>Pinto Osorio Marcela Alejandra</v>
      </c>
      <c r="D156" s="33" t="str">
        <f>VLOOKUP(A156,BBDD!$1:$1048653,8,0)</f>
        <v>Operador Elaboracion</v>
      </c>
      <c r="E156" s="33" t="str">
        <f>VLOOKUP(A156,BBDD!$1:$1048653,10,0)</f>
        <v>Gerencia Producción Pesca</v>
      </c>
      <c r="F156" s="33" t="str">
        <f>VLOOKUP(A156,BBDD!$1:$1048653,11,0)</f>
        <v>Indefinido</v>
      </c>
      <c r="G156" s="33" t="str">
        <f>VLOOKUP(A156,BBDD!$1:$1048653,13,0)</f>
        <v>Coronel Rol Tierra</v>
      </c>
      <c r="H156" s="33" t="str">
        <f>VLOOKUP(A156,BBDD!$1:$1048653,14,0)</f>
        <v>Gerencia Corp. Negocio Seafood</v>
      </c>
      <c r="I156" s="33" t="str">
        <f>VLOOKUP(A156,BBDD!$1:$1048653,16,0)</f>
        <v>Rol General (Cargo permanente o proyección indefinido)</v>
      </c>
      <c r="J156" s="33" t="str">
        <f>VLOOKUP(A156,BBDD!$1:$1048653,17,0)</f>
        <v/>
      </c>
      <c r="K156" s="35">
        <f>VLOOKUP(A156,BBDD!$1:$1048653,12,0)</f>
        <v>42370</v>
      </c>
      <c r="L156" s="35" t="str">
        <f>VLOOKUP(A156,BBDD!$1:$1048653,3,0)</f>
        <v>Orizon S.A</v>
      </c>
      <c r="M156" s="35" t="str">
        <f>VLOOKUP(A156,BBDD!$1:$1048653,4,0)</f>
        <v>F1</v>
      </c>
      <c r="N156" s="35" t="str">
        <f>VLOOKUP(A156,BBDD!$1:$1048653,5,0)</f>
        <v>marcelamia53@gmail.com</v>
      </c>
      <c r="O156" s="36">
        <v>45966.0</v>
      </c>
      <c r="P156" s="32" t="s">
        <v>5582</v>
      </c>
      <c r="Q156" s="32" t="s">
        <v>5603</v>
      </c>
      <c r="R156" s="32" t="s">
        <v>5806</v>
      </c>
      <c r="S156" s="32" t="s">
        <v>5807</v>
      </c>
      <c r="T156" s="32" t="s">
        <v>5585</v>
      </c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</row>
    <row r="157" ht="14.25" customHeight="1">
      <c r="A157" s="32">
        <v>1.9205907E7</v>
      </c>
      <c r="B157" s="33" t="str">
        <f>VLOOKUP(A157,BBDD!$1:$1048653,2,0)</f>
        <v>19.205.907-0</v>
      </c>
      <c r="C157" s="34" t="str">
        <f>VLOOKUP(A157,BBDD!$1:$1048653,7,0)</f>
        <v>Gonzalez Briceño Rodrigo Alexis</v>
      </c>
      <c r="D157" s="33" t="str">
        <f>VLOOKUP(A157,BBDD!$1:$1048653,8,0)</f>
        <v>Operador Elaboracion Php</v>
      </c>
      <c r="E157" s="33" t="str">
        <f>VLOOKUP(A157,BBDD!$1:$1048653,10,0)</f>
        <v>Gerencia Producción Pesca</v>
      </c>
      <c r="F157" s="33" t="str">
        <f>VLOOKUP(A157,BBDD!$1:$1048653,11,0)</f>
        <v>Plazo fijo</v>
      </c>
      <c r="G157" s="33" t="str">
        <f>VLOOKUP(A157,BBDD!$1:$1048653,13,0)</f>
        <v>Coronel Rol Tierra</v>
      </c>
      <c r="H157" s="33" t="str">
        <f>VLOOKUP(A157,BBDD!$1:$1048653,14,0)</f>
        <v>Gerencia Corp. Negocio Seafood</v>
      </c>
      <c r="I157" s="33" t="str">
        <f>VLOOKUP(A157,BBDD!$1:$1048653,16,0)</f>
        <v>Temporada (Con ocasión Temporada de Pesca)</v>
      </c>
      <c r="J157" s="33" t="str">
        <f>VLOOKUP(A157,BBDD!$1:$1048653,17,0)</f>
        <v/>
      </c>
      <c r="K157" s="35">
        <f>VLOOKUP(A157,BBDD!$1:$1048653,12,0)</f>
        <v>45933</v>
      </c>
      <c r="L157" s="35" t="str">
        <f>VLOOKUP(A157,BBDD!$1:$1048653,3,0)</f>
        <v>Orizon S.A</v>
      </c>
      <c r="M157" s="35" t="str">
        <f>VLOOKUP(A157,BBDD!$1:$1048653,4,0)</f>
        <v>F4</v>
      </c>
      <c r="N157" s="35" t="str">
        <f>VLOOKUP(A157,BBDD!$1:$1048653,5,0)</f>
        <v>rokogobri@gmail.com</v>
      </c>
      <c r="O157" s="36">
        <v>45966.0</v>
      </c>
      <c r="P157" s="32" t="s">
        <v>5582</v>
      </c>
      <c r="Q157" s="32" t="s">
        <v>5567</v>
      </c>
      <c r="R157" s="32" t="s">
        <v>5808</v>
      </c>
      <c r="S157" s="32" t="s">
        <v>5809</v>
      </c>
      <c r="T157" s="32" t="s">
        <v>5585</v>
      </c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</row>
    <row r="158" ht="14.25" customHeight="1">
      <c r="A158" s="32">
        <v>1.7955412E7</v>
      </c>
      <c r="B158" s="33" t="str">
        <f>VLOOKUP(A158,BBDD!$1:$1048653,2,0)</f>
        <v>17.955.412-7</v>
      </c>
      <c r="C158" s="34" t="str">
        <f>VLOOKUP(A158,BBDD!$1:$1048653,7,0)</f>
        <v>Parra Chavez Abigail Magdalena</v>
      </c>
      <c r="D158" s="33" t="str">
        <f>VLOOKUP(A158,BBDD!$1:$1048653,8,0)</f>
        <v>Operario Apoyo Elaboracion</v>
      </c>
      <c r="E158" s="33" t="str">
        <f>VLOOKUP(A158,BBDD!$1:$1048653,10,0)</f>
        <v>Gerencia Producción Pesca</v>
      </c>
      <c r="F158" s="33" t="str">
        <f>VLOOKUP(A158,BBDD!$1:$1048653,11,0)</f>
        <v>Plazo fijo</v>
      </c>
      <c r="G158" s="33" t="str">
        <f>VLOOKUP(A158,BBDD!$1:$1048653,13,0)</f>
        <v>Coronel Rol Eventual</v>
      </c>
      <c r="H158" s="33" t="str">
        <f>VLOOKUP(A158,BBDD!$1:$1048653,14,0)</f>
        <v>Gerencia Corp. Negocio Seafood</v>
      </c>
      <c r="I158" s="33" t="str">
        <f>VLOOKUP(A158,BBDD!$1:$1048653,16,0)</f>
        <v>Temporada (Con ocasión Temporada de Pesca)</v>
      </c>
      <c r="J158" s="33" t="str">
        <f>VLOOKUP(A158,BBDD!$1:$1048653,17,0)</f>
        <v/>
      </c>
      <c r="K158" s="35">
        <f>VLOOKUP(A158,BBDD!$1:$1048653,12,0)</f>
        <v>45940</v>
      </c>
      <c r="L158" s="35" t="str">
        <f>VLOOKUP(A158,BBDD!$1:$1048653,3,0)</f>
        <v>Orizon S.A</v>
      </c>
      <c r="M158" s="35" t="str">
        <f>VLOOKUP(A158,BBDD!$1:$1048653,4,0)</f>
        <v>F3</v>
      </c>
      <c r="N158" s="35" t="str">
        <f>VLOOKUP(A158,BBDD!$1:$1048653,5,0)</f>
        <v>ABIGAILPARRACH91MC@GMAIL.COM</v>
      </c>
      <c r="O158" s="36">
        <v>45966.0</v>
      </c>
      <c r="P158" s="32" t="s">
        <v>5582</v>
      </c>
      <c r="Q158" s="32" t="s">
        <v>5586</v>
      </c>
      <c r="R158" s="32" t="s">
        <v>5810</v>
      </c>
      <c r="S158" s="32" t="s">
        <v>5811</v>
      </c>
      <c r="T158" s="32" t="s">
        <v>5585</v>
      </c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</row>
    <row r="159" ht="14.25" customHeight="1">
      <c r="A159" s="32">
        <v>2.0512791E7</v>
      </c>
      <c r="B159" s="33" t="str">
        <f>VLOOKUP(A159,BBDD!$1:$1048653,2,0)</f>
        <v>20.512.791-7</v>
      </c>
      <c r="C159" s="34" t="str">
        <f>VLOOKUP(A159,BBDD!$1:$1048653,7,0)</f>
        <v>Aravena Morales Carol Alejandra</v>
      </c>
      <c r="D159" s="33" t="str">
        <f>VLOOKUP(A159,BBDD!$1:$1048653,8,0)</f>
        <v>Operario Apoyo Elaboracion</v>
      </c>
      <c r="E159" s="33" t="str">
        <f>VLOOKUP(A159,BBDD!$1:$1048653,10,0)</f>
        <v>Gerencia Producción Pesca</v>
      </c>
      <c r="F159" s="33" t="str">
        <f>VLOOKUP(A159,BBDD!$1:$1048653,11,0)</f>
        <v>Plazo fijo</v>
      </c>
      <c r="G159" s="33" t="str">
        <f>VLOOKUP(A159,BBDD!$1:$1048653,13,0)</f>
        <v>Coronel Rol Eventual</v>
      </c>
      <c r="H159" s="33" t="str">
        <f>VLOOKUP(A159,BBDD!$1:$1048653,14,0)</f>
        <v>Gerencia Corp. Negocio Seafood</v>
      </c>
      <c r="I159" s="33" t="str">
        <f>VLOOKUP(A159,BBDD!$1:$1048653,16,0)</f>
        <v>Temporada (Con ocasión Temporada de Pesca)</v>
      </c>
      <c r="J159" s="33" t="str">
        <f>VLOOKUP(A159,BBDD!$1:$1048653,17,0)</f>
        <v/>
      </c>
      <c r="K159" s="35">
        <f>VLOOKUP(A159,BBDD!$1:$1048653,12,0)</f>
        <v>45940</v>
      </c>
      <c r="L159" s="35" t="str">
        <f>VLOOKUP(A159,BBDD!$1:$1048653,3,0)</f>
        <v>Orizon S.A</v>
      </c>
      <c r="M159" s="35" t="str">
        <f>VLOOKUP(A159,BBDD!$1:$1048653,4,0)</f>
        <v>F2</v>
      </c>
      <c r="N159" s="35" t="str">
        <f>VLOOKUP(A159,BBDD!$1:$1048653,5,0)</f>
        <v>CARITOLALEJANDRA.2000M@GMAIL.COM</v>
      </c>
      <c r="O159" s="36">
        <v>45966.0</v>
      </c>
      <c r="P159" s="32" t="s">
        <v>5582</v>
      </c>
      <c r="Q159" s="32" t="s">
        <v>5586</v>
      </c>
      <c r="R159" s="32" t="s">
        <v>5810</v>
      </c>
      <c r="S159" s="32" t="s">
        <v>5811</v>
      </c>
      <c r="T159" s="32" t="s">
        <v>5585</v>
      </c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</row>
    <row r="160" ht="14.25" customHeight="1">
      <c r="A160" s="32">
        <v>1.1903785E7</v>
      </c>
      <c r="B160" s="33" t="str">
        <f>VLOOKUP(A160,BBDD!$1:$1048653,2,0)</f>
        <v>11.903.785-9</v>
      </c>
      <c r="C160" s="34" t="str">
        <f>VLOOKUP(A160,BBDD!$1:$1048653,7,0)</f>
        <v>Catril Novoa Jose Mauricio</v>
      </c>
      <c r="D160" s="33" t="str">
        <f>VLOOKUP(A160,BBDD!$1:$1048653,8,0)</f>
        <v>Logístico Junior</v>
      </c>
      <c r="E160" s="33" t="str">
        <f>VLOOKUP(A160,BBDD!$1:$1048653,10,0)</f>
        <v>Gerencia Abastecimiento</v>
      </c>
      <c r="F160" s="33" t="str">
        <f>VLOOKUP(A160,BBDD!$1:$1048653,11,0)</f>
        <v>Plazo fijo</v>
      </c>
      <c r="G160" s="33" t="str">
        <f>VLOOKUP(A160,BBDD!$1:$1048653,13,0)</f>
        <v>Coronel Rol Tierra</v>
      </c>
      <c r="H160" s="33" t="str">
        <f>VLOOKUP(A160,BBDD!$1:$1048653,14,0)</f>
        <v>Gerencia Corp. Supply Chain</v>
      </c>
      <c r="I160" s="33" t="str">
        <f>VLOOKUP(A160,BBDD!$1:$1048653,16,0)</f>
        <v>Temporada (Con ocasión Temporada de Pesca)</v>
      </c>
      <c r="J160" s="33" t="str">
        <f>VLOOKUP(A160,BBDD!$1:$1048653,17,0)</f>
        <v/>
      </c>
      <c r="K160" s="35">
        <f>VLOOKUP(A160,BBDD!$1:$1048653,12,0)</f>
        <v>45922</v>
      </c>
      <c r="L160" s="35" t="str">
        <f>VLOOKUP(A160,BBDD!$1:$1048653,3,0)</f>
        <v>Orizon S.A</v>
      </c>
      <c r="M160" s="35" t="str">
        <f>VLOOKUP(A160,BBDD!$1:$1048653,4,0)</f>
        <v>F2</v>
      </c>
      <c r="N160" s="35" t="str">
        <f>VLOOKUP(A160,BBDD!$1:$1048653,5,0)</f>
        <v>josecatrilnovoa@gmail.com</v>
      </c>
      <c r="O160" s="36">
        <v>45967.0</v>
      </c>
      <c r="P160" s="32" t="s">
        <v>5582</v>
      </c>
      <c r="Q160" s="32" t="s">
        <v>5606</v>
      </c>
      <c r="R160" s="32" t="s">
        <v>5812</v>
      </c>
      <c r="S160" s="32" t="s">
        <v>5813</v>
      </c>
      <c r="T160" s="32" t="s">
        <v>5585</v>
      </c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</row>
    <row r="161" ht="14.25" customHeight="1">
      <c r="A161" s="32">
        <v>1.7382227E7</v>
      </c>
      <c r="B161" s="33" t="str">
        <f>VLOOKUP(A161,BBDD!$1:$1048653,2,0)</f>
        <v>17.382.227-8</v>
      </c>
      <c r="C161" s="34" t="str">
        <f>VLOOKUP(A161,BBDD!$1:$1048653,7,0)</f>
        <v>Galaz Segovia Humberto Elias</v>
      </c>
      <c r="D161" s="33" t="str">
        <f>VLOOKUP(A161,BBDD!$1:$1048653,8,0)</f>
        <v>Supervisor(A) De Turno Pt</v>
      </c>
      <c r="E161" s="33" t="str">
        <f>VLOOKUP(A161,BBDD!$1:$1048653,10,0)</f>
        <v>Gerencia Logistica</v>
      </c>
      <c r="F161" s="33" t="str">
        <f>VLOOKUP(A161,BBDD!$1:$1048653,11,0)</f>
        <v>Plazo fijo</v>
      </c>
      <c r="G161" s="33" t="str">
        <f>VLOOKUP(A161,BBDD!$1:$1048653,13,0)</f>
        <v>Coronel Rol Tierra</v>
      </c>
      <c r="H161" s="33" t="str">
        <f>VLOOKUP(A161,BBDD!$1:$1048653,14,0)</f>
        <v>Gerencia Corp. Supply Chain</v>
      </c>
      <c r="I161" s="33" t="str">
        <f>VLOOKUP(A161,BBDD!$1:$1048653,16,0)</f>
        <v>Temporada (Con ocasión Temporada de Pesca)</v>
      </c>
      <c r="J161" s="33" t="str">
        <f>VLOOKUP(A161,BBDD!$1:$1048653,17,0)</f>
        <v/>
      </c>
      <c r="K161" s="35">
        <f>VLOOKUP(A161,BBDD!$1:$1048653,12,0)</f>
        <v>45964</v>
      </c>
      <c r="L161" s="35" t="str">
        <f>VLOOKUP(A161,BBDD!$1:$1048653,3,0)</f>
        <v>Orizon S.A</v>
      </c>
      <c r="M161" s="35" t="str">
        <f>VLOOKUP(A161,BBDD!$1:$1048653,4,0)</f>
        <v>F1</v>
      </c>
      <c r="N161" s="35" t="str">
        <f>VLOOKUP(A161,BBDD!$1:$1048653,5,0)</f>
        <v>humberto.galaz@gmail.com</v>
      </c>
      <c r="O161" s="36">
        <v>45967.0</v>
      </c>
      <c r="P161" s="32" t="s">
        <v>5582</v>
      </c>
      <c r="Q161" s="32" t="s">
        <v>5401</v>
      </c>
      <c r="R161" s="37"/>
      <c r="S161" s="37"/>
      <c r="T161" s="32" t="s">
        <v>5585</v>
      </c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</row>
    <row r="162" ht="14.25" customHeight="1">
      <c r="A162" s="32">
        <v>1.6599294E7</v>
      </c>
      <c r="B162" s="33" t="str">
        <f>VLOOKUP(A162,BBDD!$1:$1048653,2,0)</f>
        <v>16599294-6</v>
      </c>
      <c r="C162" s="34" t="str">
        <f>VLOOKUP(A162,BBDD!$1:$1048653,7,0)</f>
        <v>Jimenez Grez  Paulina Andrea</v>
      </c>
      <c r="D162" s="33" t="str">
        <f>VLOOKUP(A162,BBDD!$1:$1048653,8,0)</f>
        <v>COORDINADOR(A) LABORATORIO PRODUCTO FINAL</v>
      </c>
      <c r="E162" s="33" t="str">
        <f>VLOOKUP(A162,BBDD!$1:$1048653,10,0)</f>
        <v>Gestión Integrada y Calidad (Comercial)</v>
      </c>
      <c r="F162" s="33" t="str">
        <f>VLOOKUP(A162,BBDD!$1:$1048653,11,0)</f>
        <v>Plazo fijo</v>
      </c>
      <c r="G162" s="33" t="str">
        <f>VLOOKUP(A162,BBDD!$1:$1048653,13,0)</f>
        <v>EST</v>
      </c>
      <c r="H162" s="33" t="str">
        <f>VLOOKUP(A162,BBDD!$1:$1048653,14,0)</f>
        <v>Gerencia Corp. Seafood</v>
      </c>
      <c r="I162" s="33" t="str">
        <f>VLOOKUP(A162,BBDD!$1:$1048653,16,0)</f>
        <v/>
      </c>
      <c r="J162" s="33" t="str">
        <f>VLOOKUP(A162,BBDD!$1:$1048653,17,0)</f>
        <v/>
      </c>
      <c r="K162" s="35">
        <f>VLOOKUP(A162,BBDD!$1:$1048653,12,0)</f>
        <v>45839</v>
      </c>
      <c r="L162" s="35" t="str">
        <f>VLOOKUP(A162,BBDD!$1:$1048653,3,0)</f>
        <v>EST</v>
      </c>
      <c r="M162" s="35" t="str">
        <f>VLOOKUP(A162,BBDD!$1:$1048653,4,0)</f>
        <v>F1</v>
      </c>
      <c r="N162" s="35" t="str">
        <f>VLOOKUP(A162,BBDD!$1:$1048653,5,0)</f>
        <v/>
      </c>
      <c r="O162" s="36">
        <v>45967.0</v>
      </c>
      <c r="P162" s="32" t="s">
        <v>5594</v>
      </c>
      <c r="Q162" s="32" t="s">
        <v>5401</v>
      </c>
      <c r="R162" s="32" t="s">
        <v>5814</v>
      </c>
      <c r="S162" s="32" t="s">
        <v>5815</v>
      </c>
      <c r="T162" s="32" t="s">
        <v>5616</v>
      </c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</row>
    <row r="163" ht="14.25" customHeight="1">
      <c r="A163" s="32">
        <v>1.8746296E7</v>
      </c>
      <c r="B163" s="33" t="str">
        <f>VLOOKUP(A163,BBDD!$1:$1048653,2,0)</f>
        <v>18.746.296-7</v>
      </c>
      <c r="C163" s="34" t="str">
        <f>VLOOKUP(A163,BBDD!$1:$1048653,7,0)</f>
        <v>Godoy Hidalgo Felipe Alejandro</v>
      </c>
      <c r="D163" s="33" t="str">
        <f>VLOOKUP(A163,BBDD!$1:$1048653,8,0)</f>
        <v>Tripulante</v>
      </c>
      <c r="E163" s="33" t="str">
        <f>VLOOKUP(A163,BBDD!$1:$1048653,10,0)</f>
        <v>Gerencia de Flota y Abastecimiento de Materias Primas</v>
      </c>
      <c r="F163" s="33" t="str">
        <f>VLOOKUP(A163,BBDD!$1:$1048653,11,0)</f>
        <v>Indefinido</v>
      </c>
      <c r="G163" s="33" t="str">
        <f>VLOOKUP(A163,BBDD!$1:$1048653,13,0)</f>
        <v>Coronel Rol Flota</v>
      </c>
      <c r="H163" s="33" t="str">
        <f>VLOOKUP(A163,BBDD!$1:$1048653,14,0)</f>
        <v>Gerencia Corp. Negocio Seafood</v>
      </c>
      <c r="I163" s="33" t="str">
        <f>VLOOKUP(A163,BBDD!$1:$1048653,16,0)</f>
        <v>Rol General (Cargo permanente o proyección indefinido)</v>
      </c>
      <c r="J163" s="33" t="str">
        <f>VLOOKUP(A163,BBDD!$1:$1048653,17,0)</f>
        <v/>
      </c>
      <c r="K163" s="35">
        <f>VLOOKUP(A163,BBDD!$1:$1048653,12,0)</f>
        <v>45628</v>
      </c>
      <c r="L163" s="35" t="str">
        <f>VLOOKUP(A163,BBDD!$1:$1048653,3,0)</f>
        <v>Orizon S.A</v>
      </c>
      <c r="M163" s="35" t="str">
        <f>VLOOKUP(A163,BBDD!$1:$1048653,4,0)</f>
        <v>F1</v>
      </c>
      <c r="N163" s="35" t="str">
        <f>VLOOKUP(A163,BBDD!$1:$1048653,5,0)</f>
        <v>fg4574159@gmail.com</v>
      </c>
      <c r="O163" s="36">
        <v>45967.0</v>
      </c>
      <c r="P163" s="32" t="s">
        <v>5582</v>
      </c>
      <c r="Q163" s="32" t="s">
        <v>5589</v>
      </c>
      <c r="R163" s="37"/>
      <c r="S163" s="32" t="s">
        <v>5816</v>
      </c>
      <c r="T163" s="32" t="s">
        <v>5585</v>
      </c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</row>
    <row r="164" ht="14.25" customHeight="1">
      <c r="A164" s="32">
        <v>1.6348663E7</v>
      </c>
      <c r="B164" s="33" t="str">
        <f>VLOOKUP(A164,BBDD!$1:$1048653,2,0)</f>
        <v>16.348.663-6</v>
      </c>
      <c r="C164" s="34" t="str">
        <f>VLOOKUP(A164,BBDD!$1:$1048653,7,0)</f>
        <v>Bello Hernandez Jonathan Alejandro</v>
      </c>
      <c r="D164" s="33" t="str">
        <f>VLOOKUP(A164,BBDD!$1:$1048653,8,0)</f>
        <v>Tripulante De Reemplazo</v>
      </c>
      <c r="E164" s="33" t="str">
        <f>VLOOKUP(A164,BBDD!$1:$1048653,10,0)</f>
        <v>Gerencia de Flota y Abastecimiento de Materias Primas</v>
      </c>
      <c r="F164" s="33" t="str">
        <f>VLOOKUP(A164,BBDD!$1:$1048653,11,0)</f>
        <v>Plazo fijo</v>
      </c>
      <c r="G164" s="33" t="str">
        <f>VLOOKUP(A164,BBDD!$1:$1048653,13,0)</f>
        <v>Coronel Rol Flota</v>
      </c>
      <c r="H164" s="33" t="str">
        <f>VLOOKUP(A164,BBDD!$1:$1048653,14,0)</f>
        <v>Gerencia Corp. Negocio Seafood</v>
      </c>
      <c r="I164" s="33" t="str">
        <f>VLOOKUP(A164,BBDD!$1:$1048653,16,0)</f>
        <v>Temporada (Con ocasión Temporada de Pesca)</v>
      </c>
      <c r="J164" s="33" t="str">
        <f>VLOOKUP(A164,BBDD!$1:$1048653,17,0)</f>
        <v/>
      </c>
      <c r="K164" s="35">
        <f>VLOOKUP(A164,BBDD!$1:$1048653,12,0)</f>
        <v>45932</v>
      </c>
      <c r="L164" s="35" t="str">
        <f>VLOOKUP(A164,BBDD!$1:$1048653,3,0)</f>
        <v>Orizon S.A</v>
      </c>
      <c r="M164" s="35" t="str">
        <f>VLOOKUP(A164,BBDD!$1:$1048653,4,0)</f>
        <v>F2</v>
      </c>
      <c r="N164" s="35" t="str">
        <f>VLOOKUP(A164,BBDD!$1:$1048653,5,0)</f>
        <v>jonathan.bello8397@gmail.com</v>
      </c>
      <c r="O164" s="36">
        <v>45967.0</v>
      </c>
      <c r="P164" s="32" t="s">
        <v>5582</v>
      </c>
      <c r="Q164" s="32" t="s">
        <v>5606</v>
      </c>
      <c r="R164" s="32" t="s">
        <v>5817</v>
      </c>
      <c r="S164" s="37"/>
      <c r="T164" s="32" t="s">
        <v>5585</v>
      </c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</row>
    <row r="165" ht="14.25" customHeight="1">
      <c r="A165" s="32">
        <v>2.0438291E7</v>
      </c>
      <c r="B165" s="33" t="str">
        <f>VLOOKUP(A165,BBDD!$1:$1048653,2,0)</f>
        <v>20.438.291-3</v>
      </c>
      <c r="C165" s="34" t="str">
        <f>VLOOKUP(A165,BBDD!$1:$1048653,7,0)</f>
        <v>Diaz Elgueta Valentina Isabel</v>
      </c>
      <c r="D165" s="33" t="str">
        <f>VLOOKUP(A165,BBDD!$1:$1048653,8,0)</f>
        <v>Monitor(A) Calidad Ch</v>
      </c>
      <c r="E165" s="33" t="str">
        <f>VLOOKUP(A165,BBDD!$1:$1048653,10,0)</f>
        <v>Gerencia Gestión Integrada y Calidad</v>
      </c>
      <c r="F165" s="33" t="str">
        <f>VLOOKUP(A165,BBDD!$1:$1048653,11,0)</f>
        <v>Plazo fijo</v>
      </c>
      <c r="G165" s="33" t="str">
        <f>VLOOKUP(A165,BBDD!$1:$1048653,13,0)</f>
        <v>Coronel Rol Eventual</v>
      </c>
      <c r="H165" s="33" t="str">
        <f>VLOOKUP(A165,BBDD!$1:$1048653,14,0)</f>
        <v>Gerencia Corp. Negocio Seafood</v>
      </c>
      <c r="I165" s="33" t="str">
        <f>VLOOKUP(A165,BBDD!$1:$1048653,16,0)</f>
        <v>Temporada (Con ocasión Temporada de Pesca)</v>
      </c>
      <c r="J165" s="33" t="str">
        <f>VLOOKUP(A165,BBDD!$1:$1048653,17,0)</f>
        <v/>
      </c>
      <c r="K165" s="35">
        <f>VLOOKUP(A165,BBDD!$1:$1048653,12,0)</f>
        <v>45966</v>
      </c>
      <c r="L165" s="35" t="str">
        <f>VLOOKUP(A165,BBDD!$1:$1048653,3,0)</f>
        <v>Orizon S.A</v>
      </c>
      <c r="M165" s="35" t="str">
        <f>VLOOKUP(A165,BBDD!$1:$1048653,4,0)</f>
        <v>F3</v>
      </c>
      <c r="N165" s="35" t="str">
        <f>VLOOKUP(A165,BBDD!$1:$1048653,5,0)</f>
        <v>valediaze05@hotmail.com</v>
      </c>
      <c r="O165" s="36">
        <v>45967.0</v>
      </c>
      <c r="P165" s="32" t="s">
        <v>5582</v>
      </c>
      <c r="Q165" s="32" t="s">
        <v>5586</v>
      </c>
      <c r="R165" s="32" t="s">
        <v>5818</v>
      </c>
      <c r="S165" s="32" t="s">
        <v>5819</v>
      </c>
      <c r="T165" s="32" t="s">
        <v>5585</v>
      </c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</row>
    <row r="166" ht="14.25" customHeight="1">
      <c r="A166" s="32">
        <v>1.3311759E7</v>
      </c>
      <c r="B166" s="33" t="str">
        <f>VLOOKUP(A166,BBDD!$1:$1048653,2,0)</f>
        <v>13.311.759-8</v>
      </c>
      <c r="C166" s="34" t="str">
        <f>VLOOKUP(A166,BBDD!$1:$1048653,7,0)</f>
        <v>Bravo Zapata Larry Sebastian</v>
      </c>
      <c r="D166" s="33" t="str">
        <f>VLOOKUP(A166,BBDD!$1:$1048653,8,0)</f>
        <v>Operador Sala Control Trainee</v>
      </c>
      <c r="E166" s="33" t="str">
        <f>VLOOKUP(A166,BBDD!$1:$1048653,10,0)</f>
        <v>Gerencia Producción Pesca</v>
      </c>
      <c r="F166" s="33" t="str">
        <f>VLOOKUP(A166,BBDD!$1:$1048653,11,0)</f>
        <v>Plazo fijo</v>
      </c>
      <c r="G166" s="33" t="str">
        <f>VLOOKUP(A166,BBDD!$1:$1048653,13,0)</f>
        <v>Coronel Rol Tierra</v>
      </c>
      <c r="H166" s="33" t="str">
        <f>VLOOKUP(A166,BBDD!$1:$1048653,14,0)</f>
        <v>Gerencia Corp. Negocio Seafood</v>
      </c>
      <c r="I166" s="33" t="str">
        <f>VLOOKUP(A166,BBDD!$1:$1048653,16,0)</f>
        <v>Temporada (Con ocasión Temporada de Pesca)</v>
      </c>
      <c r="J166" s="33" t="str">
        <f>VLOOKUP(A166,BBDD!$1:$1048653,17,0)</f>
        <v/>
      </c>
      <c r="K166" s="35">
        <f>VLOOKUP(A166,BBDD!$1:$1048653,12,0)</f>
        <v>45962</v>
      </c>
      <c r="L166" s="35" t="str">
        <f>VLOOKUP(A166,BBDD!$1:$1048653,3,0)</f>
        <v>Orizon S.A</v>
      </c>
      <c r="M166" s="35" t="str">
        <f>VLOOKUP(A166,BBDD!$1:$1048653,4,0)</f>
        <v>F5</v>
      </c>
      <c r="N166" s="35" t="str">
        <f>VLOOKUP(A166,BBDD!$1:$1048653,5,0)</f>
        <v>panchobravo603@gmail.com</v>
      </c>
      <c r="O166" s="36">
        <v>45968.0</v>
      </c>
      <c r="P166" s="32" t="s">
        <v>5582</v>
      </c>
      <c r="Q166" s="32" t="s">
        <v>5401</v>
      </c>
      <c r="R166" s="32" t="s">
        <v>5820</v>
      </c>
      <c r="S166" s="32" t="s">
        <v>5804</v>
      </c>
      <c r="T166" s="32" t="s">
        <v>5616</v>
      </c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</row>
    <row r="167" ht="14.25" customHeight="1">
      <c r="A167" s="32">
        <v>7702999.0</v>
      </c>
      <c r="B167" s="33" t="str">
        <f>VLOOKUP(A167,BBDD!$1:$1048653,2,0)</f>
        <v>7.702.999-0</v>
      </c>
      <c r="C167" s="34" t="str">
        <f>VLOOKUP(A167,BBDD!$1:$1048653,7,0)</f>
        <v>Beltran Berna Guillermo Patricio</v>
      </c>
      <c r="D167" s="33" t="str">
        <f>VLOOKUP(A167,BBDD!$1:$1048653,8,0)</f>
        <v>Electrico De Turno</v>
      </c>
      <c r="E167" s="33" t="str">
        <f>VLOOKUP(A167,BBDD!$1:$1048653,10,0)</f>
        <v>Departamento Ingeniería</v>
      </c>
      <c r="F167" s="33" t="str">
        <f>VLOOKUP(A167,BBDD!$1:$1048653,11,0)</f>
        <v>Indefinido</v>
      </c>
      <c r="G167" s="33" t="str">
        <f>VLOOKUP(A167,BBDD!$1:$1048653,13,0)</f>
        <v>Coronel Rol Tierra</v>
      </c>
      <c r="H167" s="33" t="str">
        <f>VLOOKUP(A167,BBDD!$1:$1048653,14,0)</f>
        <v>Gerencia Corp. Negocio Seafood</v>
      </c>
      <c r="I167" s="33" t="str">
        <f>VLOOKUP(A167,BBDD!$1:$1048653,16,0)</f>
        <v>Rol General (Cargo permanente o proyección indefinido)</v>
      </c>
      <c r="J167" s="33" t="str">
        <f>VLOOKUP(A167,BBDD!$1:$1048653,17,0)</f>
        <v/>
      </c>
      <c r="K167" s="35">
        <f>VLOOKUP(A167,BBDD!$1:$1048653,12,0)</f>
        <v>40513</v>
      </c>
      <c r="L167" s="35" t="str">
        <f>VLOOKUP(A167,BBDD!$1:$1048653,3,0)</f>
        <v>Orizon S.A</v>
      </c>
      <c r="M167" s="35" t="str">
        <f>VLOOKUP(A167,BBDD!$1:$1048653,4,0)</f>
        <v>F1</v>
      </c>
      <c r="N167" s="35" t="str">
        <f>VLOOKUP(A167,BBDD!$1:$1048653,5,0)</f>
        <v>guillermobeltran0104@gmail.com</v>
      </c>
      <c r="O167" s="36">
        <v>45968.0</v>
      </c>
      <c r="P167" s="32" t="s">
        <v>5582</v>
      </c>
      <c r="Q167" s="32" t="s">
        <v>5597</v>
      </c>
      <c r="R167" s="32" t="s">
        <v>5821</v>
      </c>
      <c r="S167" s="32" t="s">
        <v>5822</v>
      </c>
      <c r="T167" s="32" t="s">
        <v>5585</v>
      </c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</row>
    <row r="168" ht="14.25" customHeight="1">
      <c r="A168" s="32">
        <v>2.01494E7</v>
      </c>
      <c r="B168" s="33" t="str">
        <f>VLOOKUP(A168,BBDD!$1:$1048653,2,0)</f>
        <v>20.149.400-1</v>
      </c>
      <c r="C168" s="34" t="str">
        <f>VLOOKUP(A168,BBDD!$1:$1048653,7,0)</f>
        <v>Sanchez Ruiz Javiera Ignacia</v>
      </c>
      <c r="D168" s="33" t="str">
        <f>VLOOKUP(A168,BBDD!$1:$1048653,8,0)</f>
        <v>Operario Apoyo Elaboracion</v>
      </c>
      <c r="E168" s="33" t="str">
        <f>VLOOKUP(A168,BBDD!$1:$1048653,10,0)</f>
        <v>Gerencia Producción Pesca</v>
      </c>
      <c r="F168" s="33" t="str">
        <f>VLOOKUP(A168,BBDD!$1:$1048653,11,0)</f>
        <v>Plazo fijo</v>
      </c>
      <c r="G168" s="33" t="str">
        <f>VLOOKUP(A168,BBDD!$1:$1048653,13,0)</f>
        <v>Coronel Rol Eventual</v>
      </c>
      <c r="H168" s="33" t="str">
        <f>VLOOKUP(A168,BBDD!$1:$1048653,14,0)</f>
        <v>Gerencia Corp. Negocio Seafood</v>
      </c>
      <c r="I168" s="33" t="str">
        <f>VLOOKUP(A168,BBDD!$1:$1048653,16,0)</f>
        <v>Temporada (Con ocasión Temporada de Pesca)</v>
      </c>
      <c r="J168" s="33" t="str">
        <f>VLOOKUP(A168,BBDD!$1:$1048653,17,0)</f>
        <v/>
      </c>
      <c r="K168" s="35">
        <f>VLOOKUP(A168,BBDD!$1:$1048653,12,0)</f>
        <v>45931</v>
      </c>
      <c r="L168" s="35" t="str">
        <f>VLOOKUP(A168,BBDD!$1:$1048653,3,0)</f>
        <v>Orizon S.A</v>
      </c>
      <c r="M168" s="35" t="str">
        <f>VLOOKUP(A168,BBDD!$1:$1048653,4,0)</f>
        <v>F5</v>
      </c>
      <c r="N168" s="35" t="str">
        <f>VLOOKUP(A168,BBDD!$1:$1048653,5,0)</f>
        <v>jjjavi.rra23@gmail.com</v>
      </c>
      <c r="O168" s="36">
        <v>45968.0</v>
      </c>
      <c r="P168" s="32" t="s">
        <v>5582</v>
      </c>
      <c r="Q168" s="32" t="s">
        <v>5586</v>
      </c>
      <c r="R168" s="37"/>
      <c r="S168" s="37"/>
      <c r="T168" s="32" t="s">
        <v>5585</v>
      </c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</row>
    <row r="169" ht="14.25" customHeight="1">
      <c r="A169" s="39">
        <v>1.6897013E7</v>
      </c>
      <c r="B169" s="33" t="str">
        <f>VLOOKUP(A169,BBDD!$1:$1048653,2,0)</f>
        <v>16.897.013-7</v>
      </c>
      <c r="C169" s="34" t="str">
        <f>VLOOKUP(A169,BBDD!$1:$1048653,7,0)</f>
        <v>Chavez Chavez Catherine Margot</v>
      </c>
      <c r="D169" s="33" t="str">
        <f>VLOOKUP(A169,BBDD!$1:$1048653,8,0)</f>
        <v>Operario Apoyo Elaboracion</v>
      </c>
      <c r="E169" s="33" t="str">
        <f>VLOOKUP(A169,BBDD!$1:$1048653,10,0)</f>
        <v>Gerencia Producción Pesca</v>
      </c>
      <c r="F169" s="33" t="str">
        <f>VLOOKUP(A169,BBDD!$1:$1048653,11,0)</f>
        <v>Plazo fijo</v>
      </c>
      <c r="G169" s="33" t="str">
        <f>VLOOKUP(A169,BBDD!$1:$1048653,13,0)</f>
        <v>Coronel Rol Eventual</v>
      </c>
      <c r="H169" s="33" t="str">
        <f>VLOOKUP(A169,BBDD!$1:$1048653,14,0)</f>
        <v>Gerencia Corp. Negocio Seafood</v>
      </c>
      <c r="I169" s="33" t="str">
        <f>VLOOKUP(A169,BBDD!$1:$1048653,16,0)</f>
        <v>Temporada (Con ocasión Temporada de Pesca)</v>
      </c>
      <c r="J169" s="33" t="str">
        <f>VLOOKUP(A169,BBDD!$1:$1048653,17,0)</f>
        <v/>
      </c>
      <c r="K169" s="35">
        <f>VLOOKUP(A169,BBDD!$1:$1048653,12,0)</f>
        <v>45931</v>
      </c>
      <c r="L169" s="35" t="str">
        <f>VLOOKUP(A169,BBDD!$1:$1048653,3,0)</f>
        <v>Orizon S.A</v>
      </c>
      <c r="M169" s="35" t="str">
        <f>VLOOKUP(A169,BBDD!$1:$1048653,4,0)</f>
        <v>F4</v>
      </c>
      <c r="N169" s="35" t="str">
        <f>VLOOKUP(A169,BBDD!$1:$1048653,5,0)</f>
        <v>catherinechavez090@gmail.com</v>
      </c>
      <c r="O169" s="36">
        <v>45968.0</v>
      </c>
      <c r="P169" s="32" t="s">
        <v>5582</v>
      </c>
      <c r="Q169" s="32" t="s">
        <v>5606</v>
      </c>
      <c r="R169" s="32" t="s">
        <v>5823</v>
      </c>
      <c r="S169" s="32" t="s">
        <v>5824</v>
      </c>
      <c r="T169" s="32" t="s">
        <v>5585</v>
      </c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</row>
    <row r="170" ht="14.25" customHeight="1">
      <c r="A170" s="39">
        <v>2.1313719E7</v>
      </c>
      <c r="B170" s="33" t="str">
        <f>VLOOKUP(A170,BBDD!$1:$1048653,2,0)</f>
        <v>21.313.719-0</v>
      </c>
      <c r="C170" s="34" t="str">
        <f>VLOOKUP(A170,BBDD!$1:$1048653,7,0)</f>
        <v>Rojas Matamala Josefina Angélica</v>
      </c>
      <c r="D170" s="33" t="str">
        <f>VLOOKUP(A170,BBDD!$1:$1048653,8,0)</f>
        <v>Operario Apoyo Elaboracion</v>
      </c>
      <c r="E170" s="33" t="str">
        <f>VLOOKUP(A170,BBDD!$1:$1048653,10,0)</f>
        <v>Gerencia Producción Pesca</v>
      </c>
      <c r="F170" s="33" t="str">
        <f>VLOOKUP(A170,BBDD!$1:$1048653,11,0)</f>
        <v>Plazo fijo</v>
      </c>
      <c r="G170" s="33" t="str">
        <f>VLOOKUP(A170,BBDD!$1:$1048653,13,0)</f>
        <v>Coronel Rol Eventual</v>
      </c>
      <c r="H170" s="33" t="str">
        <f>VLOOKUP(A170,BBDD!$1:$1048653,14,0)</f>
        <v>Gerencia Corp. Negocio Seafood</v>
      </c>
      <c r="I170" s="33" t="str">
        <f>VLOOKUP(A170,BBDD!$1:$1048653,16,0)</f>
        <v>Temporada (Con ocasión Temporada de Pesca)</v>
      </c>
      <c r="J170" s="33" t="str">
        <f>VLOOKUP(A170,BBDD!$1:$1048653,17,0)</f>
        <v/>
      </c>
      <c r="K170" s="35">
        <f>VLOOKUP(A170,BBDD!$1:$1048653,12,0)</f>
        <v>45931</v>
      </c>
      <c r="L170" s="35" t="str">
        <f>VLOOKUP(A170,BBDD!$1:$1048653,3,0)</f>
        <v>Orizon S.A</v>
      </c>
      <c r="M170" s="35" t="str">
        <f>VLOOKUP(A170,BBDD!$1:$1048653,4,0)</f>
        <v>F2</v>
      </c>
      <c r="N170" s="35" t="str">
        <f>VLOOKUP(A170,BBDD!$1:$1048653,5,0)</f>
        <v>joangelicarojas@gmail.com</v>
      </c>
      <c r="O170" s="36">
        <v>45968.0</v>
      </c>
      <c r="P170" s="32" t="s">
        <v>5582</v>
      </c>
      <c r="Q170" s="32" t="s">
        <v>1323</v>
      </c>
      <c r="R170" s="32" t="s">
        <v>5825</v>
      </c>
      <c r="S170" s="32" t="s">
        <v>5826</v>
      </c>
      <c r="T170" s="32" t="s">
        <v>5585</v>
      </c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</row>
    <row r="171" ht="14.25" customHeight="1">
      <c r="A171" s="32">
        <v>1.5529236E7</v>
      </c>
      <c r="B171" s="33" t="str">
        <f>VLOOKUP(A171,BBDD!$1:$1048653,2,0)</f>
        <v>15.529.236-9</v>
      </c>
      <c r="C171" s="34" t="str">
        <f>VLOOKUP(A171,BBDD!$1:$1048653,7,0)</f>
        <v>Brito Zapata Israel Jonathan</v>
      </c>
      <c r="D171" s="33" t="str">
        <f>VLOOKUP(A171,BBDD!$1:$1048653,8,0)</f>
        <v>Operador Elaboracion Php</v>
      </c>
      <c r="E171" s="33" t="str">
        <f>VLOOKUP(A171,BBDD!$1:$1048653,10,0)</f>
        <v>Gerencia Producción Pesca</v>
      </c>
      <c r="F171" s="33" t="str">
        <f>VLOOKUP(A171,BBDD!$1:$1048653,11,0)</f>
        <v>Indefinido</v>
      </c>
      <c r="G171" s="33" t="str">
        <f>VLOOKUP(A171,BBDD!$1:$1048653,13,0)</f>
        <v>Coronel Rol Tierra</v>
      </c>
      <c r="H171" s="33" t="str">
        <f>VLOOKUP(A171,BBDD!$1:$1048653,14,0)</f>
        <v>Gerencia Corp. Negocio Seafood</v>
      </c>
      <c r="I171" s="33" t="str">
        <f>VLOOKUP(A171,BBDD!$1:$1048653,16,0)</f>
        <v>Rol General (Cargo permanente o proyección indefinido)</v>
      </c>
      <c r="J171" s="33" t="str">
        <f>VLOOKUP(A171,BBDD!$1:$1048653,17,0)</f>
        <v/>
      </c>
      <c r="K171" s="35">
        <f>VLOOKUP(A171,BBDD!$1:$1048653,12,0)</f>
        <v>43587</v>
      </c>
      <c r="L171" s="35" t="str">
        <f>VLOOKUP(A171,BBDD!$1:$1048653,3,0)</f>
        <v>Orizon S.A</v>
      </c>
      <c r="M171" s="35" t="str">
        <f>VLOOKUP(A171,BBDD!$1:$1048653,4,0)</f>
        <v>F1</v>
      </c>
      <c r="N171" s="35" t="str">
        <f>VLOOKUP(A171,BBDD!$1:$1048653,5,0)</f>
        <v>israelbritoza@gmail.com</v>
      </c>
      <c r="O171" s="36">
        <v>45968.0</v>
      </c>
      <c r="P171" s="32" t="s">
        <v>5582</v>
      </c>
      <c r="Q171" s="32" t="s">
        <v>5583</v>
      </c>
      <c r="R171" s="32" t="s">
        <v>5827</v>
      </c>
      <c r="S171" s="37"/>
      <c r="T171" s="32" t="s">
        <v>5585</v>
      </c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</row>
    <row r="172" ht="14.25" customHeight="1">
      <c r="A172" s="39">
        <v>2.0361671E7</v>
      </c>
      <c r="B172" s="33" t="str">
        <f>VLOOKUP(A172,BBDD!$1:$1048653,2,0)</f>
        <v>20.361.671-6</v>
      </c>
      <c r="C172" s="34" t="str">
        <f>VLOOKUP(A172,BBDD!$1:$1048653,7,0)</f>
        <v>Vidal Caro Darling Fernanda</v>
      </c>
      <c r="D172" s="33" t="str">
        <f>VLOOKUP(A172,BBDD!$1:$1048653,8,0)</f>
        <v>Operario Apoyo Elaboracion</v>
      </c>
      <c r="E172" s="33" t="str">
        <f>VLOOKUP(A172,BBDD!$1:$1048653,10,0)</f>
        <v>Gerencia Producción Pesca</v>
      </c>
      <c r="F172" s="33" t="str">
        <f>VLOOKUP(A172,BBDD!$1:$1048653,11,0)</f>
        <v>Plazo fijo</v>
      </c>
      <c r="G172" s="33" t="str">
        <f>VLOOKUP(A172,BBDD!$1:$1048653,13,0)</f>
        <v>Coronel Rol Eventual</v>
      </c>
      <c r="H172" s="33" t="str">
        <f>VLOOKUP(A172,BBDD!$1:$1048653,14,0)</f>
        <v>Gerencia Corp. Negocio Seafood</v>
      </c>
      <c r="I172" s="33" t="str">
        <f>VLOOKUP(A172,BBDD!$1:$1048653,16,0)</f>
        <v>Temporada (Con ocasión Temporada de Pesca)</v>
      </c>
      <c r="J172" s="33" t="str">
        <f>VLOOKUP(A172,BBDD!$1:$1048653,17,0)</f>
        <v/>
      </c>
      <c r="K172" s="35">
        <f>VLOOKUP(A172,BBDD!$1:$1048653,12,0)</f>
        <v>45941</v>
      </c>
      <c r="L172" s="35" t="str">
        <f>VLOOKUP(A172,BBDD!$1:$1048653,3,0)</f>
        <v>Orizon S.A</v>
      </c>
      <c r="M172" s="35" t="str">
        <f>VLOOKUP(A172,BBDD!$1:$1048653,4,0)</f>
        <v>F1</v>
      </c>
      <c r="N172" s="35" t="str">
        <f>VLOOKUP(A172,BBDD!$1:$1048653,5,0)</f>
        <v>darlingvidal6@gmail.com</v>
      </c>
      <c r="O172" s="36">
        <v>45968.0</v>
      </c>
      <c r="P172" s="32" t="s">
        <v>5575</v>
      </c>
      <c r="Q172" s="32" t="s">
        <v>1323</v>
      </c>
      <c r="R172" s="32" t="s">
        <v>5828</v>
      </c>
      <c r="S172" s="32" t="s">
        <v>5829</v>
      </c>
      <c r="T172" s="32" t="s">
        <v>5585</v>
      </c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</row>
    <row r="173" ht="14.25" customHeight="1">
      <c r="A173" s="32">
        <v>1.8389492E7</v>
      </c>
      <c r="B173" s="33" t="str">
        <f>VLOOKUP(A173,BBDD!$1:$1048653,2,0)</f>
        <v>18.389.492-7</v>
      </c>
      <c r="C173" s="34" t="str">
        <f>VLOOKUP(A173,BBDD!$1:$1048653,7,0)</f>
        <v>Bello Muñoz Andres Humberto</v>
      </c>
      <c r="D173" s="33" t="str">
        <f>VLOOKUP(A173,BBDD!$1:$1048653,8,0)</f>
        <v>Operador Elaboracion</v>
      </c>
      <c r="E173" s="33" t="str">
        <f>VLOOKUP(A173,BBDD!$1:$1048653,10,0)</f>
        <v>Gerencia Producción Pesca</v>
      </c>
      <c r="F173" s="33" t="str">
        <f>VLOOKUP(A173,BBDD!$1:$1048653,11,0)</f>
        <v>Indefinido</v>
      </c>
      <c r="G173" s="33" t="str">
        <f>VLOOKUP(A173,BBDD!$1:$1048653,13,0)</f>
        <v>Coronel Rol Tierra</v>
      </c>
      <c r="H173" s="33" t="str">
        <f>VLOOKUP(A173,BBDD!$1:$1048653,14,0)</f>
        <v>Gerencia Corp. Negocio Seafood</v>
      </c>
      <c r="I173" s="33" t="str">
        <f>VLOOKUP(A173,BBDD!$1:$1048653,16,0)</f>
        <v>Rol General (Cargo permanente o proyección indefinido)</v>
      </c>
      <c r="J173" s="33" t="str">
        <f>VLOOKUP(A173,BBDD!$1:$1048653,17,0)</f>
        <v/>
      </c>
      <c r="K173" s="35">
        <f>VLOOKUP(A173,BBDD!$1:$1048653,12,0)</f>
        <v>45600</v>
      </c>
      <c r="L173" s="35" t="str">
        <f>VLOOKUP(A173,BBDD!$1:$1048653,3,0)</f>
        <v>Orizon S.A</v>
      </c>
      <c r="M173" s="35" t="str">
        <f>VLOOKUP(A173,BBDD!$1:$1048653,4,0)</f>
        <v>F4</v>
      </c>
      <c r="N173" s="35" t="str">
        <f>VLOOKUP(A173,BBDD!$1:$1048653,5,0)</f>
        <v>ANDRESH.BELLOM@GMAIL.COM</v>
      </c>
      <c r="O173" s="36">
        <v>45968.0</v>
      </c>
      <c r="P173" s="32" t="s">
        <v>5582</v>
      </c>
      <c r="Q173" s="32" t="s">
        <v>5624</v>
      </c>
      <c r="R173" s="32" t="s">
        <v>5830</v>
      </c>
      <c r="S173" s="32" t="s">
        <v>5831</v>
      </c>
      <c r="T173" s="32" t="s">
        <v>5616</v>
      </c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</row>
    <row r="174" ht="14.25" customHeight="1">
      <c r="A174" s="32">
        <v>1.9908741E7</v>
      </c>
      <c r="B174" s="33" t="str">
        <f>VLOOKUP(A174,BBDD!$1:$1048653,2,0)</f>
        <v>19.908.741-k</v>
      </c>
      <c r="C174" s="34" t="str">
        <f>VLOOKUP(A174,BBDD!$1:$1048653,7,0)</f>
        <v>Cruces Cruces Brayan Alexander</v>
      </c>
      <c r="D174" s="33" t="str">
        <f>VLOOKUP(A174,BBDD!$1:$1048653,8,0)</f>
        <v>Operario Apoyo Elaboracion</v>
      </c>
      <c r="E174" s="33" t="str">
        <f>VLOOKUP(A174,BBDD!$1:$1048653,10,0)</f>
        <v>Gerencia Producción Pesca</v>
      </c>
      <c r="F174" s="33" t="str">
        <f>VLOOKUP(A174,BBDD!$1:$1048653,11,0)</f>
        <v>Plazo fijo</v>
      </c>
      <c r="G174" s="33" t="str">
        <f>VLOOKUP(A174,BBDD!$1:$1048653,13,0)</f>
        <v>Coronel Rol Eventual</v>
      </c>
      <c r="H174" s="33" t="str">
        <f>VLOOKUP(A174,BBDD!$1:$1048653,14,0)</f>
        <v>Gerencia Corp. Negocio Seafood</v>
      </c>
      <c r="I174" s="33" t="str">
        <f>VLOOKUP(A174,BBDD!$1:$1048653,16,0)</f>
        <v>Temporada (Con ocasión Temporada de Pesca)</v>
      </c>
      <c r="J174" s="33" t="str">
        <f>VLOOKUP(A174,BBDD!$1:$1048653,17,0)</f>
        <v/>
      </c>
      <c r="K174" s="35">
        <f>VLOOKUP(A174,BBDD!$1:$1048653,12,0)</f>
        <v>45931</v>
      </c>
      <c r="L174" s="35" t="str">
        <f>VLOOKUP(A174,BBDD!$1:$1048653,3,0)</f>
        <v>Orizon S.A</v>
      </c>
      <c r="M174" s="35" t="str">
        <f>VLOOKUP(A174,BBDD!$1:$1048653,4,0)</f>
        <v>F3</v>
      </c>
      <c r="N174" s="35" t="str">
        <f>VLOOKUP(A174,BBDD!$1:$1048653,5,0)</f>
        <v>alecruces24@gmail.com</v>
      </c>
      <c r="O174" s="36">
        <v>45968.0</v>
      </c>
      <c r="P174" s="32" t="s">
        <v>5582</v>
      </c>
      <c r="Q174" s="32" t="s">
        <v>5606</v>
      </c>
      <c r="R174" s="32" t="s">
        <v>5832</v>
      </c>
      <c r="S174" s="32" t="s">
        <v>5833</v>
      </c>
      <c r="T174" s="32" t="s">
        <v>5585</v>
      </c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</row>
    <row r="175" ht="14.25" customHeight="1">
      <c r="A175" s="32">
        <v>1.0</v>
      </c>
      <c r="B175" s="33" t="str">
        <f>VLOOKUP(A175,BBDD!$1:$1048653,2,0)</f>
        <v>Usuario Externo</v>
      </c>
      <c r="C175" s="34" t="str">
        <f>VLOOKUP(A175,BBDD!$1:$1048653,7,0)</f>
        <v>Usuario Externo</v>
      </c>
      <c r="D175" s="33" t="str">
        <f>VLOOKUP(A175,BBDD!$1:$1048653,8,0)</f>
        <v>Usuario Externo</v>
      </c>
      <c r="E175" s="33" t="str">
        <f>VLOOKUP(A175,BBDD!$1:$1048653,10,0)</f>
        <v>Usuario Externo</v>
      </c>
      <c r="F175" s="33" t="str">
        <f>VLOOKUP(A175,BBDD!$1:$1048653,11,0)</f>
        <v>Usuario Externo</v>
      </c>
      <c r="G175" s="33" t="str">
        <f>VLOOKUP(A175,BBDD!$1:$1048653,13,0)</f>
        <v>Usuario Externo</v>
      </c>
      <c r="H175" s="33" t="str">
        <f>VLOOKUP(A175,BBDD!$1:$1048653,14,0)</f>
        <v>Usuario Externo</v>
      </c>
      <c r="I175" s="33" t="str">
        <f>VLOOKUP(A175,BBDD!$1:$1048653,16,0)</f>
        <v>Usuario Externo</v>
      </c>
      <c r="J175" s="33" t="str">
        <f>VLOOKUP(A175,BBDD!$1:$1048653,17,0)</f>
        <v/>
      </c>
      <c r="K175" s="35" t="str">
        <f>VLOOKUP(A175,BBDD!$1:$1048653,12,0)</f>
        <v>Usuario Externo</v>
      </c>
      <c r="L175" s="35" t="str">
        <f>VLOOKUP(A175,BBDD!$1:$1048653,3,0)</f>
        <v>Usuario Externo</v>
      </c>
      <c r="M175" s="35" t="str">
        <f>VLOOKUP(A175,BBDD!$1:$1048653,4,0)</f>
        <v>Usuario Externo</v>
      </c>
      <c r="N175" s="35" t="str">
        <f>VLOOKUP(A175,BBDD!$1:$1048653,5,0)</f>
        <v>Usuario Externo</v>
      </c>
      <c r="O175" s="36">
        <v>45971.0</v>
      </c>
      <c r="P175" s="32" t="s">
        <v>5582</v>
      </c>
      <c r="Q175" s="32" t="s">
        <v>5598</v>
      </c>
      <c r="R175" s="32" t="s">
        <v>5834</v>
      </c>
      <c r="S175" s="32" t="s">
        <v>5835</v>
      </c>
      <c r="T175" s="32" t="s">
        <v>5585</v>
      </c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</row>
    <row r="176" ht="14.25" customHeight="1">
      <c r="A176" s="32">
        <v>1.7573952E7</v>
      </c>
      <c r="B176" s="33" t="str">
        <f>VLOOKUP(A176,BBDD!$1:$1048653,2,0)</f>
        <v>17.573.952-1</v>
      </c>
      <c r="C176" s="34" t="str">
        <f>VLOOKUP(A176,BBDD!$1:$1048653,7,0)</f>
        <v>Vergara Saavedra Francisco Javier</v>
      </c>
      <c r="D176" s="33" t="str">
        <f>VLOOKUP(A176,BBDD!$1:$1048653,8,0)</f>
        <v>Tripulante</v>
      </c>
      <c r="E176" s="33" t="str">
        <f>VLOOKUP(A176,BBDD!$1:$1048653,10,0)</f>
        <v>Gerencia de Flota y Abastecimiento de Materias Primas</v>
      </c>
      <c r="F176" s="33" t="str">
        <f>VLOOKUP(A176,BBDD!$1:$1048653,11,0)</f>
        <v>Indefinido</v>
      </c>
      <c r="G176" s="33" t="str">
        <f>VLOOKUP(A176,BBDD!$1:$1048653,13,0)</f>
        <v>Coronel Rol Flota</v>
      </c>
      <c r="H176" s="33" t="str">
        <f>VLOOKUP(A176,BBDD!$1:$1048653,14,0)</f>
        <v>Gerencia Corp. Negocio Seafood</v>
      </c>
      <c r="I176" s="33" t="str">
        <f>VLOOKUP(A176,BBDD!$1:$1048653,16,0)</f>
        <v>Rol General (Cargo permanente o proyección indefinido)</v>
      </c>
      <c r="J176" s="33" t="str">
        <f>VLOOKUP(A176,BBDD!$1:$1048653,17,0)</f>
        <v/>
      </c>
      <c r="K176" s="35">
        <f>VLOOKUP(A176,BBDD!$1:$1048653,12,0)</f>
        <v>45618</v>
      </c>
      <c r="L176" s="35" t="str">
        <f>VLOOKUP(A176,BBDD!$1:$1048653,3,0)</f>
        <v>Orizon S.A</v>
      </c>
      <c r="M176" s="35" t="str">
        <f>VLOOKUP(A176,BBDD!$1:$1048653,4,0)</f>
        <v>F2</v>
      </c>
      <c r="N176" s="35" t="str">
        <f>VLOOKUP(A176,BBDD!$1:$1048653,5,0)</f>
        <v>franciscovergaraa1988@gmail.com</v>
      </c>
      <c r="O176" s="36">
        <v>45971.0</v>
      </c>
      <c r="P176" s="32" t="s">
        <v>5582</v>
      </c>
      <c r="Q176" s="32" t="s">
        <v>5591</v>
      </c>
      <c r="R176" s="32" t="s">
        <v>5836</v>
      </c>
      <c r="S176" s="37"/>
      <c r="T176" s="32" t="s">
        <v>5585</v>
      </c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</row>
    <row r="177" ht="14.25" customHeight="1">
      <c r="A177" s="32">
        <v>1.0</v>
      </c>
      <c r="B177" s="33" t="str">
        <f>VLOOKUP(A177,BBDD!$1:$1048653,2,0)</f>
        <v>Usuario Externo</v>
      </c>
      <c r="C177" s="34" t="str">
        <f>VLOOKUP(A177,BBDD!$1:$1048653,7,0)</f>
        <v>Usuario Externo</v>
      </c>
      <c r="D177" s="33" t="str">
        <f>VLOOKUP(A177,BBDD!$1:$1048653,8,0)</f>
        <v>Usuario Externo</v>
      </c>
      <c r="E177" s="33" t="str">
        <f>VLOOKUP(A177,BBDD!$1:$1048653,10,0)</f>
        <v>Usuario Externo</v>
      </c>
      <c r="F177" s="33" t="str">
        <f>VLOOKUP(A177,BBDD!$1:$1048653,11,0)</f>
        <v>Usuario Externo</v>
      </c>
      <c r="G177" s="33" t="str">
        <f>VLOOKUP(A177,BBDD!$1:$1048653,13,0)</f>
        <v>Usuario Externo</v>
      </c>
      <c r="H177" s="33" t="str">
        <f>VLOOKUP(A177,BBDD!$1:$1048653,14,0)</f>
        <v>Usuario Externo</v>
      </c>
      <c r="I177" s="33" t="str">
        <f>VLOOKUP(A177,BBDD!$1:$1048653,16,0)</f>
        <v>Usuario Externo</v>
      </c>
      <c r="J177" s="33" t="str">
        <f>VLOOKUP(A177,BBDD!$1:$1048653,17,0)</f>
        <v/>
      </c>
      <c r="K177" s="35" t="str">
        <f>VLOOKUP(A177,BBDD!$1:$1048653,12,0)</f>
        <v>Usuario Externo</v>
      </c>
      <c r="L177" s="35" t="str">
        <f>VLOOKUP(A177,BBDD!$1:$1048653,3,0)</f>
        <v>Usuario Externo</v>
      </c>
      <c r="M177" s="35" t="str">
        <f>VLOOKUP(A177,BBDD!$1:$1048653,4,0)</f>
        <v>Usuario Externo</v>
      </c>
      <c r="N177" s="35" t="str">
        <f>VLOOKUP(A177,BBDD!$1:$1048653,5,0)</f>
        <v>Usuario Externo</v>
      </c>
      <c r="O177" s="36">
        <v>45971.0</v>
      </c>
      <c r="P177" s="32" t="s">
        <v>5582</v>
      </c>
      <c r="Q177" s="32" t="s">
        <v>5567</v>
      </c>
      <c r="R177" s="32" t="s">
        <v>5837</v>
      </c>
      <c r="S177" s="37"/>
      <c r="T177" s="32" t="s">
        <v>5616</v>
      </c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</row>
    <row r="178" ht="14.25" customHeight="1">
      <c r="A178" s="41">
        <v>9229420.0</v>
      </c>
      <c r="B178" s="33" t="str">
        <f>VLOOKUP(A178,BBDD!$1:$1048653,2,0)</f>
        <v>9.229.420-k</v>
      </c>
      <c r="C178" s="34" t="str">
        <f>VLOOKUP(A178,BBDD!$1:$1048653,7,0)</f>
        <v>Ferrando Gomez Alejandro Jose</v>
      </c>
      <c r="D178" s="33" t="str">
        <f>VLOOKUP(A178,BBDD!$1:$1048653,8,0)</f>
        <v>Operario Apoyo Elaboracion</v>
      </c>
      <c r="E178" s="33" t="str">
        <f>VLOOKUP(A178,BBDD!$1:$1048653,10,0)</f>
        <v>Gerencia Producción Pesca</v>
      </c>
      <c r="F178" s="33" t="str">
        <f>VLOOKUP(A178,BBDD!$1:$1048653,11,0)</f>
        <v>Plazo fijo</v>
      </c>
      <c r="G178" s="33" t="str">
        <f>VLOOKUP(A178,BBDD!$1:$1048653,13,0)</f>
        <v>Coronel Rol Eventual</v>
      </c>
      <c r="H178" s="33" t="str">
        <f>VLOOKUP(A178,BBDD!$1:$1048653,14,0)</f>
        <v>Gerencia Corp. Negocio Seafood</v>
      </c>
      <c r="I178" s="33" t="str">
        <f>VLOOKUP(A178,BBDD!$1:$1048653,16,0)</f>
        <v>Temporada (Con ocasión Temporada de Pesca)</v>
      </c>
      <c r="J178" s="33" t="str">
        <f>VLOOKUP(A178,BBDD!$1:$1048653,17,0)</f>
        <v/>
      </c>
      <c r="K178" s="35">
        <f>VLOOKUP(A178,BBDD!$1:$1048653,12,0)</f>
        <v>45941</v>
      </c>
      <c r="L178" s="35" t="str">
        <f>VLOOKUP(A178,BBDD!$1:$1048653,3,0)</f>
        <v>Orizon S.A</v>
      </c>
      <c r="M178" s="35" t="str">
        <f>VLOOKUP(A178,BBDD!$1:$1048653,4,0)</f>
        <v>F3</v>
      </c>
      <c r="N178" s="35" t="str">
        <f>VLOOKUP(A178,BBDD!$1:$1048653,5,0)</f>
        <v>alejandroferrando2211@gmail.com</v>
      </c>
      <c r="O178" s="36">
        <v>45971.0</v>
      </c>
      <c r="P178" s="32" t="s">
        <v>5582</v>
      </c>
      <c r="Q178" s="32" t="s">
        <v>5838</v>
      </c>
      <c r="R178" s="32" t="s">
        <v>5839</v>
      </c>
      <c r="S178" s="37"/>
      <c r="T178" s="32" t="s">
        <v>5585</v>
      </c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</row>
    <row r="179" ht="14.25" customHeight="1">
      <c r="A179" s="32">
        <v>1.0803779E7</v>
      </c>
      <c r="B179" s="33" t="str">
        <f>VLOOKUP(A179,BBDD!$1:$1048653,2,0)</f>
        <v>10.803.779-2</v>
      </c>
      <c r="C179" s="34" t="str">
        <f>VLOOKUP(A179,BBDD!$1:$1048653,7,0)</f>
        <v>Acosta Soto Claudio Javier</v>
      </c>
      <c r="D179" s="33" t="str">
        <f>VLOOKUP(A179,BBDD!$1:$1048653,8,0)</f>
        <v>Electrico De Turno</v>
      </c>
      <c r="E179" s="33" t="str">
        <f>VLOOKUP(A179,BBDD!$1:$1048653,10,0)</f>
        <v>Departamento Ingeniería</v>
      </c>
      <c r="F179" s="33" t="str">
        <f>VLOOKUP(A179,BBDD!$1:$1048653,11,0)</f>
        <v>Indefinido</v>
      </c>
      <c r="G179" s="33" t="str">
        <f>VLOOKUP(A179,BBDD!$1:$1048653,13,0)</f>
        <v>Coronel Rol Tierra</v>
      </c>
      <c r="H179" s="33" t="str">
        <f>VLOOKUP(A179,BBDD!$1:$1048653,14,0)</f>
        <v>Gerencia Corp. Negocio Seafood</v>
      </c>
      <c r="I179" s="33" t="str">
        <f>VLOOKUP(A179,BBDD!$1:$1048653,16,0)</f>
        <v>Rol General (Cargo permanente o proyección indefinido)</v>
      </c>
      <c r="J179" s="33" t="str">
        <f>VLOOKUP(A179,BBDD!$1:$1048653,17,0)</f>
        <v/>
      </c>
      <c r="K179" s="35">
        <f>VLOOKUP(A179,BBDD!$1:$1048653,12,0)</f>
        <v>44204</v>
      </c>
      <c r="L179" s="35" t="str">
        <f>VLOOKUP(A179,BBDD!$1:$1048653,3,0)</f>
        <v>Orizon S.A</v>
      </c>
      <c r="M179" s="35" t="str">
        <f>VLOOKUP(A179,BBDD!$1:$1048653,4,0)</f>
        <v>F1</v>
      </c>
      <c r="N179" s="35" t="str">
        <f>VLOOKUP(A179,BBDD!$1:$1048653,5,0)</f>
        <v>claudio.acosta@orizon.cl</v>
      </c>
      <c r="O179" s="36">
        <v>45971.0</v>
      </c>
      <c r="P179" s="32" t="s">
        <v>5582</v>
      </c>
      <c r="Q179" s="32" t="s">
        <v>5657</v>
      </c>
      <c r="R179" s="32" t="s">
        <v>5840</v>
      </c>
      <c r="S179" s="32" t="s">
        <v>5841</v>
      </c>
      <c r="T179" s="32" t="s">
        <v>5585</v>
      </c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</row>
    <row r="180" ht="14.25" customHeight="1">
      <c r="A180" s="32">
        <v>1.2923725E7</v>
      </c>
      <c r="B180" s="33" t="str">
        <f>VLOOKUP(A180,BBDD!$1:$1048653,2,0)</f>
        <v>12.923.725-2</v>
      </c>
      <c r="C180" s="34" t="str">
        <f>VLOOKUP(A180,BBDD!$1:$1048653,7,0)</f>
        <v>Osorio Medina Grecia Ines</v>
      </c>
      <c r="D180" s="33" t="str">
        <f>VLOOKUP(A180,BBDD!$1:$1048653,8,0)</f>
        <v>Asistente Logistico</v>
      </c>
      <c r="E180" s="33" t="str">
        <f>VLOOKUP(A180,BBDD!$1:$1048653,10,0)</f>
        <v>Gerencia Logistica</v>
      </c>
      <c r="F180" s="33" t="str">
        <f>VLOOKUP(A180,BBDD!$1:$1048653,11,0)</f>
        <v>Indefinido</v>
      </c>
      <c r="G180" s="33" t="str">
        <f>VLOOKUP(A180,BBDD!$1:$1048653,13,0)</f>
        <v>Nutrisco SA</v>
      </c>
      <c r="H180" s="33" t="str">
        <f>VLOOKUP(A180,BBDD!$1:$1048653,14,0)</f>
        <v>Gerencia Corp. Supply Chain</v>
      </c>
      <c r="I180" s="33" t="str">
        <f>VLOOKUP(A180,BBDD!$1:$1048653,16,0)</f>
        <v>Rol General (Cargo permanente o proyección indefinido)</v>
      </c>
      <c r="J180" s="33" t="str">
        <f>VLOOKUP(A180,BBDD!$1:$1048653,17,0)</f>
        <v/>
      </c>
      <c r="K180" s="35">
        <f>VLOOKUP(A180,BBDD!$1:$1048653,12,0)</f>
        <v>42005</v>
      </c>
      <c r="L180" s="35" t="str">
        <f>VLOOKUP(A180,BBDD!$1:$1048653,3,0)</f>
        <v>Nutrisco S.A.</v>
      </c>
      <c r="M180" s="35" t="str">
        <f>VLOOKUP(A180,BBDD!$1:$1048653,4,0)</f>
        <v>F2</v>
      </c>
      <c r="N180" s="35" t="str">
        <f>VLOOKUP(A180,BBDD!$1:$1048653,5,0)</f>
        <v>ines.osorio@nutrisco.com</v>
      </c>
      <c r="O180" s="36">
        <v>45971.0</v>
      </c>
      <c r="P180" s="32" t="s">
        <v>5582</v>
      </c>
      <c r="Q180" s="32" t="s">
        <v>5657</v>
      </c>
      <c r="R180" s="32" t="s">
        <v>5842</v>
      </c>
      <c r="S180" s="32" t="s">
        <v>5843</v>
      </c>
      <c r="T180" s="32" t="s">
        <v>5616</v>
      </c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</row>
    <row r="181" ht="14.25" customHeight="1">
      <c r="A181" s="32">
        <v>1.1682551E7</v>
      </c>
      <c r="B181" s="33" t="str">
        <f>VLOOKUP(A181,BBDD!$1:$1048653,2,0)</f>
        <v>11.682.551-1</v>
      </c>
      <c r="C181" s="34" t="str">
        <f>VLOOKUP(A181,BBDD!$1:$1048653,7,0)</f>
        <v>Herrera Sanchez Marco Aurelio</v>
      </c>
      <c r="D181" s="33" t="str">
        <f>VLOOKUP(A181,BBDD!$1:$1048653,8,0)</f>
        <v>Operador Elaboracion</v>
      </c>
      <c r="E181" s="33" t="str">
        <f>VLOOKUP(A181,BBDD!$1:$1048653,10,0)</f>
        <v>Gerencia Producción Pesca</v>
      </c>
      <c r="F181" s="33" t="str">
        <f>VLOOKUP(A181,BBDD!$1:$1048653,11,0)</f>
        <v>Indefinido</v>
      </c>
      <c r="G181" s="33" t="str">
        <f>VLOOKUP(A181,BBDD!$1:$1048653,13,0)</f>
        <v>Coronel Rol Tierra</v>
      </c>
      <c r="H181" s="33" t="str">
        <f>VLOOKUP(A181,BBDD!$1:$1048653,14,0)</f>
        <v>Gerencia Corp. Negocio Seafood</v>
      </c>
      <c r="I181" s="33" t="str">
        <f>VLOOKUP(A181,BBDD!$1:$1048653,16,0)</f>
        <v>Rol General (Cargo permanente o proyección indefinido)</v>
      </c>
      <c r="J181" s="33" t="str">
        <f>VLOOKUP(A181,BBDD!$1:$1048653,17,0)</f>
        <v/>
      </c>
      <c r="K181" s="35">
        <f>VLOOKUP(A181,BBDD!$1:$1048653,12,0)</f>
        <v>42370</v>
      </c>
      <c r="L181" s="35" t="str">
        <f>VLOOKUP(A181,BBDD!$1:$1048653,3,0)</f>
        <v>Orizon S.A</v>
      </c>
      <c r="M181" s="35" t="str">
        <f>VLOOKUP(A181,BBDD!$1:$1048653,4,0)</f>
        <v>F1</v>
      </c>
      <c r="N181" s="35" t="str">
        <f>VLOOKUP(A181,BBDD!$1:$1048653,5,0)</f>
        <v>marcoherrera3012@gmail.com</v>
      </c>
      <c r="O181" s="36">
        <v>45972.0</v>
      </c>
      <c r="P181" s="32" t="s">
        <v>5582</v>
      </c>
      <c r="Q181" s="32" t="s">
        <v>5586</v>
      </c>
      <c r="R181" s="32" t="s">
        <v>5844</v>
      </c>
      <c r="S181" s="32" t="s">
        <v>5845</v>
      </c>
      <c r="T181" s="32" t="s">
        <v>5585</v>
      </c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</row>
    <row r="182" ht="13.5" customHeight="1">
      <c r="A182" s="42">
        <v>1.7343575E7</v>
      </c>
      <c r="B182" s="43" t="s">
        <v>5846</v>
      </c>
      <c r="C182" s="44" t="s">
        <v>5847</v>
      </c>
      <c r="D182" s="45" t="s">
        <v>2657</v>
      </c>
      <c r="E182" s="46" t="str">
        <f>VLOOKUP(A182,BBDD!$1:$1048653,10,0)</f>
        <v>#N/A</v>
      </c>
      <c r="F182" s="46" t="str">
        <f>VLOOKUP(A182,BBDD!$1:$1048653,11,0)</f>
        <v>#N/A</v>
      </c>
      <c r="G182" s="46" t="str">
        <f>VLOOKUP(A182,BBDD!$1:$1048653,13,0)</f>
        <v>#N/A</v>
      </c>
      <c r="H182" s="46" t="str">
        <f>VLOOKUP(A182,BBDD!$1:$1048653,14,0)</f>
        <v>#N/A</v>
      </c>
      <c r="I182" s="46" t="str">
        <f>VLOOKUP(A182,BBDD!$1:$1048653,16,0)</f>
        <v>#N/A</v>
      </c>
      <c r="J182" s="46" t="str">
        <f>VLOOKUP(A182,BBDD!$1:$1048653,17,0)</f>
        <v>#N/A</v>
      </c>
      <c r="K182" s="47" t="str">
        <f>VLOOKUP(A182,BBDD!$1:$1048653,12,0)</f>
        <v>#N/A</v>
      </c>
      <c r="L182" s="47" t="str">
        <f>VLOOKUP(A182,BBDD!$1:$1048653,3,0)</f>
        <v>#N/A</v>
      </c>
      <c r="M182" s="47" t="str">
        <f>VLOOKUP(A182,BBDD!$1:$1048653,4,0)</f>
        <v>#N/A</v>
      </c>
      <c r="N182" s="47" t="str">
        <f>VLOOKUP(A182,BBDD!$1:$1048653,5,0)</f>
        <v>#N/A</v>
      </c>
      <c r="O182" s="48">
        <v>45972.0</v>
      </c>
      <c r="P182" s="49" t="s">
        <v>5575</v>
      </c>
      <c r="Q182" s="49" t="s">
        <v>5603</v>
      </c>
      <c r="R182" s="49" t="s">
        <v>5848</v>
      </c>
      <c r="S182" s="49" t="s">
        <v>5849</v>
      </c>
      <c r="T182" s="49" t="s">
        <v>5585</v>
      </c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</row>
    <row r="183" ht="14.25" customHeight="1">
      <c r="A183" s="42">
        <v>1.9270988E7</v>
      </c>
      <c r="B183" s="33" t="str">
        <f>VLOOKUP(A183,BBDD!$1:$1048653,2,0)</f>
        <v>19.270.988-1</v>
      </c>
      <c r="C183" s="34" t="str">
        <f>VLOOKUP(A183,BBDD!$1:$1048653,7,0)</f>
        <v>Aravena Medel Gonzalo Andrés</v>
      </c>
      <c r="D183" s="33" t="str">
        <f>VLOOKUP(A183,BBDD!$1:$1048653,8,0)</f>
        <v>Operario Apoyo Elaboracion</v>
      </c>
      <c r="E183" s="33" t="str">
        <f>VLOOKUP(A183,BBDD!$1:$1048653,10,0)</f>
        <v>Gerencia Producción Pesca</v>
      </c>
      <c r="F183" s="33" t="str">
        <f>VLOOKUP(A183,BBDD!$1:$1048653,11,0)</f>
        <v>Plazo fijo</v>
      </c>
      <c r="G183" s="33" t="str">
        <f>VLOOKUP(A183,BBDD!$1:$1048653,13,0)</f>
        <v>Coronel Rol Eventual</v>
      </c>
      <c r="H183" s="33" t="str">
        <f>VLOOKUP(A183,BBDD!$1:$1048653,14,0)</f>
        <v>Gerencia Corp. Negocio Seafood</v>
      </c>
      <c r="I183" s="33" t="str">
        <f>VLOOKUP(A183,BBDD!$1:$1048653,16,0)</f>
        <v>Temporada (Con ocasión Temporada de Pesca)</v>
      </c>
      <c r="J183" s="33" t="str">
        <f>VLOOKUP(A183,BBDD!$1:$1048653,17,0)</f>
        <v/>
      </c>
      <c r="K183" s="35">
        <f>VLOOKUP(A183,BBDD!$1:$1048653,12,0)</f>
        <v>45940</v>
      </c>
      <c r="L183" s="35" t="str">
        <f>VLOOKUP(A183,BBDD!$1:$1048653,3,0)</f>
        <v>Orizon S.A</v>
      </c>
      <c r="M183" s="35" t="str">
        <f>VLOOKUP(A183,BBDD!$1:$1048653,4,0)</f>
        <v>F1</v>
      </c>
      <c r="N183" s="35" t="str">
        <f>VLOOKUP(A183,BBDD!$1:$1048653,5,0)</f>
        <v>gaaravenamedel@gmail.com</v>
      </c>
      <c r="O183" s="36">
        <v>45972.0</v>
      </c>
      <c r="P183" s="32" t="s">
        <v>5575</v>
      </c>
      <c r="Q183" s="32" t="s">
        <v>5606</v>
      </c>
      <c r="R183" s="32" t="s">
        <v>5817</v>
      </c>
      <c r="S183" s="37"/>
      <c r="T183" s="32" t="s">
        <v>5585</v>
      </c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</row>
    <row r="184" ht="14.25" customHeight="1">
      <c r="A184" s="41">
        <v>9229420.0</v>
      </c>
      <c r="B184" s="33" t="str">
        <f>VLOOKUP(A184,BBDD!$1:$1048653,2,0)</f>
        <v>9.229.420-k</v>
      </c>
      <c r="C184" s="34" t="str">
        <f>VLOOKUP(A184,BBDD!$1:$1048653,7,0)</f>
        <v>Ferrando Gomez Alejandro Jose</v>
      </c>
      <c r="D184" s="33" t="str">
        <f>VLOOKUP(A184,BBDD!$1:$1048653,8,0)</f>
        <v>Operario Apoyo Elaboracion</v>
      </c>
      <c r="E184" s="33" t="str">
        <f>VLOOKUP(A184,BBDD!$1:$1048653,10,0)</f>
        <v>Gerencia Producción Pesca</v>
      </c>
      <c r="F184" s="33" t="str">
        <f>VLOOKUP(A184,BBDD!$1:$1048653,11,0)</f>
        <v>Plazo fijo</v>
      </c>
      <c r="G184" s="33" t="str">
        <f>VLOOKUP(A184,BBDD!$1:$1048653,13,0)</f>
        <v>Coronel Rol Eventual</v>
      </c>
      <c r="H184" s="33" t="str">
        <f>VLOOKUP(A184,BBDD!$1:$1048653,14,0)</f>
        <v>Gerencia Corp. Negocio Seafood</v>
      </c>
      <c r="I184" s="33" t="str">
        <f>VLOOKUP(A184,BBDD!$1:$1048653,16,0)</f>
        <v>Temporada (Con ocasión Temporada de Pesca)</v>
      </c>
      <c r="J184" s="33" t="str">
        <f>VLOOKUP(A184,BBDD!$1:$1048653,17,0)</f>
        <v/>
      </c>
      <c r="K184" s="35">
        <f>VLOOKUP(A184,BBDD!$1:$1048653,12,0)</f>
        <v>45941</v>
      </c>
      <c r="L184" s="35" t="str">
        <f>VLOOKUP(A184,BBDD!$1:$1048653,3,0)</f>
        <v>Orizon S.A</v>
      </c>
      <c r="M184" s="35" t="str">
        <f>VLOOKUP(A184,BBDD!$1:$1048653,4,0)</f>
        <v>F3</v>
      </c>
      <c r="N184" s="35" t="str">
        <f>VLOOKUP(A184,BBDD!$1:$1048653,5,0)</f>
        <v>alejandroferrando2211@gmail.com</v>
      </c>
      <c r="O184" s="36">
        <v>45972.0</v>
      </c>
      <c r="P184" s="32" t="s">
        <v>5575</v>
      </c>
      <c r="Q184" s="32" t="s">
        <v>5597</v>
      </c>
      <c r="R184" s="50" t="s">
        <v>5850</v>
      </c>
      <c r="S184" s="51"/>
      <c r="T184" s="32" t="s">
        <v>5585</v>
      </c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</row>
    <row r="185" ht="14.25" customHeight="1">
      <c r="A185" s="32">
        <v>2.048979E7</v>
      </c>
      <c r="B185" s="33" t="str">
        <f>VLOOKUP(A185,BBDD!$1:$1048653,2,0)</f>
        <v>20.489.790-5</v>
      </c>
      <c r="C185" s="34" t="str">
        <f>VLOOKUP(A185,BBDD!$1:$1048653,7,0)</f>
        <v>Carrasco Vergara Gisselle Mariel</v>
      </c>
      <c r="D185" s="33" t="str">
        <f>VLOOKUP(A185,BBDD!$1:$1048653,8,0)</f>
        <v>Analista de Gestión de Calidad</v>
      </c>
      <c r="E185" s="33" t="str">
        <f>VLOOKUP(A185,BBDD!$1:$1048653,10,0)</f>
        <v>Gerencia Gestión Integrada y Calidad</v>
      </c>
      <c r="F185" s="33" t="str">
        <f>VLOOKUP(A185,BBDD!$1:$1048653,11,0)</f>
        <v>Plazo fijo</v>
      </c>
      <c r="G185" s="33" t="str">
        <f>VLOOKUP(A185,BBDD!$1:$1048653,13,0)</f>
        <v>Coronel Rol Tierra</v>
      </c>
      <c r="H185" s="33" t="str">
        <f>VLOOKUP(A185,BBDD!$1:$1048653,14,0)</f>
        <v>Gerencia Corp. Negocio Seafood</v>
      </c>
      <c r="I185" s="33" t="str">
        <f>VLOOKUP(A185,BBDD!$1:$1048653,16,0)</f>
        <v>Rol General (Cargo permanente o proyección indefinido)</v>
      </c>
      <c r="J185" s="33" t="str">
        <f>VLOOKUP(A185,BBDD!$1:$1048653,17,0)</f>
        <v/>
      </c>
      <c r="K185" s="35">
        <f>VLOOKUP(A185,BBDD!$1:$1048653,12,0)</f>
        <v>45915</v>
      </c>
      <c r="L185" s="35" t="str">
        <f>VLOOKUP(A185,BBDD!$1:$1048653,3,0)</f>
        <v>Orizon S.A</v>
      </c>
      <c r="M185" s="35" t="str">
        <f>VLOOKUP(A185,BBDD!$1:$1048653,4,0)</f>
        <v>F2</v>
      </c>
      <c r="N185" s="35" t="str">
        <f>VLOOKUP(A185,BBDD!$1:$1048653,5,0)</f>
        <v>gisselle.carrasco@orizon.cl</v>
      </c>
      <c r="O185" s="36">
        <v>45972.0</v>
      </c>
      <c r="P185" s="32" t="s">
        <v>5594</v>
      </c>
      <c r="Q185" s="32" t="s">
        <v>5601</v>
      </c>
      <c r="R185" s="32" t="s">
        <v>5851</v>
      </c>
      <c r="S185" s="37"/>
      <c r="T185" s="32" t="s">
        <v>5585</v>
      </c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</row>
    <row r="186" ht="14.25" customHeight="1">
      <c r="A186" s="32">
        <v>2.0886959E7</v>
      </c>
      <c r="B186" s="33" t="str">
        <f>VLOOKUP(A186,BBDD!$1:$1048653,2,0)</f>
        <v>20.886.959-0</v>
      </c>
      <c r="C186" s="34" t="str">
        <f>VLOOKUP(A186,BBDD!$1:$1048653,7,0)</f>
        <v>Farfan Sierra Mario Enrique</v>
      </c>
      <c r="D186" s="33" t="str">
        <f>VLOOKUP(A186,BBDD!$1:$1048653,8,0)</f>
        <v>Operario Apoyo Elaboracion</v>
      </c>
      <c r="E186" s="33" t="str">
        <f>VLOOKUP(A186,BBDD!$1:$1048653,10,0)</f>
        <v>Gerencia Producción Pesca</v>
      </c>
      <c r="F186" s="33" t="str">
        <f>VLOOKUP(A186,BBDD!$1:$1048653,11,0)</f>
        <v>Plazo fijo</v>
      </c>
      <c r="G186" s="33" t="str">
        <f>VLOOKUP(A186,BBDD!$1:$1048653,13,0)</f>
        <v>Coronel Rol Eventual</v>
      </c>
      <c r="H186" s="33" t="str">
        <f>VLOOKUP(A186,BBDD!$1:$1048653,14,0)</f>
        <v>Gerencia Corp. Negocio Seafood</v>
      </c>
      <c r="I186" s="33" t="str">
        <f>VLOOKUP(A186,BBDD!$1:$1048653,16,0)</f>
        <v>Temporada (Con ocasión Temporada de Pesca)</v>
      </c>
      <c r="J186" s="33" t="str">
        <f>VLOOKUP(A186,BBDD!$1:$1048653,17,0)</f>
        <v/>
      </c>
      <c r="K186" s="35">
        <f>VLOOKUP(A186,BBDD!$1:$1048653,12,0)</f>
        <v>45938</v>
      </c>
      <c r="L186" s="35" t="str">
        <f>VLOOKUP(A186,BBDD!$1:$1048653,3,0)</f>
        <v>Orizon S.A</v>
      </c>
      <c r="M186" s="35" t="str">
        <f>VLOOKUP(A186,BBDD!$1:$1048653,4,0)</f>
        <v>F1</v>
      </c>
      <c r="N186" s="35" t="str">
        <f>VLOOKUP(A186,BBDD!$1:$1048653,5,0)</f>
        <v>mario.sierra.2e@gmail.com</v>
      </c>
      <c r="O186" s="36">
        <v>45972.0</v>
      </c>
      <c r="P186" s="32" t="s">
        <v>5582</v>
      </c>
      <c r="Q186" s="32" t="s">
        <v>5838</v>
      </c>
      <c r="R186" s="32" t="s">
        <v>5839</v>
      </c>
      <c r="S186" s="37"/>
      <c r="T186" s="32" t="s">
        <v>5585</v>
      </c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</row>
    <row r="187" ht="14.25" customHeight="1">
      <c r="A187" s="32">
        <v>1.9799595E7</v>
      </c>
      <c r="B187" s="33" t="str">
        <f>VLOOKUP(A187,BBDD!$1:$1048653,2,0)</f>
        <v>19.799.595-5</v>
      </c>
      <c r="C187" s="34" t="str">
        <f>VLOOKUP(A187,BBDD!$1:$1048653,7,0)</f>
        <v>Sanhueza Bravo Kevin Stalin</v>
      </c>
      <c r="D187" s="33" t="str">
        <f>VLOOKUP(A187,BBDD!$1:$1048653,8,0)</f>
        <v>Operador Elaboracion Php</v>
      </c>
      <c r="E187" s="33" t="str">
        <f>VLOOKUP(A187,BBDD!$1:$1048653,10,0)</f>
        <v>Gerencia Producción Pesca</v>
      </c>
      <c r="F187" s="33" t="str">
        <f>VLOOKUP(A187,BBDD!$1:$1048653,11,0)</f>
        <v>Plazo fijo</v>
      </c>
      <c r="G187" s="33" t="str">
        <f>VLOOKUP(A187,BBDD!$1:$1048653,13,0)</f>
        <v>Coronel Rol Tierra</v>
      </c>
      <c r="H187" s="33" t="str">
        <f>VLOOKUP(A187,BBDD!$1:$1048653,14,0)</f>
        <v>Gerencia Corp. Negocio Seafood</v>
      </c>
      <c r="I187" s="33" t="str">
        <f>VLOOKUP(A187,BBDD!$1:$1048653,16,0)</f>
        <v>Temporada (Con ocasión Temporada de Pesca)</v>
      </c>
      <c r="J187" s="33" t="str">
        <f>VLOOKUP(A187,BBDD!$1:$1048653,17,0)</f>
        <v/>
      </c>
      <c r="K187" s="35">
        <f>VLOOKUP(A187,BBDD!$1:$1048653,12,0)</f>
        <v>45962</v>
      </c>
      <c r="L187" s="35" t="str">
        <f>VLOOKUP(A187,BBDD!$1:$1048653,3,0)</f>
        <v>Orizon S.A</v>
      </c>
      <c r="M187" s="35" t="str">
        <f>VLOOKUP(A187,BBDD!$1:$1048653,4,0)</f>
        <v>F3</v>
      </c>
      <c r="N187" s="35" t="str">
        <f>VLOOKUP(A187,BBDD!$1:$1048653,5,0)</f>
        <v>kevinsanhuezabravo@gmail.com</v>
      </c>
      <c r="O187" s="36">
        <v>45972.0</v>
      </c>
      <c r="P187" s="32" t="s">
        <v>5582</v>
      </c>
      <c r="Q187" s="32" t="s">
        <v>5601</v>
      </c>
      <c r="R187" s="32" t="s">
        <v>5852</v>
      </c>
      <c r="S187" s="37"/>
      <c r="T187" s="32" t="s">
        <v>5616</v>
      </c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</row>
    <row r="188" ht="14.25" customHeight="1">
      <c r="A188" s="32">
        <v>1.1183191E7</v>
      </c>
      <c r="B188" s="33" t="str">
        <f>VLOOKUP(A188,BBDD!$1:$1048653,2,0)</f>
        <v>11.183.191-2</v>
      </c>
      <c r="C188" s="34" t="str">
        <f>VLOOKUP(A188,BBDD!$1:$1048653,7,0)</f>
        <v>Galindo Villa Eliset Del Carmen</v>
      </c>
      <c r="D188" s="33" t="str">
        <f>VLOOKUP(A188,BBDD!$1:$1048653,8,0)</f>
        <v>Operario Apoyo Elaboracion</v>
      </c>
      <c r="E188" s="33" t="str">
        <f>VLOOKUP(A188,BBDD!$1:$1048653,10,0)</f>
        <v>Gerencia Producción Pesca</v>
      </c>
      <c r="F188" s="33" t="str">
        <f>VLOOKUP(A188,BBDD!$1:$1048653,11,0)</f>
        <v>Plazo fijo</v>
      </c>
      <c r="G188" s="33" t="str">
        <f>VLOOKUP(A188,BBDD!$1:$1048653,13,0)</f>
        <v>Coronel Rol Eventual</v>
      </c>
      <c r="H188" s="33" t="str">
        <f>VLOOKUP(A188,BBDD!$1:$1048653,14,0)</f>
        <v>Gerencia Corp. Negocio Seafood</v>
      </c>
      <c r="I188" s="33" t="str">
        <f>VLOOKUP(A188,BBDD!$1:$1048653,16,0)</f>
        <v>Temporada (Con ocasión Temporada de Pesca)</v>
      </c>
      <c r="J188" s="33" t="str">
        <f>VLOOKUP(A188,BBDD!$1:$1048653,17,0)</f>
        <v/>
      </c>
      <c r="K188" s="35">
        <f>VLOOKUP(A188,BBDD!$1:$1048653,12,0)</f>
        <v>45943</v>
      </c>
      <c r="L188" s="35" t="str">
        <f>VLOOKUP(A188,BBDD!$1:$1048653,3,0)</f>
        <v>Orizon S.A</v>
      </c>
      <c r="M188" s="35" t="str">
        <f>VLOOKUP(A188,BBDD!$1:$1048653,4,0)</f>
        <v>F1</v>
      </c>
      <c r="N188" s="35" t="str">
        <f>VLOOKUP(A188,BBDD!$1:$1048653,5,0)</f>
        <v>elisetgalindovilla@gmail.com</v>
      </c>
      <c r="O188" s="36">
        <v>45973.0</v>
      </c>
      <c r="P188" s="32" t="s">
        <v>5582</v>
      </c>
      <c r="Q188" s="32" t="s">
        <v>5838</v>
      </c>
      <c r="R188" s="32" t="s">
        <v>5839</v>
      </c>
      <c r="S188" s="37"/>
      <c r="T188" s="32" t="s">
        <v>5585</v>
      </c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</row>
    <row r="189" ht="14.25" customHeight="1">
      <c r="A189" s="32">
        <v>1.2703195E7</v>
      </c>
      <c r="B189" s="33" t="str">
        <f>VLOOKUP(A189,BBDD!$1:$1048653,2,0)</f>
        <v>12.703.195-9</v>
      </c>
      <c r="C189" s="34" t="str">
        <f>VLOOKUP(A189,BBDD!$1:$1048653,7,0)</f>
        <v>Rios Soto Angelo Enrique</v>
      </c>
      <c r="D189" s="33" t="str">
        <f>VLOOKUP(A189,BBDD!$1:$1048653,8,0)</f>
        <v>Monitor(A) De Calidad</v>
      </c>
      <c r="E189" s="33" t="str">
        <f>VLOOKUP(A189,BBDD!$1:$1048653,10,0)</f>
        <v>Gerencia Gestión Integrada y Calidad</v>
      </c>
      <c r="F189" s="33" t="str">
        <f>VLOOKUP(A189,BBDD!$1:$1048653,11,0)</f>
        <v>Indefinido</v>
      </c>
      <c r="G189" s="33" t="str">
        <f>VLOOKUP(A189,BBDD!$1:$1048653,13,0)</f>
        <v>Coronel Rol Tierra</v>
      </c>
      <c r="H189" s="33" t="str">
        <f>VLOOKUP(A189,BBDD!$1:$1048653,14,0)</f>
        <v>Gerencia Corp. Negocio Seafood</v>
      </c>
      <c r="I189" s="33" t="str">
        <f>VLOOKUP(A189,BBDD!$1:$1048653,16,0)</f>
        <v>Rol General (Cargo permanente o proyección indefinido)</v>
      </c>
      <c r="J189" s="33" t="str">
        <f>VLOOKUP(A189,BBDD!$1:$1048653,17,0)</f>
        <v/>
      </c>
      <c r="K189" s="35">
        <f>VLOOKUP(A189,BBDD!$1:$1048653,12,0)</f>
        <v>42618</v>
      </c>
      <c r="L189" s="35" t="str">
        <f>VLOOKUP(A189,BBDD!$1:$1048653,3,0)</f>
        <v>Orizon S.A</v>
      </c>
      <c r="M189" s="35" t="str">
        <f>VLOOKUP(A189,BBDD!$1:$1048653,4,0)</f>
        <v>F1</v>
      </c>
      <c r="N189" s="35" t="str">
        <f>VLOOKUP(A189,BBDD!$1:$1048653,5,0)</f>
        <v>foxtrot.angers@gmail.com</v>
      </c>
      <c r="O189" s="36">
        <v>45973.0</v>
      </c>
      <c r="P189" s="32" t="s">
        <v>5582</v>
      </c>
      <c r="Q189" s="32" t="s">
        <v>5589</v>
      </c>
      <c r="R189" s="32" t="s">
        <v>5853</v>
      </c>
      <c r="S189" s="37"/>
      <c r="T189" s="32" t="s">
        <v>5616</v>
      </c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</row>
    <row r="190" ht="14.25" customHeight="1">
      <c r="A190" s="32">
        <v>1.0921078E7</v>
      </c>
      <c r="B190" s="33" t="str">
        <f>VLOOKUP(A190,BBDD!$1:$1048653,2,0)</f>
        <v>10.921.078-1</v>
      </c>
      <c r="C190" s="34" t="str">
        <f>VLOOKUP(A190,BBDD!$1:$1048653,7,0)</f>
        <v>Fernandez Vergara Andres Esteban</v>
      </c>
      <c r="D190" s="33" t="str">
        <f>VLOOKUP(A190,BBDD!$1:$1048653,8,0)</f>
        <v>Operador Sala Control Trainee</v>
      </c>
      <c r="E190" s="33" t="str">
        <f>VLOOKUP(A190,BBDD!$1:$1048653,10,0)</f>
        <v>Gerencia Producción Pesca</v>
      </c>
      <c r="F190" s="33" t="str">
        <f>VLOOKUP(A190,BBDD!$1:$1048653,11,0)</f>
        <v>Plazo fijo</v>
      </c>
      <c r="G190" s="33" t="str">
        <f>VLOOKUP(A190,BBDD!$1:$1048653,13,0)</f>
        <v>Coronel Rol Tierra</v>
      </c>
      <c r="H190" s="33" t="str">
        <f>VLOOKUP(A190,BBDD!$1:$1048653,14,0)</f>
        <v>Gerencia Corp. Negocio Seafood</v>
      </c>
      <c r="I190" s="33" t="str">
        <f>VLOOKUP(A190,BBDD!$1:$1048653,16,0)</f>
        <v>Temporada (Con ocasión Temporada de Pesca)</v>
      </c>
      <c r="J190" s="33" t="str">
        <f>VLOOKUP(A190,BBDD!$1:$1048653,17,0)</f>
        <v/>
      </c>
      <c r="K190" s="35">
        <f>VLOOKUP(A190,BBDD!$1:$1048653,12,0)</f>
        <v>45962</v>
      </c>
      <c r="L190" s="35" t="str">
        <f>VLOOKUP(A190,BBDD!$1:$1048653,3,0)</f>
        <v>Orizon S.A</v>
      </c>
      <c r="M190" s="35" t="str">
        <f>VLOOKUP(A190,BBDD!$1:$1048653,4,0)</f>
        <v>F5</v>
      </c>
      <c r="N190" s="35" t="str">
        <f>VLOOKUP(A190,BBDD!$1:$1048653,5,0)</f>
        <v>andyfer.vergara@gmail.com</v>
      </c>
      <c r="O190" s="36">
        <v>45973.0</v>
      </c>
      <c r="P190" s="32" t="s">
        <v>5582</v>
      </c>
      <c r="Q190" s="37"/>
      <c r="R190" s="32" t="s">
        <v>5854</v>
      </c>
      <c r="S190" s="32" t="s">
        <v>5855</v>
      </c>
      <c r="T190" s="32" t="s">
        <v>5585</v>
      </c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</row>
    <row r="191" ht="14.25" customHeight="1">
      <c r="A191" s="32">
        <v>1.4068724E7</v>
      </c>
      <c r="B191" s="33" t="str">
        <f>VLOOKUP(A191,BBDD!$1:$1048653,2,0)</f>
        <v>14.068.724-3</v>
      </c>
      <c r="C191" s="34" t="str">
        <f>VLOOKUP(A191,BBDD!$1:$1048653,7,0)</f>
        <v>Cuevas Acuña Maria Angelica</v>
      </c>
      <c r="D191" s="33" t="str">
        <f>VLOOKUP(A191,BBDD!$1:$1048653,8,0)</f>
        <v>Operario Apoyo Elaboracion</v>
      </c>
      <c r="E191" s="33" t="str">
        <f>VLOOKUP(A191,BBDD!$1:$1048653,10,0)</f>
        <v>Gerencia Producción Pesca</v>
      </c>
      <c r="F191" s="33" t="str">
        <f>VLOOKUP(A191,BBDD!$1:$1048653,11,0)</f>
        <v>Plazo fijo</v>
      </c>
      <c r="G191" s="33" t="str">
        <f>VLOOKUP(A191,BBDD!$1:$1048653,13,0)</f>
        <v>Coronel Rol Eventual</v>
      </c>
      <c r="H191" s="33" t="str">
        <f>VLOOKUP(A191,BBDD!$1:$1048653,14,0)</f>
        <v>Gerencia Corp. Negocio Seafood</v>
      </c>
      <c r="I191" s="33" t="str">
        <f>VLOOKUP(A191,BBDD!$1:$1048653,16,0)</f>
        <v>Temporada (Con ocasión Temporada de Pesca)</v>
      </c>
      <c r="J191" s="33" t="str">
        <f>VLOOKUP(A191,BBDD!$1:$1048653,17,0)</f>
        <v/>
      </c>
      <c r="K191" s="35">
        <f>VLOOKUP(A191,BBDD!$1:$1048653,12,0)</f>
        <v>45945</v>
      </c>
      <c r="L191" s="35" t="str">
        <f>VLOOKUP(A191,BBDD!$1:$1048653,3,0)</f>
        <v>Orizon S.A</v>
      </c>
      <c r="M191" s="35" t="str">
        <f>VLOOKUP(A191,BBDD!$1:$1048653,4,0)</f>
        <v>F2</v>
      </c>
      <c r="N191" s="35" t="str">
        <f>VLOOKUP(A191,BBDD!$1:$1048653,5,0)</f>
        <v>mary.cuevas1981@gmail.com</v>
      </c>
      <c r="O191" s="36">
        <v>45973.0</v>
      </c>
      <c r="P191" s="32" t="s">
        <v>5582</v>
      </c>
      <c r="Q191" s="32" t="s">
        <v>5838</v>
      </c>
      <c r="R191" s="32" t="s">
        <v>5839</v>
      </c>
      <c r="S191" s="37"/>
      <c r="T191" s="32" t="s">
        <v>5585</v>
      </c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</row>
    <row r="192" ht="14.25" customHeight="1">
      <c r="A192" s="32">
        <v>1.8442627E7</v>
      </c>
      <c r="B192" s="33" t="str">
        <f>VLOOKUP(A192,BBDD!$1:$1048653,2,0)</f>
        <v>18.442.627-7</v>
      </c>
      <c r="C192" s="34" t="str">
        <f>VLOOKUP(A192,BBDD!$1:$1048653,7,0)</f>
        <v>Alvarez Pino Carla Angelina</v>
      </c>
      <c r="D192" s="33" t="str">
        <f>VLOOKUP(A192,BBDD!$1:$1048653,8,0)</f>
        <v>Operario Apoyo Elaboracion</v>
      </c>
      <c r="E192" s="33" t="str">
        <f>VLOOKUP(A192,BBDD!$1:$1048653,10,0)</f>
        <v>Gerencia Producción Pesca</v>
      </c>
      <c r="F192" s="33" t="str">
        <f>VLOOKUP(A192,BBDD!$1:$1048653,11,0)</f>
        <v>Plazo fijo</v>
      </c>
      <c r="G192" s="33" t="str">
        <f>VLOOKUP(A192,BBDD!$1:$1048653,13,0)</f>
        <v>Coronel Rol Eventual</v>
      </c>
      <c r="H192" s="33" t="str">
        <f>VLOOKUP(A192,BBDD!$1:$1048653,14,0)</f>
        <v>Gerencia Corp. Negocio Seafood</v>
      </c>
      <c r="I192" s="33" t="str">
        <f>VLOOKUP(A192,BBDD!$1:$1048653,16,0)</f>
        <v>Temporada (Con ocasión Temporada de Pesca)</v>
      </c>
      <c r="J192" s="33" t="str">
        <f>VLOOKUP(A192,BBDD!$1:$1048653,17,0)</f>
        <v/>
      </c>
      <c r="K192" s="35">
        <f>VLOOKUP(A192,BBDD!$1:$1048653,12,0)</f>
        <v>45941</v>
      </c>
      <c r="L192" s="35" t="str">
        <f>VLOOKUP(A192,BBDD!$1:$1048653,3,0)</f>
        <v>Orizon S.A</v>
      </c>
      <c r="M192" s="35" t="str">
        <f>VLOOKUP(A192,BBDD!$1:$1048653,4,0)</f>
        <v>F1</v>
      </c>
      <c r="N192" s="35" t="str">
        <f>VLOOKUP(A192,BBDD!$1:$1048653,5,0)</f>
        <v>carla.alvarez.pino.24@gmail.com</v>
      </c>
      <c r="O192" s="36">
        <v>45973.0</v>
      </c>
      <c r="P192" s="32" t="s">
        <v>5582</v>
      </c>
      <c r="Q192" s="32" t="s">
        <v>5838</v>
      </c>
      <c r="R192" s="32" t="s">
        <v>5839</v>
      </c>
      <c r="S192" s="37"/>
      <c r="T192" s="32" t="s">
        <v>5585</v>
      </c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</row>
    <row r="193" ht="14.25" customHeight="1">
      <c r="A193" s="32">
        <v>1.874571E7</v>
      </c>
      <c r="B193" s="33" t="str">
        <f>VLOOKUP(A193,BBDD!$1:$1048653,2,0)</f>
        <v>18.745.710-6</v>
      </c>
      <c r="C193" s="34" t="str">
        <f>VLOOKUP(A193,BBDD!$1:$1048653,7,0)</f>
        <v>Salazar Cabrera Yaritssa Ana Luisa</v>
      </c>
      <c r="D193" s="33" t="str">
        <f>VLOOKUP(A193,BBDD!$1:$1048653,8,0)</f>
        <v>Operario Apoyo Elaboracion</v>
      </c>
      <c r="E193" s="33" t="str">
        <f>VLOOKUP(A193,BBDD!$1:$1048653,10,0)</f>
        <v>Gerencia Producción Pesca</v>
      </c>
      <c r="F193" s="33" t="str">
        <f>VLOOKUP(A193,BBDD!$1:$1048653,11,0)</f>
        <v>Obra</v>
      </c>
      <c r="G193" s="33" t="str">
        <f>VLOOKUP(A193,BBDD!$1:$1048653,13,0)</f>
        <v>Coronel Rol Eventual</v>
      </c>
      <c r="H193" s="33" t="str">
        <f>VLOOKUP(A193,BBDD!$1:$1048653,14,0)</f>
        <v>Gerencia Corp. Negocio Seafood</v>
      </c>
      <c r="I193" s="33" t="str">
        <f>VLOOKUP(A193,BBDD!$1:$1048653,16,0)</f>
        <v>Temporada (Con ocasión Temporada de Pesca)</v>
      </c>
      <c r="J193" s="33" t="str">
        <f>VLOOKUP(A193,BBDD!$1:$1048653,17,0)</f>
        <v/>
      </c>
      <c r="K193" s="35">
        <f>VLOOKUP(A193,BBDD!$1:$1048653,12,0)</f>
        <v>45866</v>
      </c>
      <c r="L193" s="35" t="str">
        <f>VLOOKUP(A193,BBDD!$1:$1048653,3,0)</f>
        <v>Orizon S.A</v>
      </c>
      <c r="M193" s="35" t="str">
        <f>VLOOKUP(A193,BBDD!$1:$1048653,4,0)</f>
        <v>F2</v>
      </c>
      <c r="N193" s="35" t="str">
        <f>VLOOKUP(A193,BBDD!$1:$1048653,5,0)</f>
        <v>ANNABEANS1234@GMAIL.COM</v>
      </c>
      <c r="O193" s="36">
        <v>45973.0</v>
      </c>
      <c r="P193" s="32" t="s">
        <v>5582</v>
      </c>
      <c r="Q193" s="32" t="s">
        <v>5601</v>
      </c>
      <c r="R193" s="32" t="s">
        <v>5856</v>
      </c>
      <c r="S193" s="37"/>
      <c r="T193" s="32" t="s">
        <v>5585</v>
      </c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</row>
    <row r="194" ht="14.25" customHeight="1">
      <c r="A194" s="32">
        <v>1.6600363E7</v>
      </c>
      <c r="B194" s="52" t="s">
        <v>132</v>
      </c>
      <c r="C194" s="53" t="s">
        <v>134</v>
      </c>
      <c r="D194" s="33" t="str">
        <f>VLOOKUP(A194,BBDD!$1:$1048653,8,0)</f>
        <v>Operario Apoyo Elaboracion</v>
      </c>
      <c r="E194" s="33" t="str">
        <f>VLOOKUP(A194,BBDD!$1:$1048653,10,0)</f>
        <v>Gerencia Producción Pesca</v>
      </c>
      <c r="F194" s="33" t="str">
        <f>VLOOKUP(A194,BBDD!$1:$1048653,11,0)</f>
        <v>Plazo fijo</v>
      </c>
      <c r="G194" s="33" t="str">
        <f>VLOOKUP(A194,BBDD!$1:$1048653,13,0)</f>
        <v>Coronel Rol Eventual</v>
      </c>
      <c r="H194" s="33" t="str">
        <f>VLOOKUP(A194,BBDD!$1:$1048653,14,0)</f>
        <v>Gerencia Corp. Negocio Seafood</v>
      </c>
      <c r="I194" s="33" t="str">
        <f>VLOOKUP(A194,BBDD!$1:$1048653,16,0)</f>
        <v>Temporada (Con ocasión Temporada de Pesca)</v>
      </c>
      <c r="J194" s="33" t="str">
        <f>VLOOKUP(A194,BBDD!$1:$1048653,17,0)</f>
        <v/>
      </c>
      <c r="K194" s="35">
        <f>VLOOKUP(A194,BBDD!$1:$1048653,12,0)</f>
        <v>45973</v>
      </c>
      <c r="L194" s="35" t="str">
        <f>VLOOKUP(A194,BBDD!$1:$1048653,3,0)</f>
        <v>Orizon S.A</v>
      </c>
      <c r="M194" s="35" t="str">
        <f>VLOOKUP(A194,BBDD!$1:$1048653,4,0)</f>
        <v>F5</v>
      </c>
      <c r="N194" s="35" t="str">
        <f>VLOOKUP(A194,BBDD!$1:$1048653,5,0)</f>
        <v>cynthiamanriquez1987@gmail.com</v>
      </c>
      <c r="O194" s="36">
        <v>45973.0</v>
      </c>
      <c r="P194" s="32" t="s">
        <v>5582</v>
      </c>
      <c r="Q194" s="32" t="s">
        <v>5567</v>
      </c>
      <c r="R194" s="32" t="s">
        <v>5857</v>
      </c>
      <c r="S194" s="37"/>
      <c r="T194" s="32" t="s">
        <v>5585</v>
      </c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</row>
    <row r="195" ht="14.25" customHeight="1">
      <c r="A195" s="32">
        <v>1.7044306E7</v>
      </c>
      <c r="B195" s="52" t="s">
        <v>129</v>
      </c>
      <c r="C195" s="53" t="s">
        <v>131</v>
      </c>
      <c r="D195" s="33" t="str">
        <f>VLOOKUP(A195,BBDD!$1:$1048653,8,0)</f>
        <v>Operario Apoyo Elaboracion</v>
      </c>
      <c r="E195" s="33" t="str">
        <f>VLOOKUP(A195,BBDD!$1:$1048653,10,0)</f>
        <v>Gerencia Producción Pesca</v>
      </c>
      <c r="F195" s="33" t="str">
        <f>VLOOKUP(A195,BBDD!$1:$1048653,11,0)</f>
        <v>Plazo fijo</v>
      </c>
      <c r="G195" s="33" t="str">
        <f>VLOOKUP(A195,BBDD!$1:$1048653,13,0)</f>
        <v>Coronel Rol Eventual</v>
      </c>
      <c r="H195" s="33" t="str">
        <f>VLOOKUP(A195,BBDD!$1:$1048653,14,0)</f>
        <v>Gerencia Corp. Negocio Seafood</v>
      </c>
      <c r="I195" s="33" t="str">
        <f>VLOOKUP(A195,BBDD!$1:$1048653,16,0)</f>
        <v>Temporada (Con ocasión Temporada de Pesca)</v>
      </c>
      <c r="J195" s="33" t="str">
        <f>VLOOKUP(A195,BBDD!$1:$1048653,17,0)</f>
        <v/>
      </c>
      <c r="K195" s="35">
        <f>VLOOKUP(A195,BBDD!$1:$1048653,12,0)</f>
        <v>45973</v>
      </c>
      <c r="L195" s="35" t="str">
        <f>VLOOKUP(A195,BBDD!$1:$1048653,3,0)</f>
        <v>Orizon S.A</v>
      </c>
      <c r="M195" s="35" t="str">
        <f>VLOOKUP(A195,BBDD!$1:$1048653,4,0)</f>
        <v>F5</v>
      </c>
      <c r="N195" s="35" t="str">
        <f>VLOOKUP(A195,BBDD!$1:$1048653,5,0)</f>
        <v>WWW.ALANAFEL@GMAIL.COM</v>
      </c>
      <c r="O195" s="36">
        <v>45973.0</v>
      </c>
      <c r="P195" s="32" t="s">
        <v>5582</v>
      </c>
      <c r="Q195" s="32" t="s">
        <v>5567</v>
      </c>
      <c r="R195" s="32" t="s">
        <v>5857</v>
      </c>
      <c r="S195" s="37"/>
      <c r="T195" s="32" t="s">
        <v>5585</v>
      </c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</row>
    <row r="196" ht="14.25" customHeight="1">
      <c r="A196" s="39">
        <v>1.88262E7</v>
      </c>
      <c r="B196" s="33" t="str">
        <f>VLOOKUP(A196,BBDD!$1:$1048653,2,0)</f>
        <v>18.826.200-7</v>
      </c>
      <c r="C196" s="34" t="str">
        <f>VLOOKUP(A196,BBDD!$1:$1048653,7,0)</f>
        <v>Villalobos Torres Genesis Paloma</v>
      </c>
      <c r="D196" s="33" t="str">
        <f>VLOOKUP(A196,BBDD!$1:$1048653,8,0)</f>
        <v>Operario Apoyo Elaboracion</v>
      </c>
      <c r="E196" s="33" t="str">
        <f>VLOOKUP(A196,BBDD!$1:$1048653,10,0)</f>
        <v>Gerencia Producción Pesca</v>
      </c>
      <c r="F196" s="33" t="str">
        <f>VLOOKUP(A196,BBDD!$1:$1048653,11,0)</f>
        <v>Plazo fijo</v>
      </c>
      <c r="G196" s="33" t="str">
        <f>VLOOKUP(A196,BBDD!$1:$1048653,13,0)</f>
        <v>Coronel Rol Eventual</v>
      </c>
      <c r="H196" s="33" t="str">
        <f>VLOOKUP(A196,BBDD!$1:$1048653,14,0)</f>
        <v>Gerencia Corp. Negocio Seafood</v>
      </c>
      <c r="I196" s="33" t="str">
        <f>VLOOKUP(A196,BBDD!$1:$1048653,16,0)</f>
        <v>Temporada (Con ocasión Temporada de Pesca)</v>
      </c>
      <c r="J196" s="33" t="str">
        <f>VLOOKUP(A196,BBDD!$1:$1048653,17,0)</f>
        <v/>
      </c>
      <c r="K196" s="35">
        <f>VLOOKUP(A196,BBDD!$1:$1048653,12,0)</f>
        <v>45940</v>
      </c>
      <c r="L196" s="35" t="str">
        <f>VLOOKUP(A196,BBDD!$1:$1048653,3,0)</f>
        <v>Orizon S.A</v>
      </c>
      <c r="M196" s="35" t="str">
        <f>VLOOKUP(A196,BBDD!$1:$1048653,4,0)</f>
        <v>F6</v>
      </c>
      <c r="N196" s="35" t="str">
        <f>VLOOKUP(A196,BBDD!$1:$1048653,5,0)</f>
        <v>VILLALOBOSGENESIS55@GMAIL.COM</v>
      </c>
      <c r="O196" s="36">
        <v>45973.0</v>
      </c>
      <c r="P196" s="32" t="s">
        <v>5575</v>
      </c>
      <c r="Q196" s="32" t="s">
        <v>5692</v>
      </c>
      <c r="R196" s="32" t="s">
        <v>5858</v>
      </c>
      <c r="S196" s="37"/>
      <c r="T196" s="32" t="s">
        <v>5585</v>
      </c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</row>
    <row r="197" ht="14.25" customHeight="1">
      <c r="A197" s="39">
        <v>1.88262E7</v>
      </c>
      <c r="B197" s="33" t="str">
        <f>VLOOKUP(A197,BBDD!$1:$1048653,2,0)</f>
        <v>18.826.200-7</v>
      </c>
      <c r="C197" s="34" t="str">
        <f>VLOOKUP(A197,BBDD!$1:$1048653,7,0)</f>
        <v>Villalobos Torres Genesis Paloma</v>
      </c>
      <c r="D197" s="33" t="str">
        <f>VLOOKUP(A197,BBDD!$1:$1048653,8,0)</f>
        <v>Operario Apoyo Elaboracion</v>
      </c>
      <c r="E197" s="33" t="str">
        <f>VLOOKUP(A197,BBDD!$1:$1048653,10,0)</f>
        <v>Gerencia Producción Pesca</v>
      </c>
      <c r="F197" s="33" t="str">
        <f>VLOOKUP(A197,BBDD!$1:$1048653,11,0)</f>
        <v>Plazo fijo</v>
      </c>
      <c r="G197" s="33" t="str">
        <f>VLOOKUP(A197,BBDD!$1:$1048653,13,0)</f>
        <v>Coronel Rol Eventual</v>
      </c>
      <c r="H197" s="33" t="str">
        <f>VLOOKUP(A197,BBDD!$1:$1048653,14,0)</f>
        <v>Gerencia Corp. Negocio Seafood</v>
      </c>
      <c r="I197" s="33" t="str">
        <f>VLOOKUP(A197,BBDD!$1:$1048653,16,0)</f>
        <v>Temporada (Con ocasión Temporada de Pesca)</v>
      </c>
      <c r="J197" s="33" t="str">
        <f>VLOOKUP(A197,BBDD!$1:$1048653,17,0)</f>
        <v/>
      </c>
      <c r="K197" s="35">
        <f>VLOOKUP(A197,BBDD!$1:$1048653,12,0)</f>
        <v>45940</v>
      </c>
      <c r="L197" s="35" t="str">
        <f>VLOOKUP(A197,BBDD!$1:$1048653,3,0)</f>
        <v>Orizon S.A</v>
      </c>
      <c r="M197" s="35" t="str">
        <f>VLOOKUP(A197,BBDD!$1:$1048653,4,0)</f>
        <v>F6</v>
      </c>
      <c r="N197" s="35" t="str">
        <f>VLOOKUP(A197,BBDD!$1:$1048653,5,0)</f>
        <v>VILLALOBOSGENESIS55@GMAIL.COM</v>
      </c>
      <c r="O197" s="36">
        <v>45973.0</v>
      </c>
      <c r="P197" s="32" t="s">
        <v>5582</v>
      </c>
      <c r="Q197" s="32" t="s">
        <v>5601</v>
      </c>
      <c r="R197" s="32" t="s">
        <v>5859</v>
      </c>
      <c r="S197" s="37"/>
      <c r="T197" s="32" t="s">
        <v>5585</v>
      </c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</row>
    <row r="198" ht="14.25" customHeight="1">
      <c r="A198" s="39">
        <v>1.7608363E7</v>
      </c>
      <c r="B198" s="33" t="str">
        <f>VLOOKUP(A198,BBDD!$1:$1048653,2,0)</f>
        <v>17.608.363-8</v>
      </c>
      <c r="C198" s="34" t="str">
        <f>VLOOKUP(A198,BBDD!$1:$1048653,7,0)</f>
        <v>Diaz Diaz Andrea Del Carmen</v>
      </c>
      <c r="D198" s="33" t="str">
        <f>VLOOKUP(A198,BBDD!$1:$1048653,8,0)</f>
        <v>Operario Apoyo Elaboracion</v>
      </c>
      <c r="E198" s="33" t="str">
        <f>VLOOKUP(A198,BBDD!$1:$1048653,10,0)</f>
        <v>Gerencia Producción Pesca</v>
      </c>
      <c r="F198" s="33" t="str">
        <f>VLOOKUP(A198,BBDD!$1:$1048653,11,0)</f>
        <v>Plazo fijo</v>
      </c>
      <c r="G198" s="33" t="str">
        <f>VLOOKUP(A198,BBDD!$1:$1048653,13,0)</f>
        <v>Coronel Rol Eventual</v>
      </c>
      <c r="H198" s="33" t="str">
        <f>VLOOKUP(A198,BBDD!$1:$1048653,14,0)</f>
        <v>Gerencia Corp. Negocio Seafood</v>
      </c>
      <c r="I198" s="33" t="str">
        <f>VLOOKUP(A198,BBDD!$1:$1048653,16,0)</f>
        <v>Temporada (Con ocasión Temporada de Pesca)</v>
      </c>
      <c r="J198" s="33" t="str">
        <f>VLOOKUP(A198,BBDD!$1:$1048653,17,0)</f>
        <v/>
      </c>
      <c r="K198" s="35">
        <f>VLOOKUP(A198,BBDD!$1:$1048653,12,0)</f>
        <v>45938</v>
      </c>
      <c r="L198" s="35" t="str">
        <f>VLOOKUP(A198,BBDD!$1:$1048653,3,0)</f>
        <v>Orizon S.A</v>
      </c>
      <c r="M198" s="35" t="str">
        <f>VLOOKUP(A198,BBDD!$1:$1048653,4,0)</f>
        <v>F1</v>
      </c>
      <c r="N198" s="35" t="str">
        <f>VLOOKUP(A198,BBDD!$1:$1048653,5,0)</f>
        <v>andrea.diaz46@gmail.com</v>
      </c>
      <c r="O198" s="36">
        <v>45973.0</v>
      </c>
      <c r="P198" s="32" t="s">
        <v>5582</v>
      </c>
      <c r="Q198" s="32" t="s">
        <v>5601</v>
      </c>
      <c r="R198" s="32" t="s">
        <v>5860</v>
      </c>
      <c r="S198" s="37"/>
      <c r="T198" s="32" t="s">
        <v>5585</v>
      </c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</row>
    <row r="199" ht="14.25" customHeight="1">
      <c r="A199" s="39">
        <v>2.0255114E7</v>
      </c>
      <c r="B199" s="33" t="str">
        <f>VLOOKUP(A199,BBDD!$1:$1048653,2,0)</f>
        <v>20.255.114-9</v>
      </c>
      <c r="C199" s="34" t="str">
        <f>VLOOKUP(A199,BBDD!$1:$1048653,7,0)</f>
        <v>Hidalgo Contreras Valentina Andrea</v>
      </c>
      <c r="D199" s="33" t="str">
        <f>VLOOKUP(A199,BBDD!$1:$1048653,8,0)</f>
        <v>Operario Apoyo Elaboracion</v>
      </c>
      <c r="E199" s="33" t="str">
        <f>VLOOKUP(A199,BBDD!$1:$1048653,10,0)</f>
        <v>Gerencia Producción Pesca</v>
      </c>
      <c r="F199" s="33" t="str">
        <f>VLOOKUP(A199,BBDD!$1:$1048653,11,0)</f>
        <v>Plazo fijo</v>
      </c>
      <c r="G199" s="33" t="str">
        <f>VLOOKUP(A199,BBDD!$1:$1048653,13,0)</f>
        <v>Coronel Rol Eventual</v>
      </c>
      <c r="H199" s="33" t="str">
        <f>VLOOKUP(A199,BBDD!$1:$1048653,14,0)</f>
        <v>Gerencia Corp. Negocio Seafood</v>
      </c>
      <c r="I199" s="33" t="str">
        <f>VLOOKUP(A199,BBDD!$1:$1048653,16,0)</f>
        <v>Temporada (Con ocasión Temporada de Pesca)</v>
      </c>
      <c r="J199" s="33" t="str">
        <f>VLOOKUP(A199,BBDD!$1:$1048653,17,0)</f>
        <v/>
      </c>
      <c r="K199" s="35">
        <f>VLOOKUP(A199,BBDD!$1:$1048653,12,0)</f>
        <v>45931</v>
      </c>
      <c r="L199" s="35" t="str">
        <f>VLOOKUP(A199,BBDD!$1:$1048653,3,0)</f>
        <v>Orizon S.A</v>
      </c>
      <c r="M199" s="35" t="str">
        <f>VLOOKUP(A199,BBDD!$1:$1048653,4,0)</f>
        <v>F2</v>
      </c>
      <c r="N199" s="35" t="str">
        <f>VLOOKUP(A199,BBDD!$1:$1048653,5,0)</f>
        <v>Valentina.ahc@gmail.com</v>
      </c>
      <c r="O199" s="36">
        <v>45973.0</v>
      </c>
      <c r="P199" s="32" t="s">
        <v>5582</v>
      </c>
      <c r="Q199" s="32" t="s">
        <v>5838</v>
      </c>
      <c r="R199" s="32" t="s">
        <v>5861</v>
      </c>
      <c r="S199" s="37"/>
      <c r="T199" s="32" t="s">
        <v>5585</v>
      </c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</row>
    <row r="200" ht="14.25" customHeight="1">
      <c r="A200" s="32">
        <v>1.5188052E7</v>
      </c>
      <c r="B200" s="52" t="s">
        <v>2194</v>
      </c>
      <c r="C200" s="34" t="str">
        <f>VLOOKUP(A200,BBDD!$1:$1048653,7,0)</f>
        <v>Alarcon Riquelme Javier Alexis</v>
      </c>
      <c r="D200" s="33" t="str">
        <f>VLOOKUP(A200,BBDD!$1:$1048653,8,0)</f>
        <v>Logistico Junior</v>
      </c>
      <c r="E200" s="33" t="str">
        <f>VLOOKUP(A200,BBDD!$1:$1048653,10,0)</f>
        <v>Gerencia Abastecimiento</v>
      </c>
      <c r="F200" s="33" t="str">
        <f>VLOOKUP(A200,BBDD!$1:$1048653,11,0)</f>
        <v>Plazo fijo</v>
      </c>
      <c r="G200" s="33" t="str">
        <f>VLOOKUP(A200,BBDD!$1:$1048653,13,0)</f>
        <v>Coronel Rol Tierra</v>
      </c>
      <c r="H200" s="33" t="str">
        <f>VLOOKUP(A200,BBDD!$1:$1048653,14,0)</f>
        <v>Gerencia Corp. Supply Chain</v>
      </c>
      <c r="I200" s="33" t="str">
        <f>VLOOKUP(A200,BBDD!$1:$1048653,16,0)</f>
        <v>Temporada (Con ocasión Temporada de Pesca)</v>
      </c>
      <c r="J200" s="33" t="str">
        <f>VLOOKUP(A200,BBDD!$1:$1048653,17,0)</f>
        <v/>
      </c>
      <c r="K200" s="35">
        <f>VLOOKUP(A200,BBDD!$1:$1048653,12,0)</f>
        <v>45870</v>
      </c>
      <c r="L200" s="35" t="str">
        <f>VLOOKUP(A200,BBDD!$1:$1048653,3,0)</f>
        <v>Orizon S.A</v>
      </c>
      <c r="M200" s="35" t="str">
        <f>VLOOKUP(A200,BBDD!$1:$1048653,4,0)</f>
        <v>F1</v>
      </c>
      <c r="N200" s="35" t="str">
        <f>VLOOKUP(A200,BBDD!$1:$1048653,5,0)</f>
        <v>javieralarconriquelme@hotmail.com</v>
      </c>
      <c r="O200" s="36">
        <v>45973.0</v>
      </c>
      <c r="P200" s="32" t="s">
        <v>5582</v>
      </c>
      <c r="Q200" s="32" t="s">
        <v>5598</v>
      </c>
      <c r="R200" s="32" t="s">
        <v>5862</v>
      </c>
      <c r="S200" s="32" t="s">
        <v>5863</v>
      </c>
      <c r="T200" s="32" t="s">
        <v>5585</v>
      </c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</row>
    <row r="201" ht="14.25" customHeight="1">
      <c r="A201" s="39">
        <v>2.1246836E7</v>
      </c>
      <c r="B201" s="33" t="str">
        <f>VLOOKUP(A201,BBDD!$1:$1048653,2,0)</f>
        <v>21.246.836-3</v>
      </c>
      <c r="C201" s="34" t="str">
        <f>VLOOKUP(A201,BBDD!$1:$1048653,7,0)</f>
        <v>Rodriguez Mac-Lean Javiera Anais</v>
      </c>
      <c r="D201" s="33" t="str">
        <f>VLOOKUP(A201,BBDD!$1:$1048653,8,0)</f>
        <v>Operario Apoyo Elaboracion</v>
      </c>
      <c r="E201" s="33" t="str">
        <f>VLOOKUP(A201,BBDD!$1:$1048653,10,0)</f>
        <v>Gerencia Producción Pesca</v>
      </c>
      <c r="F201" s="33" t="str">
        <f>VLOOKUP(A201,BBDD!$1:$1048653,11,0)</f>
        <v>Plazo fijo</v>
      </c>
      <c r="G201" s="33" t="str">
        <f>VLOOKUP(A201,BBDD!$1:$1048653,13,0)</f>
        <v>Coronel Rol Eventual</v>
      </c>
      <c r="H201" s="33" t="str">
        <f>VLOOKUP(A201,BBDD!$1:$1048653,14,0)</f>
        <v>Gerencia Corp. Negocio Seafood</v>
      </c>
      <c r="I201" s="33" t="str">
        <f>VLOOKUP(A201,BBDD!$1:$1048653,16,0)</f>
        <v>Temporada (Con ocasión Temporada de Pesca)</v>
      </c>
      <c r="J201" s="33" t="str">
        <f>VLOOKUP(A201,BBDD!$1:$1048653,17,0)</f>
        <v/>
      </c>
      <c r="K201" s="35">
        <f>VLOOKUP(A201,BBDD!$1:$1048653,12,0)</f>
        <v>45941</v>
      </c>
      <c r="L201" s="35" t="str">
        <f>VLOOKUP(A201,BBDD!$1:$1048653,3,0)</f>
        <v>Orizon S.A</v>
      </c>
      <c r="M201" s="35" t="str">
        <f>VLOOKUP(A201,BBDD!$1:$1048653,4,0)</f>
        <v>F1</v>
      </c>
      <c r="N201" s="35" t="str">
        <f>VLOOKUP(A201,BBDD!$1:$1048653,5,0)</f>
        <v>jrodriguezmaclean@gmail.com</v>
      </c>
      <c r="O201" s="36">
        <v>45972.0</v>
      </c>
      <c r="P201" s="32" t="s">
        <v>5582</v>
      </c>
      <c r="Q201" s="32" t="s">
        <v>1323</v>
      </c>
      <c r="R201" s="32" t="s">
        <v>5864</v>
      </c>
      <c r="S201" s="32" t="s">
        <v>5865</v>
      </c>
      <c r="T201" s="32" t="s">
        <v>5585</v>
      </c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</row>
    <row r="202" ht="14.25" customHeight="1">
      <c r="A202" s="32">
        <v>1.0</v>
      </c>
      <c r="B202" s="33" t="str">
        <f>VLOOKUP(A202,BBDD!$1:$1048653,2,0)</f>
        <v>Usuario Externo</v>
      </c>
      <c r="C202" s="34" t="str">
        <f>VLOOKUP(A202,BBDD!$1:$1048653,7,0)</f>
        <v>Usuario Externo</v>
      </c>
      <c r="D202" s="33" t="str">
        <f>VLOOKUP(A202,BBDD!$1:$1048653,8,0)</f>
        <v>Usuario Externo</v>
      </c>
      <c r="E202" s="33" t="str">
        <f>VLOOKUP(A202,BBDD!$1:$1048653,10,0)</f>
        <v>Usuario Externo</v>
      </c>
      <c r="F202" s="33" t="str">
        <f>VLOOKUP(A202,BBDD!$1:$1048653,11,0)</f>
        <v>Usuario Externo</v>
      </c>
      <c r="G202" s="33" t="str">
        <f>VLOOKUP(A202,BBDD!$1:$1048653,13,0)</f>
        <v>Usuario Externo</v>
      </c>
      <c r="H202" s="33" t="str">
        <f>VLOOKUP(A202,BBDD!$1:$1048653,14,0)</f>
        <v>Usuario Externo</v>
      </c>
      <c r="I202" s="33" t="str">
        <f>VLOOKUP(A202,BBDD!$1:$1048653,16,0)</f>
        <v>Usuario Externo</v>
      </c>
      <c r="J202" s="33" t="str">
        <f>VLOOKUP(A202,BBDD!$1:$1048653,17,0)</f>
        <v/>
      </c>
      <c r="K202" s="35" t="str">
        <f>VLOOKUP(A202,BBDD!$1:$1048653,12,0)</f>
        <v>Usuario Externo</v>
      </c>
      <c r="L202" s="35" t="str">
        <f>VLOOKUP(A202,BBDD!$1:$1048653,3,0)</f>
        <v>Usuario Externo</v>
      </c>
      <c r="M202" s="35" t="str">
        <f>VLOOKUP(A202,BBDD!$1:$1048653,4,0)</f>
        <v>Usuario Externo</v>
      </c>
      <c r="N202" s="35" t="str">
        <f>VLOOKUP(A202,BBDD!$1:$1048653,5,0)</f>
        <v>Usuario Externo</v>
      </c>
      <c r="O202" s="36">
        <v>45972.0</v>
      </c>
      <c r="P202" s="32" t="s">
        <v>5582</v>
      </c>
      <c r="Q202" s="32" t="s">
        <v>5598</v>
      </c>
      <c r="R202" s="32" t="s">
        <v>5866</v>
      </c>
      <c r="S202" s="37"/>
      <c r="T202" s="32" t="s">
        <v>5585</v>
      </c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</row>
    <row r="203" ht="14.25" customHeight="1">
      <c r="A203" s="39">
        <v>1.7641264E7</v>
      </c>
      <c r="B203" s="33" t="str">
        <f>VLOOKUP(A203,BBDD!$1:$1048653,2,0)</f>
        <v>17.641.264-k</v>
      </c>
      <c r="C203" s="34" t="str">
        <f>VLOOKUP(A203,BBDD!$1:$1048653,7,0)</f>
        <v>Vega Torres Denisse Nicole</v>
      </c>
      <c r="D203" s="33" t="str">
        <f>VLOOKUP(A203,BBDD!$1:$1048653,8,0)</f>
        <v>Operario Apoyo Elaboracion</v>
      </c>
      <c r="E203" s="33" t="str">
        <f>VLOOKUP(A203,BBDD!$1:$1048653,10,0)</f>
        <v>Gerencia Producción Pesca</v>
      </c>
      <c r="F203" s="33" t="str">
        <f>VLOOKUP(A203,BBDD!$1:$1048653,11,0)</f>
        <v>Obra</v>
      </c>
      <c r="G203" s="33" t="str">
        <f>VLOOKUP(A203,BBDD!$1:$1048653,13,0)</f>
        <v>Coronel Rol Eventual</v>
      </c>
      <c r="H203" s="33" t="str">
        <f>VLOOKUP(A203,BBDD!$1:$1048653,14,0)</f>
        <v>Gerencia Corp. Negocio Seafood</v>
      </c>
      <c r="I203" s="33" t="str">
        <f>VLOOKUP(A203,BBDD!$1:$1048653,16,0)</f>
        <v>Temporada (Con ocasión Temporada de Pesca)</v>
      </c>
      <c r="J203" s="33" t="str">
        <f>VLOOKUP(A203,BBDD!$1:$1048653,17,0)</f>
        <v/>
      </c>
      <c r="K203" s="35">
        <f>VLOOKUP(A203,BBDD!$1:$1048653,12,0)</f>
        <v>45600</v>
      </c>
      <c r="L203" s="35" t="str">
        <f>VLOOKUP(A203,BBDD!$1:$1048653,3,0)</f>
        <v>Orizon S.A</v>
      </c>
      <c r="M203" s="35" t="str">
        <f>VLOOKUP(A203,BBDD!$1:$1048653,4,0)</f>
        <v>F4</v>
      </c>
      <c r="N203" s="35" t="str">
        <f>VLOOKUP(A203,BBDD!$1:$1048653,5,0)</f>
        <v>DENISSEVEGA1119@GMAIL.COM</v>
      </c>
      <c r="O203" s="36">
        <v>45973.0</v>
      </c>
      <c r="P203" s="32" t="s">
        <v>5575</v>
      </c>
      <c r="Q203" s="32" t="s">
        <v>5692</v>
      </c>
      <c r="R203" s="32" t="s">
        <v>5867</v>
      </c>
      <c r="S203" s="37"/>
      <c r="T203" s="32" t="s">
        <v>5616</v>
      </c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</row>
    <row r="204" ht="14.25" customHeight="1">
      <c r="A204" s="39">
        <v>1.7862768E7</v>
      </c>
      <c r="B204" s="33" t="str">
        <f>VLOOKUP(A204,BBDD!$1:$1048653,2,0)</f>
        <v>17.862.768-6</v>
      </c>
      <c r="C204" s="34" t="str">
        <f>VLOOKUP(A204,BBDD!$1:$1048653,7,0)</f>
        <v>Ojeda Chávez Ingrid Leticia</v>
      </c>
      <c r="D204" s="33" t="str">
        <f>VLOOKUP(A204,BBDD!$1:$1048653,8,0)</f>
        <v>Operario Apoyo Elaboracion</v>
      </c>
      <c r="E204" s="33" t="str">
        <f>VLOOKUP(A204,BBDD!$1:$1048653,10,0)</f>
        <v>Gerencia Producción Pesca</v>
      </c>
      <c r="F204" s="33" t="str">
        <f>VLOOKUP(A204,BBDD!$1:$1048653,11,0)</f>
        <v>Obra</v>
      </c>
      <c r="G204" s="33" t="str">
        <f>VLOOKUP(A204,BBDD!$1:$1048653,13,0)</f>
        <v>Coronel Rol Eventual</v>
      </c>
      <c r="H204" s="33" t="str">
        <f>VLOOKUP(A204,BBDD!$1:$1048653,14,0)</f>
        <v>Gerencia Corp. Negocio Seafood</v>
      </c>
      <c r="I204" s="33" t="str">
        <f>VLOOKUP(A204,BBDD!$1:$1048653,16,0)</f>
        <v>Temporada (Con ocasión Temporada de Pesca)</v>
      </c>
      <c r="J204" s="33" t="str">
        <f>VLOOKUP(A204,BBDD!$1:$1048653,17,0)</f>
        <v/>
      </c>
      <c r="K204" s="35">
        <f>VLOOKUP(A204,BBDD!$1:$1048653,12,0)</f>
        <v>45600</v>
      </c>
      <c r="L204" s="35" t="str">
        <f>VLOOKUP(A204,BBDD!$1:$1048653,3,0)</f>
        <v>Orizon S.A</v>
      </c>
      <c r="M204" s="35" t="str">
        <f>VLOOKUP(A204,BBDD!$1:$1048653,4,0)</f>
        <v>F3</v>
      </c>
      <c r="N204" s="35" t="str">
        <f>VLOOKUP(A204,BBDD!$1:$1048653,5,0)</f>
        <v>INGRIDOJEDACH@LIVE.CL</v>
      </c>
      <c r="O204" s="36">
        <v>45973.0</v>
      </c>
      <c r="P204" s="32" t="s">
        <v>5575</v>
      </c>
      <c r="Q204" s="32" t="s">
        <v>5692</v>
      </c>
      <c r="R204" s="32" t="s">
        <v>5867</v>
      </c>
      <c r="S204" s="37"/>
      <c r="T204" s="32" t="s">
        <v>5616</v>
      </c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</row>
    <row r="205" ht="14.25" customHeight="1">
      <c r="A205" s="39">
        <v>9279811.0</v>
      </c>
      <c r="B205" s="33" t="str">
        <f>VLOOKUP(A205,BBDD!$1:$1048653,2,0)</f>
        <v>9.279.811-9</v>
      </c>
      <c r="C205" s="34" t="str">
        <f>VLOOKUP(A205,BBDD!$1:$1048653,7,0)</f>
        <v>Guzman Gallardo Segundo Rene</v>
      </c>
      <c r="D205" s="33" t="str">
        <f>VLOOKUP(A205,BBDD!$1:$1048653,8,0)</f>
        <v>Operario Apoyo Elaboracion</v>
      </c>
      <c r="E205" s="33" t="str">
        <f>VLOOKUP(A205,BBDD!$1:$1048653,10,0)</f>
        <v>Gerencia Producción Pesca</v>
      </c>
      <c r="F205" s="33" t="str">
        <f>VLOOKUP(A205,BBDD!$1:$1048653,11,0)</f>
        <v>Plazo fijo</v>
      </c>
      <c r="G205" s="33" t="str">
        <f>VLOOKUP(A205,BBDD!$1:$1048653,13,0)</f>
        <v>Coronel Rol Eventual</v>
      </c>
      <c r="H205" s="33" t="str">
        <f>VLOOKUP(A205,BBDD!$1:$1048653,14,0)</f>
        <v>Gerencia Corp. Negocio Seafood</v>
      </c>
      <c r="I205" s="33" t="str">
        <f>VLOOKUP(A205,BBDD!$1:$1048653,16,0)</f>
        <v>Temporada (Con ocasión Temporada de Pesca)</v>
      </c>
      <c r="J205" s="33" t="str">
        <f>VLOOKUP(A205,BBDD!$1:$1048653,17,0)</f>
        <v/>
      </c>
      <c r="K205" s="35">
        <f>VLOOKUP(A205,BBDD!$1:$1048653,12,0)</f>
        <v>45941</v>
      </c>
      <c r="L205" s="35" t="str">
        <f>VLOOKUP(A205,BBDD!$1:$1048653,3,0)</f>
        <v>Orizon S.A</v>
      </c>
      <c r="M205" s="35" t="str">
        <f>VLOOKUP(A205,BBDD!$1:$1048653,4,0)</f>
        <v>F1</v>
      </c>
      <c r="N205" s="35" t="str">
        <f>VLOOKUP(A205,BBDD!$1:$1048653,5,0)</f>
        <v>reneguzman009@gmail.com</v>
      </c>
      <c r="O205" s="36">
        <v>45972.0</v>
      </c>
      <c r="P205" s="32" t="s">
        <v>5582</v>
      </c>
      <c r="Q205" s="32" t="s">
        <v>5597</v>
      </c>
      <c r="R205" s="32" t="s">
        <v>5868</v>
      </c>
      <c r="S205" s="37"/>
      <c r="T205" s="32" t="s">
        <v>5585</v>
      </c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</row>
    <row r="206" ht="14.25" customHeight="1">
      <c r="A206" s="39">
        <v>1.7042058E7</v>
      </c>
      <c r="B206" s="33" t="str">
        <f>VLOOKUP(A206,BBDD!$1:$1048653,2,0)</f>
        <v>17.042.058-6</v>
      </c>
      <c r="C206" s="34" t="str">
        <f>VLOOKUP(A206,BBDD!$1:$1048653,7,0)</f>
        <v>Betancourt Oyarce Leslie Elizabeth</v>
      </c>
      <c r="D206" s="33" t="str">
        <f>VLOOKUP(A206,BBDD!$1:$1048653,8,0)</f>
        <v>Operario Apoyo Elaboracion</v>
      </c>
      <c r="E206" s="33" t="str">
        <f>VLOOKUP(A206,BBDD!$1:$1048653,10,0)</f>
        <v>Gerencia Producción Pesca</v>
      </c>
      <c r="F206" s="33" t="str">
        <f>VLOOKUP(A206,BBDD!$1:$1048653,11,0)</f>
        <v>Plazo fijo</v>
      </c>
      <c r="G206" s="33" t="str">
        <f>VLOOKUP(A206,BBDD!$1:$1048653,13,0)</f>
        <v>Coronel Rol Eventual</v>
      </c>
      <c r="H206" s="33" t="str">
        <f>VLOOKUP(A206,BBDD!$1:$1048653,14,0)</f>
        <v>Gerencia Corp. Negocio Seafood</v>
      </c>
      <c r="I206" s="33" t="str">
        <f>VLOOKUP(A206,BBDD!$1:$1048653,16,0)</f>
        <v>Temporada (Con ocasión Temporada de Pesca)</v>
      </c>
      <c r="J206" s="33" t="str">
        <f>VLOOKUP(A206,BBDD!$1:$1048653,17,0)</f>
        <v/>
      </c>
      <c r="K206" s="35">
        <f>VLOOKUP(A206,BBDD!$1:$1048653,12,0)</f>
        <v>45940</v>
      </c>
      <c r="L206" s="35" t="str">
        <f>VLOOKUP(A206,BBDD!$1:$1048653,3,0)</f>
        <v>Orizon S.A</v>
      </c>
      <c r="M206" s="35" t="str">
        <f>VLOOKUP(A206,BBDD!$1:$1048653,4,0)</f>
        <v>F4</v>
      </c>
      <c r="N206" s="35" t="str">
        <f>VLOOKUP(A206,BBDD!$1:$1048653,5,0)</f>
        <v>L.BETANCOURTOYARCE@GMAIL.COM</v>
      </c>
      <c r="O206" s="36">
        <v>45972.0</v>
      </c>
      <c r="P206" s="32" t="s">
        <v>5582</v>
      </c>
      <c r="Q206" s="32" t="s">
        <v>5586</v>
      </c>
      <c r="R206" s="32" t="s">
        <v>5869</v>
      </c>
      <c r="S206" s="37"/>
      <c r="T206" s="32" t="s">
        <v>5585</v>
      </c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</row>
    <row r="207" ht="14.25" customHeight="1">
      <c r="A207" s="39">
        <v>2.0022262E7</v>
      </c>
      <c r="B207" s="33" t="str">
        <f>VLOOKUP(A207,BBDD!$1:$1048653,2,0)</f>
        <v>20.022.262-8</v>
      </c>
      <c r="C207" s="34" t="str">
        <f>VLOOKUP(A207,BBDD!$1:$1048653,7,0)</f>
        <v>Lucero Quevedo Mariana Consuelo</v>
      </c>
      <c r="D207" s="33" t="str">
        <f>VLOOKUP(A207,BBDD!$1:$1048653,8,0)</f>
        <v>Operario Apoyo Elaboracion</v>
      </c>
      <c r="E207" s="33" t="str">
        <f>VLOOKUP(A207,BBDD!$1:$1048653,10,0)</f>
        <v>Gerencia Producción Pesca</v>
      </c>
      <c r="F207" s="33" t="str">
        <f>VLOOKUP(A207,BBDD!$1:$1048653,11,0)</f>
        <v>Plazo fijo</v>
      </c>
      <c r="G207" s="33" t="str">
        <f>VLOOKUP(A207,BBDD!$1:$1048653,13,0)</f>
        <v>Coronel Rol Eventual</v>
      </c>
      <c r="H207" s="33" t="str">
        <f>VLOOKUP(A207,BBDD!$1:$1048653,14,0)</f>
        <v>Gerencia Corp. Negocio Seafood</v>
      </c>
      <c r="I207" s="33" t="str">
        <f>VLOOKUP(A207,BBDD!$1:$1048653,16,0)</f>
        <v>Temporada (Con ocasión Temporada de Pesca)</v>
      </c>
      <c r="J207" s="33" t="str">
        <f>VLOOKUP(A207,BBDD!$1:$1048653,17,0)</f>
        <v/>
      </c>
      <c r="K207" s="35">
        <f>VLOOKUP(A207,BBDD!$1:$1048653,12,0)</f>
        <v>45940</v>
      </c>
      <c r="L207" s="35" t="str">
        <f>VLOOKUP(A207,BBDD!$1:$1048653,3,0)</f>
        <v>Orizon S.A</v>
      </c>
      <c r="M207" s="35" t="str">
        <f>VLOOKUP(A207,BBDD!$1:$1048653,4,0)</f>
        <v>F4</v>
      </c>
      <c r="N207" s="35" t="str">
        <f>VLOOKUP(A207,BBDD!$1:$1048653,5,0)</f>
        <v>MLUCEROQUEVEDO@GMAIL.COM</v>
      </c>
      <c r="O207" s="36">
        <v>45972.0</v>
      </c>
      <c r="P207" s="32" t="s">
        <v>5582</v>
      </c>
      <c r="Q207" s="32" t="s">
        <v>1323</v>
      </c>
      <c r="R207" s="32" t="s">
        <v>5864</v>
      </c>
      <c r="S207" s="37"/>
      <c r="T207" s="32" t="s">
        <v>5616</v>
      </c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</row>
    <row r="208" ht="14.25" customHeight="1">
      <c r="A208" s="39">
        <v>1.42319E7</v>
      </c>
      <c r="B208" s="33" t="str">
        <f>VLOOKUP(A208,BBDD!$1:$1048653,2,0)</f>
        <v>#N/A</v>
      </c>
      <c r="C208" s="34" t="str">
        <f>VLOOKUP(A208,BBDD!$1:$1048653,7,0)</f>
        <v>#N/A</v>
      </c>
      <c r="D208" s="33" t="str">
        <f>VLOOKUP(A208,BBDD!$1:$1048653,8,0)</f>
        <v>#N/A</v>
      </c>
      <c r="E208" s="33" t="str">
        <f>VLOOKUP(A208,BBDD!$1:$1048653,10,0)</f>
        <v>#N/A</v>
      </c>
      <c r="F208" s="33" t="str">
        <f>VLOOKUP(A208,BBDD!$1:$1048653,11,0)</f>
        <v>#N/A</v>
      </c>
      <c r="G208" s="33" t="str">
        <f>VLOOKUP(A208,BBDD!$1:$1048653,13,0)</f>
        <v>#N/A</v>
      </c>
      <c r="H208" s="33" t="str">
        <f>VLOOKUP(A208,BBDD!$1:$1048653,14,0)</f>
        <v>#N/A</v>
      </c>
      <c r="I208" s="33" t="str">
        <f>VLOOKUP(A208,BBDD!$1:$1048653,16,0)</f>
        <v>#N/A</v>
      </c>
      <c r="J208" s="33" t="str">
        <f>VLOOKUP(A208,BBDD!$1:$1048653,17,0)</f>
        <v>#N/A</v>
      </c>
      <c r="K208" s="35" t="str">
        <f>VLOOKUP(A208,BBDD!$1:$1048653,12,0)</f>
        <v>#N/A</v>
      </c>
      <c r="L208" s="35" t="str">
        <f>VLOOKUP(A208,BBDD!$1:$1048653,3,0)</f>
        <v>#N/A</v>
      </c>
      <c r="M208" s="35" t="str">
        <f>VLOOKUP(A208,BBDD!$1:$1048653,4,0)</f>
        <v>#N/A</v>
      </c>
      <c r="N208" s="35" t="str">
        <f>VLOOKUP(A208,BBDD!$1:$1048653,5,0)</f>
        <v>#N/A</v>
      </c>
      <c r="O208" s="36">
        <v>45973.0</v>
      </c>
      <c r="P208" s="32" t="s">
        <v>5575</v>
      </c>
      <c r="Q208" s="32" t="s">
        <v>5603</v>
      </c>
      <c r="R208" s="32" t="s">
        <v>5870</v>
      </c>
      <c r="S208" s="32" t="s">
        <v>5871</v>
      </c>
      <c r="T208" s="32" t="s">
        <v>5616</v>
      </c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</row>
    <row r="209" ht="14.25" customHeight="1">
      <c r="A209" s="32">
        <v>1.0</v>
      </c>
      <c r="B209" s="33" t="str">
        <f>VLOOKUP(A209,BBDD!$1:$1048653,2,0)</f>
        <v>Usuario Externo</v>
      </c>
      <c r="C209" s="34" t="str">
        <f>VLOOKUP(A209,BBDD!$1:$1048653,7,0)</f>
        <v>Usuario Externo</v>
      </c>
      <c r="D209" s="33" t="str">
        <f>VLOOKUP(A209,BBDD!$1:$1048653,8,0)</f>
        <v>Usuario Externo</v>
      </c>
      <c r="E209" s="33" t="str">
        <f>VLOOKUP(A209,BBDD!$1:$1048653,10,0)</f>
        <v>Usuario Externo</v>
      </c>
      <c r="F209" s="33" t="str">
        <f>VLOOKUP(A209,BBDD!$1:$1048653,11,0)</f>
        <v>Usuario Externo</v>
      </c>
      <c r="G209" s="33" t="str">
        <f>VLOOKUP(A209,BBDD!$1:$1048653,13,0)</f>
        <v>Usuario Externo</v>
      </c>
      <c r="H209" s="33" t="str">
        <f>VLOOKUP(A209,BBDD!$1:$1048653,14,0)</f>
        <v>Usuario Externo</v>
      </c>
      <c r="I209" s="33" t="str">
        <f>VLOOKUP(A209,BBDD!$1:$1048653,16,0)</f>
        <v>Usuario Externo</v>
      </c>
      <c r="J209" s="33" t="str">
        <f>VLOOKUP(A209,BBDD!$1:$1048653,17,0)</f>
        <v/>
      </c>
      <c r="K209" s="35" t="str">
        <f>VLOOKUP(A209,BBDD!$1:$1048653,12,0)</f>
        <v>Usuario Externo</v>
      </c>
      <c r="L209" s="35" t="str">
        <f>VLOOKUP(A209,BBDD!$1:$1048653,3,0)</f>
        <v>Usuario Externo</v>
      </c>
      <c r="M209" s="35" t="str">
        <f>VLOOKUP(A209,BBDD!$1:$1048653,4,0)</f>
        <v>Usuario Externo</v>
      </c>
      <c r="N209" s="35" t="str">
        <f>VLOOKUP(A209,BBDD!$1:$1048653,5,0)</f>
        <v>Usuario Externo</v>
      </c>
      <c r="O209" s="36">
        <v>45973.0</v>
      </c>
      <c r="P209" s="32" t="s">
        <v>5575</v>
      </c>
      <c r="Q209" s="32" t="s">
        <v>5598</v>
      </c>
      <c r="R209" s="32" t="s">
        <v>5872</v>
      </c>
      <c r="S209" s="32" t="s">
        <v>5873</v>
      </c>
      <c r="T209" s="32" t="s">
        <v>5585</v>
      </c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</row>
    <row r="210" ht="14.25" customHeight="1">
      <c r="A210" s="32">
        <v>2.1246836E7</v>
      </c>
      <c r="B210" s="33" t="str">
        <f>VLOOKUP(A210,BBDD!$1:$1048653,2,0)</f>
        <v>21.246.836-3</v>
      </c>
      <c r="C210" s="34" t="str">
        <f>VLOOKUP(A210,BBDD!$1:$1048653,7,0)</f>
        <v>Rodriguez Mac-Lean Javiera Anais</v>
      </c>
      <c r="D210" s="33" t="str">
        <f>VLOOKUP(A210,BBDD!$1:$1048653,8,0)</f>
        <v>Operario Apoyo Elaboracion</v>
      </c>
      <c r="E210" s="33" t="str">
        <f>VLOOKUP(A210,BBDD!$1:$1048653,10,0)</f>
        <v>Gerencia Producción Pesca</v>
      </c>
      <c r="F210" s="33" t="str">
        <f>VLOOKUP(A210,BBDD!$1:$1048653,11,0)</f>
        <v>Plazo fijo</v>
      </c>
      <c r="G210" s="33" t="str">
        <f>VLOOKUP(A210,BBDD!$1:$1048653,13,0)</f>
        <v>Coronel Rol Eventual</v>
      </c>
      <c r="H210" s="33" t="str">
        <f>VLOOKUP(A210,BBDD!$1:$1048653,14,0)</f>
        <v>Gerencia Corp. Negocio Seafood</v>
      </c>
      <c r="I210" s="33" t="str">
        <f>VLOOKUP(A210,BBDD!$1:$1048653,16,0)</f>
        <v>Temporada (Con ocasión Temporada de Pesca)</v>
      </c>
      <c r="J210" s="33" t="str">
        <f>VLOOKUP(A210,BBDD!$1:$1048653,17,0)</f>
        <v/>
      </c>
      <c r="K210" s="35">
        <f>VLOOKUP(A210,BBDD!$1:$1048653,12,0)</f>
        <v>45941</v>
      </c>
      <c r="L210" s="35" t="str">
        <f>VLOOKUP(A210,BBDD!$1:$1048653,3,0)</f>
        <v>Orizon S.A</v>
      </c>
      <c r="M210" s="35" t="str">
        <f>VLOOKUP(A210,BBDD!$1:$1048653,4,0)</f>
        <v>F1</v>
      </c>
      <c r="N210" s="35" t="str">
        <f>VLOOKUP(A210,BBDD!$1:$1048653,5,0)</f>
        <v>jrodriguezmaclean@gmail.com</v>
      </c>
      <c r="O210" s="36">
        <v>45974.0</v>
      </c>
      <c r="P210" s="32" t="s">
        <v>5582</v>
      </c>
      <c r="Q210" s="32" t="s">
        <v>5601</v>
      </c>
      <c r="R210" s="32" t="s">
        <v>5874</v>
      </c>
      <c r="S210" s="37"/>
      <c r="T210" s="32" t="s">
        <v>5585</v>
      </c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</row>
    <row r="211" ht="14.25" customHeight="1">
      <c r="A211" s="32">
        <v>2.1396571E7</v>
      </c>
      <c r="B211" s="33" t="str">
        <f>VLOOKUP(A211,BBDD!$1:$1048653,2,0)</f>
        <v>21.396.571-9</v>
      </c>
      <c r="C211" s="34" t="str">
        <f>VLOOKUP(A211,BBDD!$1:$1048653,7,0)</f>
        <v>Vielma Zuñiga Ester Andrea</v>
      </c>
      <c r="D211" s="33" t="str">
        <f>VLOOKUP(A211,BBDD!$1:$1048653,8,0)</f>
        <v>Operario Apoyo Elaboracion</v>
      </c>
      <c r="E211" s="33" t="str">
        <f>VLOOKUP(A211,BBDD!$1:$1048653,10,0)</f>
        <v>Gerencia Producción Pesca</v>
      </c>
      <c r="F211" s="33" t="str">
        <f>VLOOKUP(A211,BBDD!$1:$1048653,11,0)</f>
        <v>Plazo fijo</v>
      </c>
      <c r="G211" s="33" t="str">
        <f>VLOOKUP(A211,BBDD!$1:$1048653,13,0)</f>
        <v>Coronel Rol Eventual</v>
      </c>
      <c r="H211" s="33" t="str">
        <f>VLOOKUP(A211,BBDD!$1:$1048653,14,0)</f>
        <v>Gerencia Corp. Negocio Seafood</v>
      </c>
      <c r="I211" s="33" t="str">
        <f>VLOOKUP(A211,BBDD!$1:$1048653,16,0)</f>
        <v>Temporada (Con ocasión Temporada de Pesca)</v>
      </c>
      <c r="J211" s="33" t="str">
        <f>VLOOKUP(A211,BBDD!$1:$1048653,17,0)</f>
        <v/>
      </c>
      <c r="K211" s="35">
        <f>VLOOKUP(A211,BBDD!$1:$1048653,12,0)</f>
        <v>45940</v>
      </c>
      <c r="L211" s="35" t="str">
        <f>VLOOKUP(A211,BBDD!$1:$1048653,3,0)</f>
        <v>Orizon S.A</v>
      </c>
      <c r="M211" s="35" t="str">
        <f>VLOOKUP(A211,BBDD!$1:$1048653,4,0)</f>
        <v>F3</v>
      </c>
      <c r="N211" s="35" t="str">
        <f>VLOOKUP(A211,BBDD!$1:$1048653,5,0)</f>
        <v>590VIELMA@GMAIL.COM</v>
      </c>
      <c r="O211" s="36">
        <v>45974.0</v>
      </c>
      <c r="P211" s="32" t="s">
        <v>5582</v>
      </c>
      <c r="Q211" s="32" t="s">
        <v>5601</v>
      </c>
      <c r="R211" s="32" t="s">
        <v>5874</v>
      </c>
      <c r="S211" s="37"/>
      <c r="T211" s="32" t="s">
        <v>5585</v>
      </c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</row>
    <row r="212" ht="14.25" customHeight="1">
      <c r="A212" s="32">
        <v>2.1246836E7</v>
      </c>
      <c r="B212" s="33" t="str">
        <f>VLOOKUP(A212,BBDD!$1:$1048653,2,0)</f>
        <v>21.246.836-3</v>
      </c>
      <c r="C212" s="34" t="str">
        <f>VLOOKUP(A212,BBDD!$1:$1048653,7,0)</f>
        <v>Rodriguez Mac-Lean Javiera Anais</v>
      </c>
      <c r="D212" s="33" t="str">
        <f>VLOOKUP(A212,BBDD!$1:$1048653,8,0)</f>
        <v>Operario Apoyo Elaboracion</v>
      </c>
      <c r="E212" s="33" t="str">
        <f>VLOOKUP(A212,BBDD!$1:$1048653,10,0)</f>
        <v>Gerencia Producción Pesca</v>
      </c>
      <c r="F212" s="33" t="str">
        <f>VLOOKUP(A212,BBDD!$1:$1048653,11,0)</f>
        <v>Plazo fijo</v>
      </c>
      <c r="G212" s="33" t="str">
        <f>VLOOKUP(A212,BBDD!$1:$1048653,13,0)</f>
        <v>Coronel Rol Eventual</v>
      </c>
      <c r="H212" s="33" t="str">
        <f>VLOOKUP(A212,BBDD!$1:$1048653,14,0)</f>
        <v>Gerencia Corp. Negocio Seafood</v>
      </c>
      <c r="I212" s="33" t="str">
        <f>VLOOKUP(A212,BBDD!$1:$1048653,16,0)</f>
        <v>Temporada (Con ocasión Temporada de Pesca)</v>
      </c>
      <c r="J212" s="33" t="str">
        <f>VLOOKUP(A212,BBDD!$1:$1048653,17,0)</f>
        <v/>
      </c>
      <c r="K212" s="35">
        <f>VLOOKUP(A212,BBDD!$1:$1048653,12,0)</f>
        <v>45941</v>
      </c>
      <c r="L212" s="35" t="str">
        <f>VLOOKUP(A212,BBDD!$1:$1048653,3,0)</f>
        <v>Orizon S.A</v>
      </c>
      <c r="M212" s="35" t="str">
        <f>VLOOKUP(A212,BBDD!$1:$1048653,4,0)</f>
        <v>F1</v>
      </c>
      <c r="N212" s="35" t="str">
        <f>VLOOKUP(A212,BBDD!$1:$1048653,5,0)</f>
        <v>jrodriguezmaclean@gmail.com</v>
      </c>
      <c r="O212" s="36">
        <v>45974.0</v>
      </c>
      <c r="P212" s="32" t="s">
        <v>5582</v>
      </c>
      <c r="Q212" s="32" t="s">
        <v>5838</v>
      </c>
      <c r="R212" s="32" t="s">
        <v>5875</v>
      </c>
      <c r="S212" s="37"/>
      <c r="T212" s="32" t="s">
        <v>5585</v>
      </c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</row>
    <row r="213" ht="14.25" customHeight="1">
      <c r="A213" s="32">
        <v>2.0868608E7</v>
      </c>
      <c r="B213" s="33" t="str">
        <f>VLOOKUP(A213,BBDD!$1:$1048653,2,0)</f>
        <v>20.868.608-9</v>
      </c>
      <c r="C213" s="34" t="str">
        <f>VLOOKUP(A213,BBDD!$1:$1048653,7,0)</f>
        <v>Pedreros Mellado Carla Mirna</v>
      </c>
      <c r="D213" s="33" t="str">
        <f>VLOOKUP(A213,BBDD!$1:$1048653,8,0)</f>
        <v>Operario Apoyo Elaboracion</v>
      </c>
      <c r="E213" s="33" t="str">
        <f>VLOOKUP(A213,BBDD!$1:$1048653,10,0)</f>
        <v>Gerencia Producción Pesca</v>
      </c>
      <c r="F213" s="33" t="str">
        <f>VLOOKUP(A213,BBDD!$1:$1048653,11,0)</f>
        <v>Plazo fijo</v>
      </c>
      <c r="G213" s="33" t="str">
        <f>VLOOKUP(A213,BBDD!$1:$1048653,13,0)</f>
        <v>Coronel Rol Eventual</v>
      </c>
      <c r="H213" s="33" t="str">
        <f>VLOOKUP(A213,BBDD!$1:$1048653,14,0)</f>
        <v>Gerencia Corp. Negocio Seafood</v>
      </c>
      <c r="I213" s="33" t="str">
        <f>VLOOKUP(A213,BBDD!$1:$1048653,16,0)</f>
        <v>Temporada (Con ocasión Temporada de Pesca)</v>
      </c>
      <c r="J213" s="33" t="str">
        <f>VLOOKUP(A213,BBDD!$1:$1048653,17,0)</f>
        <v/>
      </c>
      <c r="K213" s="35">
        <f>VLOOKUP(A213,BBDD!$1:$1048653,12,0)</f>
        <v>45940</v>
      </c>
      <c r="L213" s="35" t="str">
        <f>VLOOKUP(A213,BBDD!$1:$1048653,3,0)</f>
        <v>Orizon S.A</v>
      </c>
      <c r="M213" s="35" t="str">
        <f>VLOOKUP(A213,BBDD!$1:$1048653,4,0)</f>
        <v>F2</v>
      </c>
      <c r="N213" s="35" t="str">
        <f>VLOOKUP(A213,BBDD!$1:$1048653,5,0)</f>
        <v>PEDREROSMELLADO18@GMAIL.COM</v>
      </c>
      <c r="O213" s="36">
        <v>45974.0</v>
      </c>
      <c r="P213" s="32" t="s">
        <v>5582</v>
      </c>
      <c r="Q213" s="32" t="s">
        <v>5586</v>
      </c>
      <c r="R213" s="32" t="s">
        <v>5876</v>
      </c>
      <c r="S213" s="37"/>
      <c r="T213" s="32" t="s">
        <v>5585</v>
      </c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</row>
    <row r="214" ht="14.25" customHeight="1">
      <c r="A214" s="32">
        <v>5879555.0</v>
      </c>
      <c r="B214" s="33" t="str">
        <f>VLOOKUP(A214,BBDD!$1:$1048653,2,0)</f>
        <v>5.879.555-0</v>
      </c>
      <c r="C214" s="34" t="str">
        <f>VLOOKUP(A214,BBDD!$1:$1048653,7,0)</f>
        <v>Pereira Martinez Gaston Antonio</v>
      </c>
      <c r="D214" s="33" t="str">
        <f>VLOOKUP(A214,BBDD!$1:$1048653,8,0)</f>
        <v>Operario Apoyo Elaboracion</v>
      </c>
      <c r="E214" s="33" t="str">
        <f>VLOOKUP(A214,BBDD!$1:$1048653,10,0)</f>
        <v>Gerencia Producción Pesca</v>
      </c>
      <c r="F214" s="33" t="str">
        <f>VLOOKUP(A214,BBDD!$1:$1048653,11,0)</f>
        <v>Plazo fijo</v>
      </c>
      <c r="G214" s="33" t="str">
        <f>VLOOKUP(A214,BBDD!$1:$1048653,13,0)</f>
        <v>Coronel Rol Eventual</v>
      </c>
      <c r="H214" s="33" t="str">
        <f>VLOOKUP(A214,BBDD!$1:$1048653,14,0)</f>
        <v>Gerencia Corp. Negocio Seafood</v>
      </c>
      <c r="I214" s="33" t="str">
        <f>VLOOKUP(A214,BBDD!$1:$1048653,16,0)</f>
        <v>Temporada (Con ocasión Temporada de Pesca)</v>
      </c>
      <c r="J214" s="33" t="str">
        <f>VLOOKUP(A214,BBDD!$1:$1048653,17,0)</f>
        <v/>
      </c>
      <c r="K214" s="35">
        <f>VLOOKUP(A214,BBDD!$1:$1048653,12,0)</f>
        <v>45931</v>
      </c>
      <c r="L214" s="35" t="str">
        <f>VLOOKUP(A214,BBDD!$1:$1048653,3,0)</f>
        <v>Orizon S.A</v>
      </c>
      <c r="M214" s="35" t="str">
        <f>VLOOKUP(A214,BBDD!$1:$1048653,4,0)</f>
        <v>F3</v>
      </c>
      <c r="N214" s="35" t="str">
        <f>VLOOKUP(A214,BBDD!$1:$1048653,5,0)</f>
        <v>PEREIRAGASTON88@GMAIL.COM</v>
      </c>
      <c r="O214" s="36">
        <v>45974.0</v>
      </c>
      <c r="P214" s="32" t="s">
        <v>5582</v>
      </c>
      <c r="Q214" s="32" t="s">
        <v>1323</v>
      </c>
      <c r="R214" s="32" t="s">
        <v>5877</v>
      </c>
      <c r="S214" s="37"/>
      <c r="T214" s="32" t="s">
        <v>5585</v>
      </c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</row>
    <row r="215" ht="14.25" customHeight="1">
      <c r="A215" s="32">
        <v>1.4062245E7</v>
      </c>
      <c r="B215" s="33" t="str">
        <f>VLOOKUP(A215,BBDD!$1:$1048653,2,0)</f>
        <v>14.062.245-1</v>
      </c>
      <c r="C215" s="34" t="str">
        <f>VLOOKUP(A215,BBDD!$1:$1048653,7,0)</f>
        <v>Villegas Vergara Isabel Del Carmen</v>
      </c>
      <c r="D215" s="33" t="str">
        <f>VLOOKUP(A215,BBDD!$1:$1048653,8,0)</f>
        <v>Operador Elaboracion</v>
      </c>
      <c r="E215" s="33" t="str">
        <f>VLOOKUP(A215,BBDD!$1:$1048653,10,0)</f>
        <v>Gerencia Producción Pesca</v>
      </c>
      <c r="F215" s="33" t="str">
        <f>VLOOKUP(A215,BBDD!$1:$1048653,11,0)</f>
        <v>Indefinido</v>
      </c>
      <c r="G215" s="33" t="str">
        <f>VLOOKUP(A215,BBDD!$1:$1048653,13,0)</f>
        <v>Coronel Rol Tierra</v>
      </c>
      <c r="H215" s="33" t="str">
        <f>VLOOKUP(A215,BBDD!$1:$1048653,14,0)</f>
        <v>Gerencia Corp. Negocio Seafood</v>
      </c>
      <c r="I215" s="33" t="str">
        <f>VLOOKUP(A215,BBDD!$1:$1048653,16,0)</f>
        <v>Rol General (Cargo permanente o proyección indefinido)</v>
      </c>
      <c r="J215" s="33" t="str">
        <f>VLOOKUP(A215,BBDD!$1:$1048653,17,0)</f>
        <v/>
      </c>
      <c r="K215" s="35">
        <f>VLOOKUP(A215,BBDD!$1:$1048653,12,0)</f>
        <v>43789</v>
      </c>
      <c r="L215" s="35" t="str">
        <f>VLOOKUP(A215,BBDD!$1:$1048653,3,0)</f>
        <v>Orizon S.A</v>
      </c>
      <c r="M215" s="35" t="str">
        <f>VLOOKUP(A215,BBDD!$1:$1048653,4,0)</f>
        <v>F1</v>
      </c>
      <c r="N215" s="35" t="str">
        <f>VLOOKUP(A215,BBDD!$1:$1048653,5,0)</f>
        <v>isaville2018@gmail.com</v>
      </c>
      <c r="O215" s="36">
        <v>45974.0</v>
      </c>
      <c r="P215" s="32" t="s">
        <v>5582</v>
      </c>
      <c r="Q215" s="32" t="s">
        <v>5583</v>
      </c>
      <c r="R215" s="32" t="s">
        <v>5878</v>
      </c>
      <c r="S215" s="37"/>
      <c r="T215" s="32" t="s">
        <v>5585</v>
      </c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</row>
    <row r="216" ht="14.25" customHeight="1">
      <c r="A216" s="39">
        <v>1.9799758E7</v>
      </c>
      <c r="B216" s="33" t="str">
        <f>VLOOKUP(A216,BBDD!$1:$1048653,2,0)</f>
        <v>19.799.758-3</v>
      </c>
      <c r="C216" s="34" t="str">
        <f>VLOOKUP(A216,BBDD!$1:$1048653,7,0)</f>
        <v>Hermosilla Mora Scarlette Yanira</v>
      </c>
      <c r="D216" s="33" t="str">
        <f>VLOOKUP(A216,BBDD!$1:$1048653,8,0)</f>
        <v>Operario Apoyo Elaboracion</v>
      </c>
      <c r="E216" s="33" t="str">
        <f>VLOOKUP(A216,BBDD!$1:$1048653,10,0)</f>
        <v>Gerencia Producción Pesca</v>
      </c>
      <c r="F216" s="33" t="str">
        <f>VLOOKUP(A216,BBDD!$1:$1048653,11,0)</f>
        <v>Obra</v>
      </c>
      <c r="G216" s="33" t="str">
        <f>VLOOKUP(A216,BBDD!$1:$1048653,13,0)</f>
        <v>Coronel Rol Eventual</v>
      </c>
      <c r="H216" s="33" t="str">
        <f>VLOOKUP(A216,BBDD!$1:$1048653,14,0)</f>
        <v>Gerencia Corp. Negocio Seafood</v>
      </c>
      <c r="I216" s="33" t="str">
        <f>VLOOKUP(A216,BBDD!$1:$1048653,16,0)</f>
        <v>Temporada (Con ocasión Temporada de Pesca)</v>
      </c>
      <c r="J216" s="33" t="str">
        <f>VLOOKUP(A216,BBDD!$1:$1048653,17,0)</f>
        <v/>
      </c>
      <c r="K216" s="35">
        <f>VLOOKUP(A216,BBDD!$1:$1048653,12,0)</f>
        <v>45323</v>
      </c>
      <c r="L216" s="35" t="str">
        <f>VLOOKUP(A216,BBDD!$1:$1048653,3,0)</f>
        <v>Orizon S.A</v>
      </c>
      <c r="M216" s="35" t="str">
        <f>VLOOKUP(A216,BBDD!$1:$1048653,4,0)</f>
        <v>F2</v>
      </c>
      <c r="N216" s="35" t="str">
        <f>VLOOKUP(A216,BBDD!$1:$1048653,5,0)</f>
        <v>SCARLETTE.HERMOSILLA@VIRGINIOGOMEZ.CL</v>
      </c>
      <c r="O216" s="36">
        <v>45974.0</v>
      </c>
      <c r="P216" s="32" t="s">
        <v>5582</v>
      </c>
      <c r="Q216" s="32" t="s">
        <v>5586</v>
      </c>
      <c r="R216" s="32" t="s">
        <v>5879</v>
      </c>
      <c r="S216" s="37"/>
      <c r="T216" s="32" t="s">
        <v>5880</v>
      </c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</row>
    <row r="217" ht="14.25" customHeight="1">
      <c r="A217" s="39">
        <v>1.7843072E7</v>
      </c>
      <c r="B217" s="33" t="str">
        <f>VLOOKUP(A217,BBDD!$1:$1048653,2,0)</f>
        <v>17.843.072-6</v>
      </c>
      <c r="C217" s="34" t="str">
        <f>VLOOKUP(A217,BBDD!$1:$1048653,7,0)</f>
        <v>Vera Vega Yesenia Alejandra</v>
      </c>
      <c r="D217" s="33" t="str">
        <f>VLOOKUP(A217,BBDD!$1:$1048653,8,0)</f>
        <v>Operario Apoyo Elaboracion</v>
      </c>
      <c r="E217" s="33" t="str">
        <f>VLOOKUP(A217,BBDD!$1:$1048653,10,0)</f>
        <v>Gerencia Producción Pesca</v>
      </c>
      <c r="F217" s="33" t="str">
        <f>VLOOKUP(A217,BBDD!$1:$1048653,11,0)</f>
        <v>Plazo fijo</v>
      </c>
      <c r="G217" s="33" t="str">
        <f>VLOOKUP(A217,BBDD!$1:$1048653,13,0)</f>
        <v>Coronel Rol Eventual</v>
      </c>
      <c r="H217" s="33" t="str">
        <f>VLOOKUP(A217,BBDD!$1:$1048653,14,0)</f>
        <v>Gerencia Corp. Negocio Seafood</v>
      </c>
      <c r="I217" s="33" t="str">
        <f>VLOOKUP(A217,BBDD!$1:$1048653,16,0)</f>
        <v>Temporada (Con ocasión Temporada de Pesca)</v>
      </c>
      <c r="J217" s="33" t="str">
        <f>VLOOKUP(A217,BBDD!$1:$1048653,17,0)</f>
        <v/>
      </c>
      <c r="K217" s="35">
        <f>VLOOKUP(A217,BBDD!$1:$1048653,12,0)</f>
        <v>45940</v>
      </c>
      <c r="L217" s="35" t="str">
        <f>VLOOKUP(A217,BBDD!$1:$1048653,3,0)</f>
        <v>Orizon S.A</v>
      </c>
      <c r="M217" s="35" t="str">
        <f>VLOOKUP(A217,BBDD!$1:$1048653,4,0)</f>
        <v>F5</v>
      </c>
      <c r="N217" s="35" t="str">
        <f>VLOOKUP(A217,BBDD!$1:$1048653,5,0)</f>
        <v>YESENIA.VERA@VIRGINIOGOMEZ.CL</v>
      </c>
      <c r="O217" s="36">
        <v>45974.0</v>
      </c>
      <c r="P217" s="32" t="s">
        <v>5594</v>
      </c>
      <c r="Q217" s="32" t="s">
        <v>5586</v>
      </c>
      <c r="R217" s="32" t="s">
        <v>5881</v>
      </c>
      <c r="S217" s="37"/>
      <c r="T217" s="32" t="s">
        <v>5585</v>
      </c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</row>
    <row r="218" ht="14.25" customHeight="1">
      <c r="A218" s="39">
        <v>9719461.0</v>
      </c>
      <c r="B218" s="33" t="str">
        <f>VLOOKUP(A218,BBDD!$1:$1048653,2,0)</f>
        <v>9.719.461-0</v>
      </c>
      <c r="C218" s="34" t="str">
        <f>VLOOKUP(A218,BBDD!$1:$1048653,7,0)</f>
        <v>Molina Herrera Bernardo Enrique</v>
      </c>
      <c r="D218" s="33" t="str">
        <f>VLOOKUP(A218,BBDD!$1:$1048653,8,0)</f>
        <v>Operario Apoyo Elaboracion</v>
      </c>
      <c r="E218" s="33" t="str">
        <f>VLOOKUP(A218,BBDD!$1:$1048653,10,0)</f>
        <v>Gerencia Producción Pesca</v>
      </c>
      <c r="F218" s="33" t="str">
        <f>VLOOKUP(A218,BBDD!$1:$1048653,11,0)</f>
        <v>Plazo fijo</v>
      </c>
      <c r="G218" s="33" t="str">
        <f>VLOOKUP(A218,BBDD!$1:$1048653,13,0)</f>
        <v>Coronel Rol Eventual</v>
      </c>
      <c r="H218" s="33" t="str">
        <f>VLOOKUP(A218,BBDD!$1:$1048653,14,0)</f>
        <v>Gerencia Corp. Negocio Seafood</v>
      </c>
      <c r="I218" s="33" t="str">
        <f>VLOOKUP(A218,BBDD!$1:$1048653,16,0)</f>
        <v>Temporada (Con ocasión Temporada de Pesca)</v>
      </c>
      <c r="J218" s="33" t="str">
        <f>VLOOKUP(A218,BBDD!$1:$1048653,17,0)</f>
        <v/>
      </c>
      <c r="K218" s="35">
        <f>VLOOKUP(A218,BBDD!$1:$1048653,12,0)</f>
        <v>45932</v>
      </c>
      <c r="L218" s="35" t="str">
        <f>VLOOKUP(A218,BBDD!$1:$1048653,3,0)</f>
        <v>Orizon S.A</v>
      </c>
      <c r="M218" s="35" t="str">
        <f>VLOOKUP(A218,BBDD!$1:$1048653,4,0)</f>
        <v>F4</v>
      </c>
      <c r="N218" s="35" t="str">
        <f>VLOOKUP(A218,BBDD!$1:$1048653,5,0)</f>
        <v>BER.MOLINA3597@GMAIL.COM</v>
      </c>
      <c r="O218" s="36">
        <v>45974.0</v>
      </c>
      <c r="P218" s="32" t="s">
        <v>5582</v>
      </c>
      <c r="Q218" s="32" t="s">
        <v>5591</v>
      </c>
      <c r="R218" s="32" t="s">
        <v>5882</v>
      </c>
      <c r="S218" s="37"/>
      <c r="T218" s="32" t="s">
        <v>5585</v>
      </c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</row>
    <row r="219" ht="14.25" customHeight="1">
      <c r="A219" s="39">
        <v>8021658.0</v>
      </c>
      <c r="B219" s="33" t="str">
        <f>VLOOKUP(A219,BBDD!$1:$1048653,2,0)</f>
        <v>8.021.658-0</v>
      </c>
      <c r="C219" s="34" t="str">
        <f>VLOOKUP(A219,BBDD!$1:$1048653,7,0)</f>
        <v>Fuentes Muñoz Loyda Isabel</v>
      </c>
      <c r="D219" s="33" t="str">
        <f>VLOOKUP(A219,BBDD!$1:$1048653,8,0)</f>
        <v>Operario Apoyo Elaboracion</v>
      </c>
      <c r="E219" s="33" t="str">
        <f>VLOOKUP(A219,BBDD!$1:$1048653,10,0)</f>
        <v>Gerencia Producción Pesca</v>
      </c>
      <c r="F219" s="33" t="str">
        <f>VLOOKUP(A219,BBDD!$1:$1048653,11,0)</f>
        <v>Plazo fijo</v>
      </c>
      <c r="G219" s="33" t="str">
        <f>VLOOKUP(A219,BBDD!$1:$1048653,13,0)</f>
        <v>Coronel Rol Eventual</v>
      </c>
      <c r="H219" s="33" t="str">
        <f>VLOOKUP(A219,BBDD!$1:$1048653,14,0)</f>
        <v>Gerencia Corp. Negocio Seafood</v>
      </c>
      <c r="I219" s="33" t="str">
        <f>VLOOKUP(A219,BBDD!$1:$1048653,16,0)</f>
        <v>Temporada (Con ocasión Temporada de Pesca)</v>
      </c>
      <c r="J219" s="33" t="str">
        <f>VLOOKUP(A219,BBDD!$1:$1048653,17,0)</f>
        <v/>
      </c>
      <c r="K219" s="35">
        <f>VLOOKUP(A219,BBDD!$1:$1048653,12,0)</f>
        <v>45931</v>
      </c>
      <c r="L219" s="35" t="str">
        <f>VLOOKUP(A219,BBDD!$1:$1048653,3,0)</f>
        <v>Orizon S.A</v>
      </c>
      <c r="M219" s="35" t="str">
        <f>VLOOKUP(A219,BBDD!$1:$1048653,4,0)</f>
        <v>F3</v>
      </c>
      <c r="N219" s="35" t="str">
        <f>VLOOKUP(A219,BBDD!$1:$1048653,5,0)</f>
        <v>fuentesloydaisabel@gmail.com</v>
      </c>
      <c r="O219" s="36">
        <v>45974.0</v>
      </c>
      <c r="P219" s="32" t="s">
        <v>5582</v>
      </c>
      <c r="Q219" s="32" t="s">
        <v>5586</v>
      </c>
      <c r="R219" s="32" t="s">
        <v>5883</v>
      </c>
      <c r="S219" s="37"/>
      <c r="T219" s="32" t="s">
        <v>5585</v>
      </c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</row>
    <row r="220" ht="14.25" customHeight="1">
      <c r="A220" s="39">
        <v>2.667102E7</v>
      </c>
      <c r="B220" s="33" t="str">
        <f>VLOOKUP(A220,BBDD!$1:$1048653,2,0)</f>
        <v>26.671.020-8</v>
      </c>
      <c r="C220" s="34" t="str">
        <f>VLOOKUP(A220,BBDD!$1:$1048653,7,0)</f>
        <v>Borges Mata Eleazar Jose</v>
      </c>
      <c r="D220" s="33" t="str">
        <f>VLOOKUP(A220,BBDD!$1:$1048653,8,0)</f>
        <v>Operario Apoyo Elaboracion</v>
      </c>
      <c r="E220" s="33" t="str">
        <f>VLOOKUP(A220,BBDD!$1:$1048653,10,0)</f>
        <v>Gerencia Producción Pesca</v>
      </c>
      <c r="F220" s="33" t="str">
        <f>VLOOKUP(A220,BBDD!$1:$1048653,11,0)</f>
        <v>Plazo fijo</v>
      </c>
      <c r="G220" s="33" t="str">
        <f>VLOOKUP(A220,BBDD!$1:$1048653,13,0)</f>
        <v>Coronel Rol Eventual</v>
      </c>
      <c r="H220" s="33" t="str">
        <f>VLOOKUP(A220,BBDD!$1:$1048653,14,0)</f>
        <v>Gerencia Corp. Negocio Seafood</v>
      </c>
      <c r="I220" s="33" t="str">
        <f>VLOOKUP(A220,BBDD!$1:$1048653,16,0)</f>
        <v>Temporada (Con ocasión Temporada de Pesca)</v>
      </c>
      <c r="J220" s="33" t="str">
        <f>VLOOKUP(A220,BBDD!$1:$1048653,17,0)</f>
        <v/>
      </c>
      <c r="K220" s="35">
        <f>VLOOKUP(A220,BBDD!$1:$1048653,12,0)</f>
        <v>45936</v>
      </c>
      <c r="L220" s="35" t="str">
        <f>VLOOKUP(A220,BBDD!$1:$1048653,3,0)</f>
        <v>Orizon S.A</v>
      </c>
      <c r="M220" s="35" t="str">
        <f>VLOOKUP(A220,BBDD!$1:$1048653,4,0)</f>
        <v>F5</v>
      </c>
      <c r="N220" s="35" t="str">
        <f>VLOOKUP(A220,BBDD!$1:$1048653,5,0)</f>
        <v>ELEAZARBORGES85@GMAIL.COM</v>
      </c>
      <c r="O220" s="36">
        <v>45974.0</v>
      </c>
      <c r="P220" s="32" t="s">
        <v>5575</v>
      </c>
      <c r="Q220" s="32" t="s">
        <v>5601</v>
      </c>
      <c r="R220" s="32" t="s">
        <v>5884</v>
      </c>
      <c r="S220" s="37"/>
      <c r="T220" s="32" t="s">
        <v>5616</v>
      </c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</row>
    <row r="221" ht="14.25" customHeight="1">
      <c r="A221" s="32">
        <v>1.6348879E7</v>
      </c>
      <c r="B221" s="33" t="str">
        <f>VLOOKUP(A221,BBDD!$1:$1048653,2,0)</f>
        <v>16.348.879-5</v>
      </c>
      <c r="C221" s="34" t="str">
        <f>VLOOKUP(A221,BBDD!$1:$1048653,7,0)</f>
        <v>Bustamante Salgado Cristian Alfredo</v>
      </c>
      <c r="D221" s="33" t="str">
        <f>VLOOKUP(A221,BBDD!$1:$1048653,8,0)</f>
        <v>Supervisor(A) De Turno Congelado</v>
      </c>
      <c r="E221" s="33" t="str">
        <f>VLOOKUP(A221,BBDD!$1:$1048653,10,0)</f>
        <v>Gerencia Producción Pesca</v>
      </c>
      <c r="F221" s="33" t="str">
        <f>VLOOKUP(A221,BBDD!$1:$1048653,11,0)</f>
        <v>Indefinido</v>
      </c>
      <c r="G221" s="33" t="str">
        <f>VLOOKUP(A221,BBDD!$1:$1048653,13,0)</f>
        <v>Coronel Rol Tierra</v>
      </c>
      <c r="H221" s="33" t="str">
        <f>VLOOKUP(A221,BBDD!$1:$1048653,14,0)</f>
        <v>Gerencia Corp. Negocio Seafood</v>
      </c>
      <c r="I221" s="33" t="str">
        <f>VLOOKUP(A221,BBDD!$1:$1048653,16,0)</f>
        <v>Rol General (Cargo permanente o proyección indefinido)</v>
      </c>
      <c r="J221" s="33" t="str">
        <f>VLOOKUP(A221,BBDD!$1:$1048653,17,0)</f>
        <v/>
      </c>
      <c r="K221" s="35">
        <f>VLOOKUP(A221,BBDD!$1:$1048653,12,0)</f>
        <v>41609</v>
      </c>
      <c r="L221" s="35" t="str">
        <f>VLOOKUP(A221,BBDD!$1:$1048653,3,0)</f>
        <v>Orizon S.A</v>
      </c>
      <c r="M221" s="35" t="str">
        <f>VLOOKUP(A221,BBDD!$1:$1048653,4,0)</f>
        <v>F1</v>
      </c>
      <c r="N221" s="35" t="str">
        <f>VLOOKUP(A221,BBDD!$1:$1048653,5,0)</f>
        <v>cristian.bustamante@orizon.cl</v>
      </c>
      <c r="O221" s="36">
        <v>45974.0</v>
      </c>
      <c r="P221" s="32" t="s">
        <v>5594</v>
      </c>
      <c r="Q221" s="32" t="s">
        <v>5586</v>
      </c>
      <c r="R221" s="32" t="s">
        <v>5885</v>
      </c>
      <c r="S221" s="37"/>
      <c r="T221" s="32" t="s">
        <v>5585</v>
      </c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</row>
    <row r="222" ht="14.25" customHeight="1">
      <c r="A222" s="32">
        <v>1.9637743E7</v>
      </c>
      <c r="B222" s="33" t="str">
        <f>VLOOKUP(A222,BBDD!$1:$1048653,2,0)</f>
        <v>19.637.743-3</v>
      </c>
      <c r="C222" s="34" t="str">
        <f>VLOOKUP(A222,BBDD!$1:$1048653,7,0)</f>
        <v>Cuevas Mora Kenneth Brian</v>
      </c>
      <c r="D222" s="33" t="str">
        <f>VLOOKUP(A222,BBDD!$1:$1048653,8,0)</f>
        <v>Operario Apoyo Elaboracion</v>
      </c>
      <c r="E222" s="33" t="str">
        <f>VLOOKUP(A222,BBDD!$1:$1048653,10,0)</f>
        <v>Gerencia Producción Pesca</v>
      </c>
      <c r="F222" s="33" t="str">
        <f>VLOOKUP(A222,BBDD!$1:$1048653,11,0)</f>
        <v>Plazo fijo</v>
      </c>
      <c r="G222" s="33" t="str">
        <f>VLOOKUP(A222,BBDD!$1:$1048653,13,0)</f>
        <v>Coronel Rol Eventual</v>
      </c>
      <c r="H222" s="33" t="str">
        <f>VLOOKUP(A222,BBDD!$1:$1048653,14,0)</f>
        <v>Gerencia Corp. Negocio Seafood</v>
      </c>
      <c r="I222" s="33" t="str">
        <f>VLOOKUP(A222,BBDD!$1:$1048653,16,0)</f>
        <v>Temporada (Con ocasión Temporada de Pesca)</v>
      </c>
      <c r="J222" s="33" t="str">
        <f>VLOOKUP(A222,BBDD!$1:$1048653,17,0)</f>
        <v/>
      </c>
      <c r="K222" s="35">
        <f>VLOOKUP(A222,BBDD!$1:$1048653,12,0)</f>
        <v>45938</v>
      </c>
      <c r="L222" s="35" t="str">
        <f>VLOOKUP(A222,BBDD!$1:$1048653,3,0)</f>
        <v>Orizon S.A</v>
      </c>
      <c r="M222" s="35" t="str">
        <f>VLOOKUP(A222,BBDD!$1:$1048653,4,0)</f>
        <v>F1</v>
      </c>
      <c r="N222" s="35" t="str">
        <f>VLOOKUP(A222,BBDD!$1:$1048653,5,0)</f>
        <v>kcuevas0597@gmail.com</v>
      </c>
      <c r="O222" s="36">
        <v>45974.0</v>
      </c>
      <c r="P222" s="32" t="s">
        <v>5582</v>
      </c>
      <c r="Q222" s="32" t="s">
        <v>5586</v>
      </c>
      <c r="R222" s="32" t="s">
        <v>5886</v>
      </c>
      <c r="S222" s="37"/>
      <c r="T222" s="32" t="s">
        <v>5585</v>
      </c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</row>
    <row r="223" ht="14.25" customHeight="1">
      <c r="A223" s="39">
        <v>2.0908426E7</v>
      </c>
      <c r="B223" s="33" t="str">
        <f>VLOOKUP(A223,BBDD!$1:$1048653,2,0)</f>
        <v>20.908.426-0</v>
      </c>
      <c r="C223" s="34" t="str">
        <f>VLOOKUP(A223,BBDD!$1:$1048653,7,0)</f>
        <v>Moya Flores Daniel Maximiliano</v>
      </c>
      <c r="D223" s="33" t="str">
        <f>VLOOKUP(A223,BBDD!$1:$1048653,8,0)</f>
        <v>Operario Apoyo Elaboracion</v>
      </c>
      <c r="E223" s="33" t="str">
        <f>VLOOKUP(A223,BBDD!$1:$1048653,10,0)</f>
        <v>Gerencia Producción Pesca</v>
      </c>
      <c r="F223" s="33" t="str">
        <f>VLOOKUP(A223,BBDD!$1:$1048653,11,0)</f>
        <v>Plazo fijo</v>
      </c>
      <c r="G223" s="33" t="str">
        <f>VLOOKUP(A223,BBDD!$1:$1048653,13,0)</f>
        <v>Coronel Rol Eventual</v>
      </c>
      <c r="H223" s="33" t="str">
        <f>VLOOKUP(A223,BBDD!$1:$1048653,14,0)</f>
        <v>Gerencia Corp. Negocio Seafood</v>
      </c>
      <c r="I223" s="33" t="str">
        <f>VLOOKUP(A223,BBDD!$1:$1048653,16,0)</f>
        <v>Temporada (Con ocasión Temporada de Pesca)</v>
      </c>
      <c r="J223" s="33" t="str">
        <f>VLOOKUP(A223,BBDD!$1:$1048653,17,0)</f>
        <v/>
      </c>
      <c r="K223" s="35">
        <f>VLOOKUP(A223,BBDD!$1:$1048653,12,0)</f>
        <v>45931</v>
      </c>
      <c r="L223" s="35" t="str">
        <f>VLOOKUP(A223,BBDD!$1:$1048653,3,0)</f>
        <v>Orizon S.A</v>
      </c>
      <c r="M223" s="35" t="str">
        <f>VLOOKUP(A223,BBDD!$1:$1048653,4,0)</f>
        <v>F3</v>
      </c>
      <c r="N223" s="35" t="str">
        <f>VLOOKUP(A223,BBDD!$1:$1048653,5,0)</f>
        <v>danielmoya807@gmail.com</v>
      </c>
      <c r="O223" s="36">
        <v>45974.0</v>
      </c>
      <c r="P223" s="32" t="s">
        <v>5582</v>
      </c>
      <c r="Q223" s="32" t="s">
        <v>5586</v>
      </c>
      <c r="R223" s="32" t="s">
        <v>5887</v>
      </c>
      <c r="S223" s="37"/>
      <c r="T223" s="32" t="s">
        <v>5585</v>
      </c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</row>
    <row r="224" ht="14.25" customHeight="1">
      <c r="A224" s="39">
        <v>1.5193397E7</v>
      </c>
      <c r="B224" s="33" t="str">
        <f>VLOOKUP(A224,BBDD!$1:$1048653,2,0)</f>
        <v>15.193.397-1</v>
      </c>
      <c r="C224" s="34" t="str">
        <f>VLOOKUP(A224,BBDD!$1:$1048653,7,0)</f>
        <v>Vasquez Molina Jose Luis</v>
      </c>
      <c r="D224" s="33" t="str">
        <f>VLOOKUP(A224,BBDD!$1:$1048653,8,0)</f>
        <v>Operario Apoyo Elaboracion</v>
      </c>
      <c r="E224" s="33" t="str">
        <f>VLOOKUP(A224,BBDD!$1:$1048653,10,0)</f>
        <v>Gerencia Producción Pesca</v>
      </c>
      <c r="F224" s="33" t="str">
        <f>VLOOKUP(A224,BBDD!$1:$1048653,11,0)</f>
        <v>Plazo fijo</v>
      </c>
      <c r="G224" s="33" t="str">
        <f>VLOOKUP(A224,BBDD!$1:$1048653,13,0)</f>
        <v>Coronel Rol Eventual</v>
      </c>
      <c r="H224" s="33" t="str">
        <f>VLOOKUP(A224,BBDD!$1:$1048653,14,0)</f>
        <v>Gerencia Corp. Negocio Seafood</v>
      </c>
      <c r="I224" s="33" t="str">
        <f>VLOOKUP(A224,BBDD!$1:$1048653,16,0)</f>
        <v>Temporada (Con ocasión Temporada de Pesca)</v>
      </c>
      <c r="J224" s="33" t="str">
        <f>VLOOKUP(A224,BBDD!$1:$1048653,17,0)</f>
        <v/>
      </c>
      <c r="K224" s="35">
        <f>VLOOKUP(A224,BBDD!$1:$1048653,12,0)</f>
        <v>45941</v>
      </c>
      <c r="L224" s="35" t="str">
        <f>VLOOKUP(A224,BBDD!$1:$1048653,3,0)</f>
        <v>Orizon S.A</v>
      </c>
      <c r="M224" s="35" t="str">
        <f>VLOOKUP(A224,BBDD!$1:$1048653,4,0)</f>
        <v>F1</v>
      </c>
      <c r="N224" s="35" t="str">
        <f>VLOOKUP(A224,BBDD!$1:$1048653,5,0)</f>
        <v>vasquez.molina.joseluis10@gmail.com</v>
      </c>
      <c r="O224" s="36">
        <v>45975.0</v>
      </c>
      <c r="P224" s="32" t="s">
        <v>5582</v>
      </c>
      <c r="Q224" s="32" t="s">
        <v>5838</v>
      </c>
      <c r="R224" s="37"/>
      <c r="S224" s="37"/>
      <c r="T224" s="32" t="s">
        <v>5585</v>
      </c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</row>
    <row r="225" ht="14.25" customHeight="1">
      <c r="A225" s="32">
        <v>1.9139861E7</v>
      </c>
      <c r="B225" s="33" t="str">
        <f>VLOOKUP(A225,BBDD!$1:$1048653,2,0)</f>
        <v>19.139.861-0</v>
      </c>
      <c r="C225" s="34" t="str">
        <f>VLOOKUP(A225,BBDD!$1:$1048653,7,0)</f>
        <v>Ayala Ayala Susana Andrea</v>
      </c>
      <c r="D225" s="33" t="str">
        <f>VLOOKUP(A225,BBDD!$1:$1048653,8,0)</f>
        <v>Operario Apoyo Elaboracion</v>
      </c>
      <c r="E225" s="33" t="str">
        <f>VLOOKUP(A225,BBDD!$1:$1048653,10,0)</f>
        <v>Gerencia Producción Pesca</v>
      </c>
      <c r="F225" s="33" t="str">
        <f>VLOOKUP(A225,BBDD!$1:$1048653,11,0)</f>
        <v>Plazo fijo</v>
      </c>
      <c r="G225" s="33" t="str">
        <f>VLOOKUP(A225,BBDD!$1:$1048653,13,0)</f>
        <v>Coronel Rol Eventual</v>
      </c>
      <c r="H225" s="33" t="str">
        <f>VLOOKUP(A225,BBDD!$1:$1048653,14,0)</f>
        <v>Gerencia Corp. Negocio Seafood</v>
      </c>
      <c r="I225" s="33" t="str">
        <f>VLOOKUP(A225,BBDD!$1:$1048653,16,0)</f>
        <v>Temporada (Con ocasión Temporada de Pesca)</v>
      </c>
      <c r="J225" s="33" t="str">
        <f>VLOOKUP(A225,BBDD!$1:$1048653,17,0)</f>
        <v/>
      </c>
      <c r="K225" s="35">
        <f>VLOOKUP(A225,BBDD!$1:$1048653,12,0)</f>
        <v>45941</v>
      </c>
      <c r="L225" s="35" t="str">
        <f>VLOOKUP(A225,BBDD!$1:$1048653,3,0)</f>
        <v>Orizon S.A</v>
      </c>
      <c r="M225" s="35" t="str">
        <f>VLOOKUP(A225,BBDD!$1:$1048653,4,0)</f>
        <v>F1</v>
      </c>
      <c r="N225" s="35" t="str">
        <f>VLOOKUP(A225,BBDD!$1:$1048653,5,0)</f>
        <v>cjs.susanayala@gmail.com</v>
      </c>
      <c r="O225" s="36">
        <v>45975.0</v>
      </c>
      <c r="P225" s="32" t="s">
        <v>5582</v>
      </c>
      <c r="Q225" s="32" t="s">
        <v>5838</v>
      </c>
      <c r="R225" s="37"/>
      <c r="S225" s="37"/>
      <c r="T225" s="32" t="s">
        <v>5585</v>
      </c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</row>
    <row r="226" ht="14.25" customHeight="1">
      <c r="A226" s="32">
        <v>1.6038547E7</v>
      </c>
      <c r="B226" s="33" t="str">
        <f>VLOOKUP(A226,BBDD!$1:$1048653,2,0)</f>
        <v>16.038.547-2</v>
      </c>
      <c r="C226" s="34" t="str">
        <f>VLOOKUP(A226,BBDD!$1:$1048653,7,0)</f>
        <v>Herrera Araya Cristian Alexis</v>
      </c>
      <c r="D226" s="33" t="str">
        <f>VLOOKUP(A226,BBDD!$1:$1048653,8,0)</f>
        <v>Aspirante Tripulante</v>
      </c>
      <c r="E226" s="33" t="str">
        <f>VLOOKUP(A226,BBDD!$1:$1048653,10,0)</f>
        <v>Gerencia de Flota y Abastecimiento de Materias Primas</v>
      </c>
      <c r="F226" s="33" t="str">
        <f>VLOOKUP(A226,BBDD!$1:$1048653,11,0)</f>
        <v>Obra</v>
      </c>
      <c r="G226" s="33" t="str">
        <f>VLOOKUP(A226,BBDD!$1:$1048653,13,0)</f>
        <v>Coronel Rol Flota</v>
      </c>
      <c r="H226" s="33" t="str">
        <f>VLOOKUP(A226,BBDD!$1:$1048653,14,0)</f>
        <v>Gerencia Corp. Negocio Seafood</v>
      </c>
      <c r="I226" s="33" t="str">
        <f>VLOOKUP(A226,BBDD!$1:$1048653,16,0)</f>
        <v>Temporada (Con ocasión Temporada de Pesca)</v>
      </c>
      <c r="J226" s="33" t="str">
        <f>VLOOKUP(A226,BBDD!$1:$1048653,17,0)</f>
        <v/>
      </c>
      <c r="K226" s="35">
        <f>VLOOKUP(A226,BBDD!$1:$1048653,12,0)</f>
        <v>45681</v>
      </c>
      <c r="L226" s="35" t="str">
        <f>VLOOKUP(A226,BBDD!$1:$1048653,3,0)</f>
        <v>Orizon S.A</v>
      </c>
      <c r="M226" s="35" t="str">
        <f>VLOOKUP(A226,BBDD!$1:$1048653,4,0)</f>
        <v>F1</v>
      </c>
      <c r="N226" s="35" t="str">
        <f>VLOOKUP(A226,BBDD!$1:$1048653,5,0)</f>
        <v/>
      </c>
      <c r="O226" s="36">
        <v>45975.0</v>
      </c>
      <c r="P226" s="32" t="s">
        <v>5594</v>
      </c>
      <c r="Q226" s="32" t="s">
        <v>5603</v>
      </c>
      <c r="R226" s="37"/>
      <c r="S226" s="37"/>
      <c r="T226" s="32" t="s">
        <v>5585</v>
      </c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</row>
    <row r="227" ht="14.25" customHeight="1">
      <c r="A227" s="32">
        <v>1.0848422E7</v>
      </c>
      <c r="B227" s="33" t="str">
        <f>VLOOKUP(A227,BBDD!$1:$1048653,2,0)</f>
        <v>10.848.422-5</v>
      </c>
      <c r="C227" s="34" t="str">
        <f>VLOOKUP(A227,BBDD!$1:$1048653,7,0)</f>
        <v>Candia Arriagada David Arnaldo</v>
      </c>
      <c r="D227" s="33" t="str">
        <f>VLOOKUP(A227,BBDD!$1:$1048653,8,0)</f>
        <v>Encargado(A) De Produccion Pt</v>
      </c>
      <c r="E227" s="33" t="str">
        <f>VLOOKUP(A227,BBDD!$1:$1048653,10,0)</f>
        <v>Gerencia Producción Pesca</v>
      </c>
      <c r="F227" s="33" t="str">
        <f>VLOOKUP(A227,BBDD!$1:$1048653,11,0)</f>
        <v>Indefinido</v>
      </c>
      <c r="G227" s="33" t="str">
        <f>VLOOKUP(A227,BBDD!$1:$1048653,13,0)</f>
        <v>Coronel Rol Tierra</v>
      </c>
      <c r="H227" s="33" t="str">
        <f>VLOOKUP(A227,BBDD!$1:$1048653,14,0)</f>
        <v>Gerencia Corp. Negocio Seafood</v>
      </c>
      <c r="I227" s="33" t="str">
        <f>VLOOKUP(A227,BBDD!$1:$1048653,16,0)</f>
        <v>Rol General (Cargo permanente o proyección indefinido)</v>
      </c>
      <c r="J227" s="33" t="str">
        <f>VLOOKUP(A227,BBDD!$1:$1048653,17,0)</f>
        <v/>
      </c>
      <c r="K227" s="35">
        <f>VLOOKUP(A227,BBDD!$1:$1048653,12,0)</f>
        <v>40513</v>
      </c>
      <c r="L227" s="35" t="str">
        <f>VLOOKUP(A227,BBDD!$1:$1048653,3,0)</f>
        <v>Orizon S.A</v>
      </c>
      <c r="M227" s="35" t="str">
        <f>VLOOKUP(A227,BBDD!$1:$1048653,4,0)</f>
        <v>F1</v>
      </c>
      <c r="N227" s="35" t="str">
        <f>VLOOKUP(A227,BBDD!$1:$1048653,5,0)</f>
        <v>david.candia@orizon.cl</v>
      </c>
      <c r="O227" s="36">
        <v>45975.0</v>
      </c>
      <c r="P227" s="32" t="s">
        <v>5594</v>
      </c>
      <c r="Q227" s="32" t="s">
        <v>5601</v>
      </c>
      <c r="R227" s="32" t="s">
        <v>5888</v>
      </c>
      <c r="S227" s="37"/>
      <c r="T227" s="32" t="s">
        <v>5616</v>
      </c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</row>
    <row r="228" ht="14.25" customHeight="1">
      <c r="A228" s="32">
        <v>1.0</v>
      </c>
      <c r="B228" s="33" t="str">
        <f>VLOOKUP(A228,BBDD!$1:$1048653,2,0)</f>
        <v>Usuario Externo</v>
      </c>
      <c r="C228" s="34" t="str">
        <f>VLOOKUP(A228,BBDD!$1:$1048653,7,0)</f>
        <v>Usuario Externo</v>
      </c>
      <c r="D228" s="33" t="str">
        <f>VLOOKUP(A228,BBDD!$1:$1048653,8,0)</f>
        <v>Usuario Externo</v>
      </c>
      <c r="E228" s="33" t="str">
        <f>VLOOKUP(A228,BBDD!$1:$1048653,10,0)</f>
        <v>Usuario Externo</v>
      </c>
      <c r="F228" s="33" t="str">
        <f>VLOOKUP(A228,BBDD!$1:$1048653,11,0)</f>
        <v>Usuario Externo</v>
      </c>
      <c r="G228" s="33" t="str">
        <f>VLOOKUP(A228,BBDD!$1:$1048653,13,0)</f>
        <v>Usuario Externo</v>
      </c>
      <c r="H228" s="33" t="str">
        <f>VLOOKUP(A228,BBDD!$1:$1048653,14,0)</f>
        <v>Usuario Externo</v>
      </c>
      <c r="I228" s="33" t="str">
        <f>VLOOKUP(A228,BBDD!$1:$1048653,16,0)</f>
        <v>Usuario Externo</v>
      </c>
      <c r="J228" s="33" t="str">
        <f>VLOOKUP(A228,BBDD!$1:$1048653,17,0)</f>
        <v/>
      </c>
      <c r="K228" s="35" t="str">
        <f>VLOOKUP(A228,BBDD!$1:$1048653,12,0)</f>
        <v>Usuario Externo</v>
      </c>
      <c r="L228" s="35" t="str">
        <f>VLOOKUP(A228,BBDD!$1:$1048653,3,0)</f>
        <v>Usuario Externo</v>
      </c>
      <c r="M228" s="35" t="str">
        <f>VLOOKUP(A228,BBDD!$1:$1048653,4,0)</f>
        <v>Usuario Externo</v>
      </c>
      <c r="N228" s="35" t="str">
        <f>VLOOKUP(A228,BBDD!$1:$1048653,5,0)</f>
        <v>Usuario Externo</v>
      </c>
      <c r="O228" s="36">
        <v>45975.0</v>
      </c>
      <c r="P228" s="32" t="s">
        <v>5594</v>
      </c>
      <c r="Q228" s="32" t="s">
        <v>5598</v>
      </c>
      <c r="R228" s="32" t="s">
        <v>5889</v>
      </c>
      <c r="S228" s="37"/>
      <c r="T228" s="32" t="s">
        <v>5585</v>
      </c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</row>
    <row r="229" ht="14.25" customHeight="1">
      <c r="A229" s="32">
        <v>2.7021665E7</v>
      </c>
      <c r="B229" s="33" t="str">
        <f>VLOOKUP(A229,BBDD!$1:$1048653,2,0)</f>
        <v>27.021.665-k</v>
      </c>
      <c r="C229" s="34" t="str">
        <f>VLOOKUP(A229,BBDD!$1:$1048653,7,0)</f>
        <v>Rojas Parra Jean Carlos</v>
      </c>
      <c r="D229" s="33" t="str">
        <f>VLOOKUP(A229,BBDD!$1:$1048653,8,0)</f>
        <v>Operario Apoyo Elaboracion</v>
      </c>
      <c r="E229" s="33" t="str">
        <f>VLOOKUP(A229,BBDD!$1:$1048653,10,0)</f>
        <v>Gerencia Producción Pesca</v>
      </c>
      <c r="F229" s="33" t="str">
        <f>VLOOKUP(A229,BBDD!$1:$1048653,11,0)</f>
        <v>Plazo fijo</v>
      </c>
      <c r="G229" s="33" t="str">
        <f>VLOOKUP(A229,BBDD!$1:$1048653,13,0)</f>
        <v>Coronel Rol Eventual</v>
      </c>
      <c r="H229" s="33" t="str">
        <f>VLOOKUP(A229,BBDD!$1:$1048653,14,0)</f>
        <v>Gerencia Corp. Negocio Seafood</v>
      </c>
      <c r="I229" s="33" t="str">
        <f>VLOOKUP(A229,BBDD!$1:$1048653,16,0)</f>
        <v>Temporada (Con ocasión Temporada de Pesca)</v>
      </c>
      <c r="J229" s="33" t="str">
        <f>VLOOKUP(A229,BBDD!$1:$1048653,17,0)</f>
        <v/>
      </c>
      <c r="K229" s="35">
        <f>VLOOKUP(A229,BBDD!$1:$1048653,12,0)</f>
        <v>45931</v>
      </c>
      <c r="L229" s="35" t="str">
        <f>VLOOKUP(A229,BBDD!$1:$1048653,3,0)</f>
        <v>Orizon S.A</v>
      </c>
      <c r="M229" s="35" t="str">
        <f>VLOOKUP(A229,BBDD!$1:$1048653,4,0)</f>
        <v>F3</v>
      </c>
      <c r="N229" s="35" t="str">
        <f>VLOOKUP(A229,BBDD!$1:$1048653,5,0)</f>
        <v>jensse87@gmail.com</v>
      </c>
      <c r="O229" s="36">
        <v>45978.0</v>
      </c>
      <c r="P229" s="32" t="s">
        <v>5582</v>
      </c>
      <c r="Q229" s="32" t="s">
        <v>5567</v>
      </c>
      <c r="R229" s="32" t="s">
        <v>5890</v>
      </c>
      <c r="S229" s="37"/>
      <c r="T229" s="32" t="s">
        <v>5585</v>
      </c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</row>
    <row r="230" ht="14.25" customHeight="1">
      <c r="A230" s="32">
        <v>1.0472799E7</v>
      </c>
      <c r="B230" s="33" t="str">
        <f>VLOOKUP(A230,BBDD!$1:$1048653,2,0)</f>
        <v>10.472.799-9</v>
      </c>
      <c r="C230" s="34" t="str">
        <f>VLOOKUP(A230,BBDD!$1:$1048653,7,0)</f>
        <v>Leonardi Rodriguez Pedro Eduardo</v>
      </c>
      <c r="D230" s="33" t="str">
        <f>VLOOKUP(A230,BBDD!$1:$1048653,8,0)</f>
        <v>Chofer</v>
      </c>
      <c r="E230" s="33" t="str">
        <f>VLOOKUP(A230,BBDD!$1:$1048653,10,0)</f>
        <v>Gerencia de Flota y Abastecimiento de Materias Primas</v>
      </c>
      <c r="F230" s="33" t="str">
        <f>VLOOKUP(A230,BBDD!$1:$1048653,11,0)</f>
        <v>Indefinido</v>
      </c>
      <c r="G230" s="33" t="str">
        <f>VLOOKUP(A230,BBDD!$1:$1048653,13,0)</f>
        <v>Coronel Rol Tierra</v>
      </c>
      <c r="H230" s="33" t="str">
        <f>VLOOKUP(A230,BBDD!$1:$1048653,14,0)</f>
        <v>Gerencia Corp. Negocio Seafood</v>
      </c>
      <c r="I230" s="33" t="str">
        <f>VLOOKUP(A230,BBDD!$1:$1048653,16,0)</f>
        <v>Rol General (Cargo permanente o proyección indefinido)</v>
      </c>
      <c r="J230" s="33" t="str">
        <f>VLOOKUP(A230,BBDD!$1:$1048653,17,0)</f>
        <v/>
      </c>
      <c r="K230" s="35">
        <f>VLOOKUP(A230,BBDD!$1:$1048653,12,0)</f>
        <v>44136</v>
      </c>
      <c r="L230" s="35" t="str">
        <f>VLOOKUP(A230,BBDD!$1:$1048653,3,0)</f>
        <v>Orizon S.A</v>
      </c>
      <c r="M230" s="35" t="str">
        <f>VLOOKUP(A230,BBDD!$1:$1048653,4,0)</f>
        <v>F1</v>
      </c>
      <c r="N230" s="35" t="str">
        <f>VLOOKUP(A230,BBDD!$1:$1048653,5,0)</f>
        <v>pleonardi.r@gmail.com</v>
      </c>
      <c r="O230" s="36">
        <v>45978.0</v>
      </c>
      <c r="P230" s="32" t="s">
        <v>5594</v>
      </c>
      <c r="Q230" s="32" t="s">
        <v>5657</v>
      </c>
      <c r="R230" s="32" t="s">
        <v>5891</v>
      </c>
      <c r="S230" s="37"/>
      <c r="T230" s="32" t="s">
        <v>5585</v>
      </c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</row>
    <row r="231" ht="14.25" customHeight="1">
      <c r="A231" s="32">
        <v>2.145666E7</v>
      </c>
      <c r="B231" s="33" t="str">
        <f>VLOOKUP(A231,BBDD!$1:$1048653,2,0)</f>
        <v>21.456.660-5</v>
      </c>
      <c r="C231" s="34" t="str">
        <f>VLOOKUP(A231,BBDD!$1:$1048653,7,0)</f>
        <v>Pinto Marin Joaquin Gonzalo</v>
      </c>
      <c r="D231" s="33" t="str">
        <f>VLOOKUP(A231,BBDD!$1:$1048653,8,0)</f>
        <v>Operario Apoyo Elaboracion</v>
      </c>
      <c r="E231" s="33" t="str">
        <f>VLOOKUP(A231,BBDD!$1:$1048653,10,0)</f>
        <v>Gerencia Producción Pesca</v>
      </c>
      <c r="F231" s="33" t="str">
        <f>VLOOKUP(A231,BBDD!$1:$1048653,11,0)</f>
        <v>Plazo fijo</v>
      </c>
      <c r="G231" s="33" t="str">
        <f>VLOOKUP(A231,BBDD!$1:$1048653,13,0)</f>
        <v>Coronel Rol Eventual</v>
      </c>
      <c r="H231" s="33" t="str">
        <f>VLOOKUP(A231,BBDD!$1:$1048653,14,0)</f>
        <v>Gerencia Corp. Negocio Seafood</v>
      </c>
      <c r="I231" s="33" t="str">
        <f>VLOOKUP(A231,BBDD!$1:$1048653,16,0)</f>
        <v>Temporada (Con ocasión Temporada de Pesca)</v>
      </c>
      <c r="J231" s="33" t="str">
        <f>VLOOKUP(A231,BBDD!$1:$1048653,17,0)</f>
        <v/>
      </c>
      <c r="K231" s="35">
        <f>VLOOKUP(A231,BBDD!$1:$1048653,12,0)</f>
        <v>45941</v>
      </c>
      <c r="L231" s="35" t="str">
        <f>VLOOKUP(A231,BBDD!$1:$1048653,3,0)</f>
        <v>Orizon S.A</v>
      </c>
      <c r="M231" s="35" t="str">
        <f>VLOOKUP(A231,BBDD!$1:$1048653,4,0)</f>
        <v>F1</v>
      </c>
      <c r="N231" s="35" t="str">
        <f>VLOOKUP(A231,BBDD!$1:$1048653,5,0)</f>
        <v>joaquinpintomarin@gmail.com</v>
      </c>
      <c r="O231" s="36">
        <v>45978.0</v>
      </c>
      <c r="P231" s="32" t="s">
        <v>5582</v>
      </c>
      <c r="Q231" s="32" t="s">
        <v>5838</v>
      </c>
      <c r="R231" s="32" t="s">
        <v>5839</v>
      </c>
      <c r="S231" s="37"/>
      <c r="T231" s="32" t="s">
        <v>5585</v>
      </c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</row>
    <row r="232" ht="14.25" customHeight="1">
      <c r="A232" s="32">
        <v>2.22377E7</v>
      </c>
      <c r="B232" s="33" t="str">
        <f>VLOOKUP(A232,BBDD!$1:$1048653,2,0)</f>
        <v>22.237.700-5</v>
      </c>
      <c r="C232" s="34" t="str">
        <f>VLOOKUP(A232,BBDD!$1:$1048653,7,0)</f>
        <v>Poblete Cordova Angel Alejandro</v>
      </c>
      <c r="D232" s="33" t="str">
        <f>VLOOKUP(A232,BBDD!$1:$1048653,8,0)</f>
        <v>Operario Apoyo Elaboracion</v>
      </c>
      <c r="E232" s="33" t="str">
        <f>VLOOKUP(A232,BBDD!$1:$1048653,10,0)</f>
        <v>Gerencia Producción Pesca</v>
      </c>
      <c r="F232" s="33" t="str">
        <f>VLOOKUP(A232,BBDD!$1:$1048653,11,0)</f>
        <v>Plazo fijo</v>
      </c>
      <c r="G232" s="33" t="str">
        <f>VLOOKUP(A232,BBDD!$1:$1048653,13,0)</f>
        <v>Coronel Rol Eventual</v>
      </c>
      <c r="H232" s="33" t="str">
        <f>VLOOKUP(A232,BBDD!$1:$1048653,14,0)</f>
        <v>Gerencia Corp. Negocio Seafood</v>
      </c>
      <c r="I232" s="33" t="str">
        <f>VLOOKUP(A232,BBDD!$1:$1048653,16,0)</f>
        <v>Temporada (Con ocasión Temporada de Pesca)</v>
      </c>
      <c r="J232" s="33" t="str">
        <f>VLOOKUP(A232,BBDD!$1:$1048653,17,0)</f>
        <v/>
      </c>
      <c r="K232" s="35">
        <f>VLOOKUP(A232,BBDD!$1:$1048653,12,0)</f>
        <v>45941</v>
      </c>
      <c r="L232" s="35" t="str">
        <f>VLOOKUP(A232,BBDD!$1:$1048653,3,0)</f>
        <v>Orizon S.A</v>
      </c>
      <c r="M232" s="35" t="str">
        <f>VLOOKUP(A232,BBDD!$1:$1048653,4,0)</f>
        <v>F1</v>
      </c>
      <c r="N232" s="35" t="str">
        <f>VLOOKUP(A232,BBDD!$1:$1048653,5,0)</f>
        <v>cordovaorfelina5@gmail.com</v>
      </c>
      <c r="O232" s="36">
        <v>45978.0</v>
      </c>
      <c r="P232" s="32" t="s">
        <v>5582</v>
      </c>
      <c r="Q232" s="32" t="s">
        <v>5838</v>
      </c>
      <c r="R232" s="32" t="s">
        <v>5839</v>
      </c>
      <c r="S232" s="37"/>
      <c r="T232" s="32" t="s">
        <v>5585</v>
      </c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</row>
    <row r="233" ht="14.25" customHeight="1">
      <c r="A233" s="32">
        <v>2.141627E7</v>
      </c>
      <c r="B233" s="33" t="str">
        <f>VLOOKUP(A233,BBDD!$1:$1048653,2,0)</f>
        <v>21.416.270-9</v>
      </c>
      <c r="C233" s="34" t="str">
        <f>VLOOKUP(A233,BBDD!$1:$1048653,7,0)</f>
        <v>Soto Soto Sarai Monserrat</v>
      </c>
      <c r="D233" s="33" t="str">
        <f>VLOOKUP(A233,BBDD!$1:$1048653,8,0)</f>
        <v>Operario Apoyo Elaboracion</v>
      </c>
      <c r="E233" s="33" t="str">
        <f>VLOOKUP(A233,BBDD!$1:$1048653,10,0)</f>
        <v>Gerencia Producción Pesca</v>
      </c>
      <c r="F233" s="33" t="str">
        <f>VLOOKUP(A233,BBDD!$1:$1048653,11,0)</f>
        <v>Plazo fijo</v>
      </c>
      <c r="G233" s="33" t="str">
        <f>VLOOKUP(A233,BBDD!$1:$1048653,13,0)</f>
        <v>Coronel Rol Eventual</v>
      </c>
      <c r="H233" s="33" t="str">
        <f>VLOOKUP(A233,BBDD!$1:$1048653,14,0)</f>
        <v>Gerencia Corp. Negocio Seafood</v>
      </c>
      <c r="I233" s="33" t="str">
        <f>VLOOKUP(A233,BBDD!$1:$1048653,16,0)</f>
        <v>Temporada (Con ocasión Temporada de Pesca)</v>
      </c>
      <c r="J233" s="33" t="str">
        <f>VLOOKUP(A233,BBDD!$1:$1048653,17,0)</f>
        <v/>
      </c>
      <c r="K233" s="35">
        <f>VLOOKUP(A233,BBDD!$1:$1048653,12,0)</f>
        <v>45941</v>
      </c>
      <c r="L233" s="35" t="str">
        <f>VLOOKUP(A233,BBDD!$1:$1048653,3,0)</f>
        <v>Orizon S.A</v>
      </c>
      <c r="M233" s="35" t="str">
        <f>VLOOKUP(A233,BBDD!$1:$1048653,4,0)</f>
        <v>F1</v>
      </c>
      <c r="N233" s="35" t="str">
        <f>VLOOKUP(A233,BBDD!$1:$1048653,5,0)</f>
        <v>sarai.monse2003@gmail.com</v>
      </c>
      <c r="O233" s="36">
        <v>45978.0</v>
      </c>
      <c r="P233" s="32" t="s">
        <v>5582</v>
      </c>
      <c r="Q233" s="32" t="s">
        <v>5838</v>
      </c>
      <c r="R233" s="32" t="s">
        <v>5839</v>
      </c>
      <c r="S233" s="37"/>
      <c r="T233" s="32" t="s">
        <v>5585</v>
      </c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</row>
    <row r="234" ht="13.5" customHeight="1">
      <c r="A234" s="32">
        <v>1.6347792E7</v>
      </c>
      <c r="B234" s="33" t="str">
        <f>VLOOKUP(A234,BBDD!$1:$1048653,2,0)</f>
        <v>16.347.792-0</v>
      </c>
      <c r="C234" s="34" t="str">
        <f>VLOOKUP(A234,BBDD!$1:$1048653,7,0)</f>
        <v>Varela Chavez Graciela Elizabeth</v>
      </c>
      <c r="D234" s="33" t="str">
        <f>VLOOKUP(A234,BBDD!$1:$1048653,8,0)</f>
        <v>Operario Apoyo Elaboracion</v>
      </c>
      <c r="E234" s="33" t="str">
        <f>VLOOKUP(A234,BBDD!$1:$1048653,10,0)</f>
        <v>Gerencia Producción Pesca</v>
      </c>
      <c r="F234" s="33" t="str">
        <f>VLOOKUP(A234,BBDD!$1:$1048653,11,0)</f>
        <v>Plazo fijo</v>
      </c>
      <c r="G234" s="33" t="str">
        <f>VLOOKUP(A234,BBDD!$1:$1048653,13,0)</f>
        <v>Coronel Rol Eventual</v>
      </c>
      <c r="H234" s="33" t="str">
        <f>VLOOKUP(A234,BBDD!$1:$1048653,14,0)</f>
        <v>Gerencia Corp. Negocio Seafood</v>
      </c>
      <c r="I234" s="33" t="str">
        <f>VLOOKUP(A234,BBDD!$1:$1048653,16,0)</f>
        <v>Temporada (Con ocasión Temporada de Pesca)</v>
      </c>
      <c r="J234" s="33" t="str">
        <f>VLOOKUP(A234,BBDD!$1:$1048653,17,0)</f>
        <v/>
      </c>
      <c r="K234" s="35">
        <f>VLOOKUP(A234,BBDD!$1:$1048653,12,0)</f>
        <v>45931</v>
      </c>
      <c r="L234" s="35" t="str">
        <f>VLOOKUP(A234,BBDD!$1:$1048653,3,0)</f>
        <v>Orizon S.A</v>
      </c>
      <c r="M234" s="35" t="str">
        <f>VLOOKUP(A234,BBDD!$1:$1048653,4,0)</f>
        <v>F5</v>
      </c>
      <c r="N234" s="35" t="str">
        <f>VLOOKUP(A234,BBDD!$1:$1048653,5,0)</f>
        <v>varelagraci246@gmail.com</v>
      </c>
      <c r="O234" s="36">
        <v>45978.0</v>
      </c>
      <c r="P234" s="32" t="s">
        <v>5582</v>
      </c>
      <c r="Q234" s="32" t="s">
        <v>5586</v>
      </c>
      <c r="R234" s="37"/>
      <c r="S234" s="37"/>
      <c r="T234" s="32" t="s">
        <v>5585</v>
      </c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</row>
    <row r="235" ht="14.25" customHeight="1">
      <c r="A235" s="32">
        <v>1.3525525E7</v>
      </c>
      <c r="B235" s="33" t="str">
        <f>VLOOKUP(A235,BBDD!$1:$1048653,2,0)</f>
        <v>13.525.525-4</v>
      </c>
      <c r="C235" s="34" t="str">
        <f>VLOOKUP(A235,BBDD!$1:$1048653,7,0)</f>
        <v>Quintul Noriega Ruth Magdalena</v>
      </c>
      <c r="D235" s="33" t="str">
        <f>VLOOKUP(A235,BBDD!$1:$1048653,8,0)</f>
        <v>Operario Apoyo Elaboracion</v>
      </c>
      <c r="E235" s="33" t="str">
        <f>VLOOKUP(A235,BBDD!$1:$1048653,10,0)</f>
        <v>Gerencia Producción Pesca</v>
      </c>
      <c r="F235" s="33" t="str">
        <f>VLOOKUP(A235,BBDD!$1:$1048653,11,0)</f>
        <v>Plazo fijo</v>
      </c>
      <c r="G235" s="33" t="str">
        <f>VLOOKUP(A235,BBDD!$1:$1048653,13,0)</f>
        <v>Coronel Rol Eventual</v>
      </c>
      <c r="H235" s="33" t="str">
        <f>VLOOKUP(A235,BBDD!$1:$1048653,14,0)</f>
        <v>Gerencia Corp. Negocio Seafood</v>
      </c>
      <c r="I235" s="33" t="str">
        <f>VLOOKUP(A235,BBDD!$1:$1048653,16,0)</f>
        <v>Temporada (Con ocasión Temporada de Pesca)</v>
      </c>
      <c r="J235" s="33" t="str">
        <f>VLOOKUP(A235,BBDD!$1:$1048653,17,0)</f>
        <v/>
      </c>
      <c r="K235" s="35">
        <f>VLOOKUP(A235,BBDD!$1:$1048653,12,0)</f>
        <v>45941</v>
      </c>
      <c r="L235" s="35" t="str">
        <f>VLOOKUP(A235,BBDD!$1:$1048653,3,0)</f>
        <v>Orizon S.A</v>
      </c>
      <c r="M235" s="35" t="str">
        <f>VLOOKUP(A235,BBDD!$1:$1048653,4,0)</f>
        <v>F2</v>
      </c>
      <c r="N235" s="35" t="str">
        <f>VLOOKUP(A235,BBDD!$1:$1048653,5,0)</f>
        <v>rtquintul@hotmail.com</v>
      </c>
      <c r="O235" s="36">
        <v>45978.0</v>
      </c>
      <c r="P235" s="32" t="s">
        <v>5582</v>
      </c>
      <c r="Q235" s="32" t="s">
        <v>5838</v>
      </c>
      <c r="R235" s="32" t="s">
        <v>5839</v>
      </c>
      <c r="S235" s="37"/>
      <c r="T235" s="32" t="s">
        <v>5585</v>
      </c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</row>
    <row r="236" ht="14.25" customHeight="1">
      <c r="A236" s="39">
        <v>2.0761746E7</v>
      </c>
      <c r="B236" s="33" t="str">
        <f>VLOOKUP(A236,BBDD!$1:$1048653,2,0)</f>
        <v>20.761.746-6</v>
      </c>
      <c r="C236" s="34" t="str">
        <f>VLOOKUP(A236,BBDD!$1:$1048653,7,0)</f>
        <v>Leiva Norambuena Emerson Fabian</v>
      </c>
      <c r="D236" s="33" t="str">
        <f>VLOOKUP(A236,BBDD!$1:$1048653,8,0)</f>
        <v>Operario Apoyo Elaboracion</v>
      </c>
      <c r="E236" s="33" t="str">
        <f>VLOOKUP(A236,BBDD!$1:$1048653,10,0)</f>
        <v>Gerencia Producción Pesca</v>
      </c>
      <c r="F236" s="33" t="str">
        <f>VLOOKUP(A236,BBDD!$1:$1048653,11,0)</f>
        <v>Plazo fijo</v>
      </c>
      <c r="G236" s="33" t="str">
        <f>VLOOKUP(A236,BBDD!$1:$1048653,13,0)</f>
        <v>Coronel Rol Eventual</v>
      </c>
      <c r="H236" s="33" t="str">
        <f>VLOOKUP(A236,BBDD!$1:$1048653,14,0)</f>
        <v>Gerencia Corp. Negocio Seafood</v>
      </c>
      <c r="I236" s="33" t="str">
        <f>VLOOKUP(A236,BBDD!$1:$1048653,16,0)</f>
        <v>Temporada (Con ocasión Temporada de Pesca)</v>
      </c>
      <c r="J236" s="33" t="str">
        <f>VLOOKUP(A236,BBDD!$1:$1048653,17,0)</f>
        <v/>
      </c>
      <c r="K236" s="35">
        <f>VLOOKUP(A236,BBDD!$1:$1048653,12,0)</f>
        <v>45941</v>
      </c>
      <c r="L236" s="35" t="str">
        <f>VLOOKUP(A236,BBDD!$1:$1048653,3,0)</f>
        <v>Orizon S.A</v>
      </c>
      <c r="M236" s="35" t="str">
        <f>VLOOKUP(A236,BBDD!$1:$1048653,4,0)</f>
        <v>F1</v>
      </c>
      <c r="N236" s="35" t="str">
        <f>VLOOKUP(A236,BBDD!$1:$1048653,5,0)</f>
        <v>em.leiva2001@gmail.com</v>
      </c>
      <c r="O236" s="36">
        <v>45978.0</v>
      </c>
      <c r="P236" s="32" t="s">
        <v>5582</v>
      </c>
      <c r="Q236" s="32" t="s">
        <v>1323</v>
      </c>
      <c r="R236" s="32" t="s">
        <v>5892</v>
      </c>
      <c r="S236" s="37"/>
      <c r="T236" s="32" t="s">
        <v>5585</v>
      </c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</row>
    <row r="237" ht="14.25" customHeight="1">
      <c r="A237" s="39">
        <v>2.0761746E7</v>
      </c>
      <c r="B237" s="33" t="str">
        <f>VLOOKUP(A237,BBDD!$1:$1048653,2,0)</f>
        <v>20.761.746-6</v>
      </c>
      <c r="C237" s="34" t="str">
        <f>VLOOKUP(A237,BBDD!$1:$1048653,7,0)</f>
        <v>Leiva Norambuena Emerson Fabian</v>
      </c>
      <c r="D237" s="33" t="str">
        <f>VLOOKUP(A237,BBDD!$1:$1048653,8,0)</f>
        <v>Operario Apoyo Elaboracion</v>
      </c>
      <c r="E237" s="33" t="str">
        <f>VLOOKUP(A237,BBDD!$1:$1048653,10,0)</f>
        <v>Gerencia Producción Pesca</v>
      </c>
      <c r="F237" s="33" t="str">
        <f>VLOOKUP(A237,BBDD!$1:$1048653,11,0)</f>
        <v>Plazo fijo</v>
      </c>
      <c r="G237" s="33" t="str">
        <f>VLOOKUP(A237,BBDD!$1:$1048653,13,0)</f>
        <v>Coronel Rol Eventual</v>
      </c>
      <c r="H237" s="33" t="str">
        <f>VLOOKUP(A237,BBDD!$1:$1048653,14,0)</f>
        <v>Gerencia Corp. Negocio Seafood</v>
      </c>
      <c r="I237" s="33" t="str">
        <f>VLOOKUP(A237,BBDD!$1:$1048653,16,0)</f>
        <v>Temporada (Con ocasión Temporada de Pesca)</v>
      </c>
      <c r="J237" s="33" t="str">
        <f>VLOOKUP(A237,BBDD!$1:$1048653,17,0)</f>
        <v/>
      </c>
      <c r="K237" s="35">
        <f>VLOOKUP(A237,BBDD!$1:$1048653,12,0)</f>
        <v>45941</v>
      </c>
      <c r="L237" s="35" t="str">
        <f>VLOOKUP(A237,BBDD!$1:$1048653,3,0)</f>
        <v>Orizon S.A</v>
      </c>
      <c r="M237" s="35" t="str">
        <f>VLOOKUP(A237,BBDD!$1:$1048653,4,0)</f>
        <v>F1</v>
      </c>
      <c r="N237" s="35" t="str">
        <f>VLOOKUP(A237,BBDD!$1:$1048653,5,0)</f>
        <v>em.leiva2001@gmail.com</v>
      </c>
      <c r="O237" s="36">
        <v>45978.0</v>
      </c>
      <c r="P237" s="32" t="s">
        <v>5582</v>
      </c>
      <c r="Q237" s="32" t="s">
        <v>5838</v>
      </c>
      <c r="R237" s="32" t="s">
        <v>5839</v>
      </c>
      <c r="S237" s="37"/>
      <c r="T237" s="32" t="s">
        <v>5585</v>
      </c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</row>
    <row r="238" ht="14.25" customHeight="1">
      <c r="A238" s="32">
        <v>1.4623407E7</v>
      </c>
      <c r="B238" s="33" t="str">
        <f>VLOOKUP(A238,BBDD!$1:$1048653,2,0)</f>
        <v>14.623.407-0</v>
      </c>
      <c r="C238" s="34" t="str">
        <f>VLOOKUP(A238,BBDD!$1:$1048653,7,0)</f>
        <v>Cuevas Varela Roxana Beatriz</v>
      </c>
      <c r="D238" s="33" t="str">
        <f>VLOOKUP(A238,BBDD!$1:$1048653,8,0)</f>
        <v>Operario Apoyo Elaboracion</v>
      </c>
      <c r="E238" s="33" t="str">
        <f>VLOOKUP(A238,BBDD!$1:$1048653,10,0)</f>
        <v>Gerencia Producción Pesca</v>
      </c>
      <c r="F238" s="33" t="str">
        <f>VLOOKUP(A238,BBDD!$1:$1048653,11,0)</f>
        <v>Plazo fijo</v>
      </c>
      <c r="G238" s="33" t="str">
        <f>VLOOKUP(A238,BBDD!$1:$1048653,13,0)</f>
        <v>Coronel Rol Eventual</v>
      </c>
      <c r="H238" s="33" t="str">
        <f>VLOOKUP(A238,BBDD!$1:$1048653,14,0)</f>
        <v>Gerencia Corp. Negocio Seafood</v>
      </c>
      <c r="I238" s="33" t="str">
        <f>VLOOKUP(A238,BBDD!$1:$1048653,16,0)</f>
        <v>Temporada (Con ocasión Temporada de Pesca)</v>
      </c>
      <c r="J238" s="33" t="str">
        <f>VLOOKUP(A238,BBDD!$1:$1048653,17,0)</f>
        <v/>
      </c>
      <c r="K238" s="35">
        <f>VLOOKUP(A238,BBDD!$1:$1048653,12,0)</f>
        <v>45941</v>
      </c>
      <c r="L238" s="35" t="str">
        <f>VLOOKUP(A238,BBDD!$1:$1048653,3,0)</f>
        <v>Orizon S.A</v>
      </c>
      <c r="M238" s="35" t="str">
        <f>VLOOKUP(A238,BBDD!$1:$1048653,4,0)</f>
        <v>F1</v>
      </c>
      <c r="N238" s="35" t="str">
        <f>VLOOKUP(A238,BBDD!$1:$1048653,5,0)</f>
        <v>rcuevasvarela@gmail.com</v>
      </c>
      <c r="O238" s="36">
        <v>45978.0</v>
      </c>
      <c r="P238" s="32" t="s">
        <v>5582</v>
      </c>
      <c r="Q238" s="32" t="s">
        <v>5838</v>
      </c>
      <c r="R238" s="32" t="s">
        <v>5839</v>
      </c>
      <c r="S238" s="37"/>
      <c r="T238" s="32" t="s">
        <v>5585</v>
      </c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</row>
    <row r="239" ht="14.25" customHeight="1">
      <c r="A239" s="32">
        <v>1.9139402E7</v>
      </c>
      <c r="B239" s="33" t="str">
        <f>VLOOKUP(A239,BBDD!$1:$1048653,2,0)</f>
        <v>19.139.402-k</v>
      </c>
      <c r="C239" s="34" t="str">
        <f>VLOOKUP(A239,BBDD!$1:$1048653,7,0)</f>
        <v>Oportus Ramirez Yerty Yennara</v>
      </c>
      <c r="D239" s="33" t="str">
        <f>VLOOKUP(A239,BBDD!$1:$1048653,8,0)</f>
        <v>Operario Apoyo Elaboracion</v>
      </c>
      <c r="E239" s="33" t="str">
        <f>VLOOKUP(A239,BBDD!$1:$1048653,10,0)</f>
        <v>Gerencia Producción Pesca</v>
      </c>
      <c r="F239" s="33" t="str">
        <f>VLOOKUP(A239,BBDD!$1:$1048653,11,0)</f>
        <v>Plazo fijo</v>
      </c>
      <c r="G239" s="33" t="str">
        <f>VLOOKUP(A239,BBDD!$1:$1048653,13,0)</f>
        <v>Coronel Rol Eventual</v>
      </c>
      <c r="H239" s="33" t="str">
        <f>VLOOKUP(A239,BBDD!$1:$1048653,14,0)</f>
        <v>Gerencia Corp. Negocio Seafood</v>
      </c>
      <c r="I239" s="33" t="str">
        <f>VLOOKUP(A239,BBDD!$1:$1048653,16,0)</f>
        <v>Temporada (Con ocasión Temporada de Pesca)</v>
      </c>
      <c r="J239" s="33" t="str">
        <f>VLOOKUP(A239,BBDD!$1:$1048653,17,0)</f>
        <v/>
      </c>
      <c r="K239" s="35">
        <f>VLOOKUP(A239,BBDD!$1:$1048653,12,0)</f>
        <v>45941</v>
      </c>
      <c r="L239" s="35" t="str">
        <f>VLOOKUP(A239,BBDD!$1:$1048653,3,0)</f>
        <v>Orizon S.A</v>
      </c>
      <c r="M239" s="35" t="str">
        <f>VLOOKUP(A239,BBDD!$1:$1048653,4,0)</f>
        <v>F1</v>
      </c>
      <c r="N239" s="35" t="str">
        <f>VLOOKUP(A239,BBDD!$1:$1048653,5,0)</f>
        <v>yerty.oportusr@gmail.com</v>
      </c>
      <c r="O239" s="36">
        <v>45978.0</v>
      </c>
      <c r="P239" s="32" t="s">
        <v>5582</v>
      </c>
      <c r="Q239" s="32" t="s">
        <v>5838</v>
      </c>
      <c r="R239" s="32" t="s">
        <v>5839</v>
      </c>
      <c r="S239" s="37"/>
      <c r="T239" s="32" t="s">
        <v>5585</v>
      </c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</row>
    <row r="240" ht="14.25" customHeight="1">
      <c r="A240" s="32">
        <v>1.6229182E7</v>
      </c>
      <c r="B240" s="33" t="str">
        <f>VLOOKUP(A240,BBDD!$1:$1048653,2,0)</f>
        <v>16.229.182-3</v>
      </c>
      <c r="C240" s="34" t="str">
        <f>VLOOKUP(A240,BBDD!$1:$1048653,7,0)</f>
        <v>Alvial Villa Paulina Soledad</v>
      </c>
      <c r="D240" s="33" t="str">
        <f>VLOOKUP(A240,BBDD!$1:$1048653,8,0)</f>
        <v>Operario Apoyo Elaboracion</v>
      </c>
      <c r="E240" s="33" t="str">
        <f>VLOOKUP(A240,BBDD!$1:$1048653,10,0)</f>
        <v>Gerencia Producción Pesca</v>
      </c>
      <c r="F240" s="33" t="str">
        <f>VLOOKUP(A240,BBDD!$1:$1048653,11,0)</f>
        <v>Plazo fijo</v>
      </c>
      <c r="G240" s="33" t="str">
        <f>VLOOKUP(A240,BBDD!$1:$1048653,13,0)</f>
        <v>Coronel Rol Eventual</v>
      </c>
      <c r="H240" s="33" t="str">
        <f>VLOOKUP(A240,BBDD!$1:$1048653,14,0)</f>
        <v>Gerencia Corp. Negocio Seafood</v>
      </c>
      <c r="I240" s="33" t="str">
        <f>VLOOKUP(A240,BBDD!$1:$1048653,16,0)</f>
        <v>Temporada (Con ocasión Temporada de Pesca)</v>
      </c>
      <c r="J240" s="33" t="str">
        <f>VLOOKUP(A240,BBDD!$1:$1048653,17,0)</f>
        <v/>
      </c>
      <c r="K240" s="35">
        <f>VLOOKUP(A240,BBDD!$1:$1048653,12,0)</f>
        <v>45931</v>
      </c>
      <c r="L240" s="35" t="str">
        <f>VLOOKUP(A240,BBDD!$1:$1048653,3,0)</f>
        <v>Orizon S.A</v>
      </c>
      <c r="M240" s="35" t="str">
        <f>VLOOKUP(A240,BBDD!$1:$1048653,4,0)</f>
        <v>F4</v>
      </c>
      <c r="N240" s="35" t="str">
        <f>VLOOKUP(A240,BBDD!$1:$1048653,5,0)</f>
        <v>palvialvilla@gmail.com</v>
      </c>
      <c r="O240" s="36">
        <v>45979.0</v>
      </c>
      <c r="P240" s="32" t="s">
        <v>5582</v>
      </c>
      <c r="Q240" s="32" t="s">
        <v>5586</v>
      </c>
      <c r="R240" s="32" t="s">
        <v>5893</v>
      </c>
      <c r="S240" s="37"/>
      <c r="T240" s="32" t="s">
        <v>5585</v>
      </c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</row>
    <row r="241" ht="14.25" customHeight="1">
      <c r="A241" s="32">
        <v>2.0149546E7</v>
      </c>
      <c r="B241" s="33" t="str">
        <f>VLOOKUP(A241,BBDD!$1:$1048653,2,0)</f>
        <v>20.149.546-6</v>
      </c>
      <c r="C241" s="34" t="str">
        <f>VLOOKUP(A241,BBDD!$1:$1048653,7,0)</f>
        <v>Andaur Parra Francisco Ignacio</v>
      </c>
      <c r="D241" s="33" t="str">
        <f>VLOOKUP(A241,BBDD!$1:$1048653,8,0)</f>
        <v>Operario Apoyo Elaboracion</v>
      </c>
      <c r="E241" s="33" t="str">
        <f>VLOOKUP(A241,BBDD!$1:$1048653,10,0)</f>
        <v>Gerencia Producción Pesca</v>
      </c>
      <c r="F241" s="33" t="str">
        <f>VLOOKUP(A241,BBDD!$1:$1048653,11,0)</f>
        <v>Plazo fijo</v>
      </c>
      <c r="G241" s="33" t="str">
        <f>VLOOKUP(A241,BBDD!$1:$1048653,13,0)</f>
        <v>Coronel Rol Eventual</v>
      </c>
      <c r="H241" s="33" t="str">
        <f>VLOOKUP(A241,BBDD!$1:$1048653,14,0)</f>
        <v>Gerencia Corp. Negocio Seafood</v>
      </c>
      <c r="I241" s="33" t="str">
        <f>VLOOKUP(A241,BBDD!$1:$1048653,16,0)</f>
        <v>Temporada (Con ocasión Temporada de Pesca)</v>
      </c>
      <c r="J241" s="33" t="str">
        <f>VLOOKUP(A241,BBDD!$1:$1048653,17,0)</f>
        <v/>
      </c>
      <c r="K241" s="35">
        <f>VLOOKUP(A241,BBDD!$1:$1048653,12,0)</f>
        <v>45931</v>
      </c>
      <c r="L241" s="35" t="str">
        <f>VLOOKUP(A241,BBDD!$1:$1048653,3,0)</f>
        <v>Orizon S.A</v>
      </c>
      <c r="M241" s="35" t="str">
        <f>VLOOKUP(A241,BBDD!$1:$1048653,4,0)</f>
        <v>F2</v>
      </c>
      <c r="N241" s="35" t="str">
        <f>VLOOKUP(A241,BBDD!$1:$1048653,5,0)</f>
        <v>anaismoni123@gmail.com</v>
      </c>
      <c r="O241" s="36">
        <v>45979.0</v>
      </c>
      <c r="P241" s="32" t="s">
        <v>5582</v>
      </c>
      <c r="Q241" s="32" t="s">
        <v>5586</v>
      </c>
      <c r="R241" s="32" t="s">
        <v>5893</v>
      </c>
      <c r="S241" s="37"/>
      <c r="T241" s="32" t="s">
        <v>5585</v>
      </c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</row>
    <row r="242" ht="14.25" customHeight="1">
      <c r="A242" s="32">
        <v>1.0926581E7</v>
      </c>
      <c r="B242" s="33" t="str">
        <f>VLOOKUP(A242,BBDD!$1:$1048653,2,0)</f>
        <v>10.926.581-0</v>
      </c>
      <c r="C242" s="34" t="str">
        <f>VLOOKUP(A242,BBDD!$1:$1048653,7,0)</f>
        <v>Benitez Novoa Carolina Andrea</v>
      </c>
      <c r="D242" s="33" t="str">
        <f>VLOOKUP(A242,BBDD!$1:$1048653,8,0)</f>
        <v>Operario Apoyo Elaboracion</v>
      </c>
      <c r="E242" s="33" t="str">
        <f>VLOOKUP(A242,BBDD!$1:$1048653,10,0)</f>
        <v>Gerencia Producción Pesca</v>
      </c>
      <c r="F242" s="33" t="str">
        <f>VLOOKUP(A242,BBDD!$1:$1048653,11,0)</f>
        <v>Plazo fijo</v>
      </c>
      <c r="G242" s="33" t="str">
        <f>VLOOKUP(A242,BBDD!$1:$1048653,13,0)</f>
        <v>Coronel Rol Eventual</v>
      </c>
      <c r="H242" s="33" t="str">
        <f>VLOOKUP(A242,BBDD!$1:$1048653,14,0)</f>
        <v>Gerencia Corp. Negocio Seafood</v>
      </c>
      <c r="I242" s="33" t="str">
        <f>VLOOKUP(A242,BBDD!$1:$1048653,16,0)</f>
        <v>Temporada (Con ocasión Temporada de Pesca)</v>
      </c>
      <c r="J242" s="33" t="str">
        <f>VLOOKUP(A242,BBDD!$1:$1048653,17,0)</f>
        <v/>
      </c>
      <c r="K242" s="35">
        <f>VLOOKUP(A242,BBDD!$1:$1048653,12,0)</f>
        <v>45931</v>
      </c>
      <c r="L242" s="35" t="str">
        <f>VLOOKUP(A242,BBDD!$1:$1048653,3,0)</f>
        <v>Orizon S.A</v>
      </c>
      <c r="M242" s="35" t="str">
        <f>VLOOKUP(A242,BBDD!$1:$1048653,4,0)</f>
        <v>F4</v>
      </c>
      <c r="N242" s="35" t="str">
        <f>VLOOKUP(A242,BBDD!$1:$1048653,5,0)</f>
        <v>benitezcarola19761@gmail.com</v>
      </c>
      <c r="O242" s="36">
        <v>45979.0</v>
      </c>
      <c r="P242" s="32" t="s">
        <v>5582</v>
      </c>
      <c r="Q242" s="32" t="s">
        <v>5586</v>
      </c>
      <c r="R242" s="32" t="s">
        <v>5893</v>
      </c>
      <c r="S242" s="37"/>
      <c r="T242" s="32" t="s">
        <v>5585</v>
      </c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</row>
    <row r="243" ht="14.25" customHeight="1">
      <c r="A243" s="32">
        <v>1.2589096E7</v>
      </c>
      <c r="B243" s="33" t="str">
        <f>VLOOKUP(A243,BBDD!$1:$1048653,2,0)</f>
        <v>12.589.096-2</v>
      </c>
      <c r="C243" s="34" t="str">
        <f>VLOOKUP(A243,BBDD!$1:$1048653,7,0)</f>
        <v>Espina Arriagada Paula Andrea</v>
      </c>
      <c r="D243" s="33" t="str">
        <f>VLOOKUP(A243,BBDD!$1:$1048653,8,0)</f>
        <v>Operario Apoyo Elaboracion</v>
      </c>
      <c r="E243" s="33" t="str">
        <f>VLOOKUP(A243,BBDD!$1:$1048653,10,0)</f>
        <v>Gerencia Producción Pesca</v>
      </c>
      <c r="F243" s="33" t="str">
        <f>VLOOKUP(A243,BBDD!$1:$1048653,11,0)</f>
        <v>Plazo fijo</v>
      </c>
      <c r="G243" s="33" t="str">
        <f>VLOOKUP(A243,BBDD!$1:$1048653,13,0)</f>
        <v>Coronel Rol Eventual</v>
      </c>
      <c r="H243" s="33" t="str">
        <f>VLOOKUP(A243,BBDD!$1:$1048653,14,0)</f>
        <v>Gerencia Corp. Negocio Seafood</v>
      </c>
      <c r="I243" s="33" t="str">
        <f>VLOOKUP(A243,BBDD!$1:$1048653,16,0)</f>
        <v>Temporada (Con ocasión Temporada de Pesca)</v>
      </c>
      <c r="J243" s="33" t="str">
        <f>VLOOKUP(A243,BBDD!$1:$1048653,17,0)</f>
        <v/>
      </c>
      <c r="K243" s="35">
        <f>VLOOKUP(A243,BBDD!$1:$1048653,12,0)</f>
        <v>45931</v>
      </c>
      <c r="L243" s="35" t="str">
        <f>VLOOKUP(A243,BBDD!$1:$1048653,3,0)</f>
        <v>Orizon S.A</v>
      </c>
      <c r="M243" s="35" t="str">
        <f>VLOOKUP(A243,BBDD!$1:$1048653,4,0)</f>
        <v>F4</v>
      </c>
      <c r="N243" s="35" t="str">
        <f>VLOOKUP(A243,BBDD!$1:$1048653,5,0)</f>
        <v>paulaespina45@gmail.com</v>
      </c>
      <c r="O243" s="36">
        <v>45979.0</v>
      </c>
      <c r="P243" s="32" t="s">
        <v>5582</v>
      </c>
      <c r="Q243" s="32" t="s">
        <v>5586</v>
      </c>
      <c r="R243" s="32" t="s">
        <v>5893</v>
      </c>
      <c r="S243" s="37"/>
      <c r="T243" s="32" t="s">
        <v>5585</v>
      </c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</row>
    <row r="244" ht="14.25" customHeight="1">
      <c r="A244" s="32">
        <v>9687601.0</v>
      </c>
      <c r="B244" s="33" t="str">
        <f>VLOOKUP(A244,BBDD!$1:$1048653,2,0)</f>
        <v>9.687.601-7</v>
      </c>
      <c r="C244" s="34" t="str">
        <f>VLOOKUP(A244,BBDD!$1:$1048653,7,0)</f>
        <v>Garcia Monsalves Marisol Del Carmen</v>
      </c>
      <c r="D244" s="33" t="str">
        <f>VLOOKUP(A244,BBDD!$1:$1048653,8,0)</f>
        <v>Operario Apoyo Elaboracion</v>
      </c>
      <c r="E244" s="33" t="str">
        <f>VLOOKUP(A244,BBDD!$1:$1048653,10,0)</f>
        <v>Gerencia Producción Pesca</v>
      </c>
      <c r="F244" s="33" t="str">
        <f>VLOOKUP(A244,BBDD!$1:$1048653,11,0)</f>
        <v>Plazo fijo</v>
      </c>
      <c r="G244" s="33" t="str">
        <f>VLOOKUP(A244,BBDD!$1:$1048653,13,0)</f>
        <v>Coronel Rol Eventual</v>
      </c>
      <c r="H244" s="33" t="str">
        <f>VLOOKUP(A244,BBDD!$1:$1048653,14,0)</f>
        <v>Gerencia Corp. Negocio Seafood</v>
      </c>
      <c r="I244" s="33" t="str">
        <f>VLOOKUP(A244,BBDD!$1:$1048653,16,0)</f>
        <v>Temporada (Con ocasión Temporada de Pesca)</v>
      </c>
      <c r="J244" s="33" t="str">
        <f>VLOOKUP(A244,BBDD!$1:$1048653,17,0)</f>
        <v/>
      </c>
      <c r="K244" s="35">
        <f>VLOOKUP(A244,BBDD!$1:$1048653,12,0)</f>
        <v>45931</v>
      </c>
      <c r="L244" s="35" t="str">
        <f>VLOOKUP(A244,BBDD!$1:$1048653,3,0)</f>
        <v>Orizon S.A</v>
      </c>
      <c r="M244" s="35" t="str">
        <f>VLOOKUP(A244,BBDD!$1:$1048653,4,0)</f>
        <v>F4</v>
      </c>
      <c r="N244" s="35" t="str">
        <f>VLOOKUP(A244,BBDD!$1:$1048653,5,0)</f>
        <v>marisolgarciamonsalves@gmail.com</v>
      </c>
      <c r="O244" s="36">
        <v>45979.0</v>
      </c>
      <c r="P244" s="32" t="s">
        <v>5582</v>
      </c>
      <c r="Q244" s="32" t="s">
        <v>5586</v>
      </c>
      <c r="R244" s="32" t="s">
        <v>5893</v>
      </c>
      <c r="S244" s="37"/>
      <c r="T244" s="32" t="s">
        <v>5585</v>
      </c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</row>
    <row r="245" ht="14.25" customHeight="1">
      <c r="A245" s="32">
        <v>1.1617791E7</v>
      </c>
      <c r="B245" s="33" t="str">
        <f>VLOOKUP(A245,BBDD!$1:$1048653,2,0)</f>
        <v>11.617.791-9</v>
      </c>
      <c r="C245" s="34" t="str">
        <f>VLOOKUP(A245,BBDD!$1:$1048653,7,0)</f>
        <v>Guerra Parada Maria Ivonne</v>
      </c>
      <c r="D245" s="33" t="str">
        <f>VLOOKUP(A245,BBDD!$1:$1048653,8,0)</f>
        <v>Operario Apoyo Elaboracion</v>
      </c>
      <c r="E245" s="33" t="str">
        <f>VLOOKUP(A245,BBDD!$1:$1048653,10,0)</f>
        <v>Gerencia Producción Pesca</v>
      </c>
      <c r="F245" s="33" t="str">
        <f>VLOOKUP(A245,BBDD!$1:$1048653,11,0)</f>
        <v>Plazo fijo</v>
      </c>
      <c r="G245" s="33" t="str">
        <f>VLOOKUP(A245,BBDD!$1:$1048653,13,0)</f>
        <v>Coronel Rol Eventual</v>
      </c>
      <c r="H245" s="33" t="str">
        <f>VLOOKUP(A245,BBDD!$1:$1048653,14,0)</f>
        <v>Gerencia Corp. Negocio Seafood</v>
      </c>
      <c r="I245" s="33" t="str">
        <f>VLOOKUP(A245,BBDD!$1:$1048653,16,0)</f>
        <v>Temporada (Con ocasión Temporada de Pesca)</v>
      </c>
      <c r="J245" s="33" t="str">
        <f>VLOOKUP(A245,BBDD!$1:$1048653,17,0)</f>
        <v/>
      </c>
      <c r="K245" s="35">
        <f>VLOOKUP(A245,BBDD!$1:$1048653,12,0)</f>
        <v>45931</v>
      </c>
      <c r="L245" s="35" t="str">
        <f>VLOOKUP(A245,BBDD!$1:$1048653,3,0)</f>
        <v>Orizon S.A</v>
      </c>
      <c r="M245" s="35" t="str">
        <f>VLOOKUP(A245,BBDD!$1:$1048653,4,0)</f>
        <v>F5</v>
      </c>
      <c r="N245" s="35" t="str">
        <f>VLOOKUP(A245,BBDD!$1:$1048653,5,0)</f>
        <v>mariaguerra97parada@gmail.com</v>
      </c>
      <c r="O245" s="36">
        <v>45979.0</v>
      </c>
      <c r="P245" s="32" t="s">
        <v>5582</v>
      </c>
      <c r="Q245" s="32" t="s">
        <v>5586</v>
      </c>
      <c r="R245" s="32" t="s">
        <v>5893</v>
      </c>
      <c r="S245" s="37"/>
      <c r="T245" s="32" t="s">
        <v>5585</v>
      </c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</row>
    <row r="246" ht="14.25" customHeight="1">
      <c r="A246" s="32">
        <v>1.9531481E7</v>
      </c>
      <c r="B246" s="33" t="str">
        <f>VLOOKUP(A246,BBDD!$1:$1048653,2,0)</f>
        <v>19.531.481-0</v>
      </c>
      <c r="C246" s="34" t="str">
        <f>VLOOKUP(A246,BBDD!$1:$1048653,7,0)</f>
        <v>Martinez Reyes Luis Esteban</v>
      </c>
      <c r="D246" s="33" t="str">
        <f>VLOOKUP(A246,BBDD!$1:$1048653,8,0)</f>
        <v>Operario Apoyo Elaboracion</v>
      </c>
      <c r="E246" s="33" t="str">
        <f>VLOOKUP(A246,BBDD!$1:$1048653,10,0)</f>
        <v>Gerencia Producción Pesca</v>
      </c>
      <c r="F246" s="33" t="str">
        <f>VLOOKUP(A246,BBDD!$1:$1048653,11,0)</f>
        <v>Plazo fijo</v>
      </c>
      <c r="G246" s="33" t="str">
        <f>VLOOKUP(A246,BBDD!$1:$1048653,13,0)</f>
        <v>Coronel Rol Eventual</v>
      </c>
      <c r="H246" s="33" t="str">
        <f>VLOOKUP(A246,BBDD!$1:$1048653,14,0)</f>
        <v>Gerencia Corp. Negocio Seafood</v>
      </c>
      <c r="I246" s="33" t="str">
        <f>VLOOKUP(A246,BBDD!$1:$1048653,16,0)</f>
        <v>Temporada (Con ocasión Temporada de Pesca)</v>
      </c>
      <c r="J246" s="33" t="str">
        <f>VLOOKUP(A246,BBDD!$1:$1048653,17,0)</f>
        <v/>
      </c>
      <c r="K246" s="35">
        <f>VLOOKUP(A246,BBDD!$1:$1048653,12,0)</f>
        <v>45931</v>
      </c>
      <c r="L246" s="35" t="str">
        <f>VLOOKUP(A246,BBDD!$1:$1048653,3,0)</f>
        <v>Orizon S.A</v>
      </c>
      <c r="M246" s="35" t="str">
        <f>VLOOKUP(A246,BBDD!$1:$1048653,4,0)</f>
        <v>F2</v>
      </c>
      <c r="N246" s="35" t="str">
        <f>VLOOKUP(A246,BBDD!$1:$1048653,5,0)</f>
        <v>estebanmr416@gmail.com</v>
      </c>
      <c r="O246" s="36">
        <v>45979.0</v>
      </c>
      <c r="P246" s="32" t="s">
        <v>5582</v>
      </c>
      <c r="Q246" s="32" t="s">
        <v>5586</v>
      </c>
      <c r="R246" s="32" t="s">
        <v>5893</v>
      </c>
      <c r="S246" s="37"/>
      <c r="T246" s="32" t="s">
        <v>5585</v>
      </c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</row>
    <row r="247" ht="14.25" customHeight="1">
      <c r="A247" s="32">
        <v>1.4393543E7</v>
      </c>
      <c r="B247" s="33" t="str">
        <f>VLOOKUP(A247,BBDD!$1:$1048653,2,0)</f>
        <v>14.393.543-4</v>
      </c>
      <c r="C247" s="34" t="str">
        <f>VLOOKUP(A247,BBDD!$1:$1048653,7,0)</f>
        <v>Meza Alvarez Patricia Alejandra</v>
      </c>
      <c r="D247" s="33" t="str">
        <f>VLOOKUP(A247,BBDD!$1:$1048653,8,0)</f>
        <v>Operario Apoyo Elaboracion</v>
      </c>
      <c r="E247" s="33" t="str">
        <f>VLOOKUP(A247,BBDD!$1:$1048653,10,0)</f>
        <v>Gerencia Producción Pesca</v>
      </c>
      <c r="F247" s="33" t="str">
        <f>VLOOKUP(A247,BBDD!$1:$1048653,11,0)</f>
        <v>Plazo fijo</v>
      </c>
      <c r="G247" s="33" t="str">
        <f>VLOOKUP(A247,BBDD!$1:$1048653,13,0)</f>
        <v>Coronel Rol Eventual</v>
      </c>
      <c r="H247" s="33" t="str">
        <f>VLOOKUP(A247,BBDD!$1:$1048653,14,0)</f>
        <v>Gerencia Corp. Negocio Seafood</v>
      </c>
      <c r="I247" s="33" t="str">
        <f>VLOOKUP(A247,BBDD!$1:$1048653,16,0)</f>
        <v>Temporada (Con ocasión Temporada de Pesca)</v>
      </c>
      <c r="J247" s="33" t="str">
        <f>VLOOKUP(A247,BBDD!$1:$1048653,17,0)</f>
        <v/>
      </c>
      <c r="K247" s="35">
        <f>VLOOKUP(A247,BBDD!$1:$1048653,12,0)</f>
        <v>45931</v>
      </c>
      <c r="L247" s="35" t="str">
        <f>VLOOKUP(A247,BBDD!$1:$1048653,3,0)</f>
        <v>Orizon S.A</v>
      </c>
      <c r="M247" s="35" t="str">
        <f>VLOOKUP(A247,BBDD!$1:$1048653,4,0)</f>
        <v>F4</v>
      </c>
      <c r="N247" s="35" t="str">
        <f>VLOOKUP(A247,BBDD!$1:$1048653,5,0)</f>
        <v>patriciameza1978@gmail.com</v>
      </c>
      <c r="O247" s="36">
        <v>45979.0</v>
      </c>
      <c r="P247" s="32" t="s">
        <v>5582</v>
      </c>
      <c r="Q247" s="32" t="s">
        <v>5586</v>
      </c>
      <c r="R247" s="32" t="s">
        <v>5893</v>
      </c>
      <c r="S247" s="37"/>
      <c r="T247" s="32" t="s">
        <v>5585</v>
      </c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</row>
    <row r="248" ht="14.25" customHeight="1">
      <c r="A248" s="32">
        <v>1.5955083E7</v>
      </c>
      <c r="B248" s="33" t="str">
        <f>VLOOKUP(A248,BBDD!$1:$1048653,2,0)</f>
        <v>15.955.083-4</v>
      </c>
      <c r="C248" s="34" t="str">
        <f>VLOOKUP(A248,BBDD!$1:$1048653,7,0)</f>
        <v>Recabarren Recabarren Karen Vanessa</v>
      </c>
      <c r="D248" s="33" t="str">
        <f>VLOOKUP(A248,BBDD!$1:$1048653,8,0)</f>
        <v>Operario Apoyo Elaboracion</v>
      </c>
      <c r="E248" s="33" t="str">
        <f>VLOOKUP(A248,BBDD!$1:$1048653,10,0)</f>
        <v>Gerencia Producción Pesca</v>
      </c>
      <c r="F248" s="33" t="str">
        <f>VLOOKUP(A248,BBDD!$1:$1048653,11,0)</f>
        <v>Plazo fijo</v>
      </c>
      <c r="G248" s="33" t="str">
        <f>VLOOKUP(A248,BBDD!$1:$1048653,13,0)</f>
        <v>Coronel Rol Eventual</v>
      </c>
      <c r="H248" s="33" t="str">
        <f>VLOOKUP(A248,BBDD!$1:$1048653,14,0)</f>
        <v>Gerencia Corp. Negocio Seafood</v>
      </c>
      <c r="I248" s="33" t="str">
        <f>VLOOKUP(A248,BBDD!$1:$1048653,16,0)</f>
        <v>Temporada (Con ocasión Temporada de Pesca)</v>
      </c>
      <c r="J248" s="33" t="str">
        <f>VLOOKUP(A248,BBDD!$1:$1048653,17,0)</f>
        <v/>
      </c>
      <c r="K248" s="35">
        <f>VLOOKUP(A248,BBDD!$1:$1048653,12,0)</f>
        <v>45931</v>
      </c>
      <c r="L248" s="35" t="str">
        <f>VLOOKUP(A248,BBDD!$1:$1048653,3,0)</f>
        <v>Orizon S.A</v>
      </c>
      <c r="M248" s="35" t="str">
        <f>VLOOKUP(A248,BBDD!$1:$1048653,4,0)</f>
        <v>F2</v>
      </c>
      <c r="N248" s="35" t="str">
        <f>VLOOKUP(A248,BBDD!$1:$1048653,5,0)</f>
        <v>karenrecabarren.01@gmail.com</v>
      </c>
      <c r="O248" s="36">
        <v>45979.0</v>
      </c>
      <c r="P248" s="32" t="s">
        <v>5582</v>
      </c>
      <c r="Q248" s="32" t="s">
        <v>5586</v>
      </c>
      <c r="R248" s="32" t="s">
        <v>5893</v>
      </c>
      <c r="S248" s="37"/>
      <c r="T248" s="32" t="s">
        <v>5585</v>
      </c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</row>
    <row r="249" ht="14.25" customHeight="1">
      <c r="A249" s="32">
        <v>2.7021665E7</v>
      </c>
      <c r="B249" s="33" t="str">
        <f>VLOOKUP(A249,BBDD!$1:$1048653,2,0)</f>
        <v>27.021.665-k</v>
      </c>
      <c r="C249" s="34" t="str">
        <f>VLOOKUP(A249,BBDD!$1:$1048653,7,0)</f>
        <v>Rojas Parra Jean Carlos</v>
      </c>
      <c r="D249" s="33" t="str">
        <f>VLOOKUP(A249,BBDD!$1:$1048653,8,0)</f>
        <v>Operario Apoyo Elaboracion</v>
      </c>
      <c r="E249" s="33" t="str">
        <f>VLOOKUP(A249,BBDD!$1:$1048653,10,0)</f>
        <v>Gerencia Producción Pesca</v>
      </c>
      <c r="F249" s="33" t="str">
        <f>VLOOKUP(A249,BBDD!$1:$1048653,11,0)</f>
        <v>Plazo fijo</v>
      </c>
      <c r="G249" s="33" t="str">
        <f>VLOOKUP(A249,BBDD!$1:$1048653,13,0)</f>
        <v>Coronel Rol Eventual</v>
      </c>
      <c r="H249" s="33" t="str">
        <f>VLOOKUP(A249,BBDD!$1:$1048653,14,0)</f>
        <v>Gerencia Corp. Negocio Seafood</v>
      </c>
      <c r="I249" s="33" t="str">
        <f>VLOOKUP(A249,BBDD!$1:$1048653,16,0)</f>
        <v>Temporada (Con ocasión Temporada de Pesca)</v>
      </c>
      <c r="J249" s="33" t="str">
        <f>VLOOKUP(A249,BBDD!$1:$1048653,17,0)</f>
        <v/>
      </c>
      <c r="K249" s="35">
        <f>VLOOKUP(A249,BBDD!$1:$1048653,12,0)</f>
        <v>45931</v>
      </c>
      <c r="L249" s="35" t="str">
        <f>VLOOKUP(A249,BBDD!$1:$1048653,3,0)</f>
        <v>Orizon S.A</v>
      </c>
      <c r="M249" s="35" t="str">
        <f>VLOOKUP(A249,BBDD!$1:$1048653,4,0)</f>
        <v>F3</v>
      </c>
      <c r="N249" s="35" t="str">
        <f>VLOOKUP(A249,BBDD!$1:$1048653,5,0)</f>
        <v>jensse87@gmail.com</v>
      </c>
      <c r="O249" s="36">
        <v>45979.0</v>
      </c>
      <c r="P249" s="32" t="s">
        <v>5582</v>
      </c>
      <c r="Q249" s="32" t="s">
        <v>5586</v>
      </c>
      <c r="R249" s="32" t="s">
        <v>5893</v>
      </c>
      <c r="S249" s="37"/>
      <c r="T249" s="32" t="s">
        <v>5585</v>
      </c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</row>
    <row r="250" ht="14.25" customHeight="1">
      <c r="A250" s="32">
        <v>1.9531621E7</v>
      </c>
      <c r="B250" s="33" t="str">
        <f>VLOOKUP(A250,BBDD!$1:$1048653,2,0)</f>
        <v>19.531.621-k</v>
      </c>
      <c r="C250" s="34" t="str">
        <f>VLOOKUP(A250,BBDD!$1:$1048653,7,0)</f>
        <v>Rosales Venegas Alejandra Eugenia</v>
      </c>
      <c r="D250" s="33" t="str">
        <f>VLOOKUP(A250,BBDD!$1:$1048653,8,0)</f>
        <v>Operario Apoyo Elaboracion</v>
      </c>
      <c r="E250" s="33" t="str">
        <f>VLOOKUP(A250,BBDD!$1:$1048653,10,0)</f>
        <v>Gerencia Producción Pesca</v>
      </c>
      <c r="F250" s="33" t="str">
        <f>VLOOKUP(A250,BBDD!$1:$1048653,11,0)</f>
        <v>Plazo fijo</v>
      </c>
      <c r="G250" s="33" t="str">
        <f>VLOOKUP(A250,BBDD!$1:$1048653,13,0)</f>
        <v>Coronel Rol Eventual</v>
      </c>
      <c r="H250" s="33" t="str">
        <f>VLOOKUP(A250,BBDD!$1:$1048653,14,0)</f>
        <v>Gerencia Corp. Negocio Seafood</v>
      </c>
      <c r="I250" s="33" t="str">
        <f>VLOOKUP(A250,BBDD!$1:$1048653,16,0)</f>
        <v>Temporada (Con ocasión Temporada de Pesca)</v>
      </c>
      <c r="J250" s="33" t="str">
        <f>VLOOKUP(A250,BBDD!$1:$1048653,17,0)</f>
        <v/>
      </c>
      <c r="K250" s="35">
        <f>VLOOKUP(A250,BBDD!$1:$1048653,12,0)</f>
        <v>45931</v>
      </c>
      <c r="L250" s="35" t="str">
        <f>VLOOKUP(A250,BBDD!$1:$1048653,3,0)</f>
        <v>Orizon S.A</v>
      </c>
      <c r="M250" s="35" t="str">
        <f>VLOOKUP(A250,BBDD!$1:$1048653,4,0)</f>
        <v>F3</v>
      </c>
      <c r="N250" s="35" t="str">
        <f>VLOOKUP(A250,BBDD!$1:$1048653,5,0)</f>
        <v>alejandra.rosales.venegas@gmail.com</v>
      </c>
      <c r="O250" s="36">
        <v>45979.0</v>
      </c>
      <c r="P250" s="32" t="s">
        <v>5582</v>
      </c>
      <c r="Q250" s="32" t="s">
        <v>5586</v>
      </c>
      <c r="R250" s="32" t="s">
        <v>5893</v>
      </c>
      <c r="S250" s="37"/>
      <c r="T250" s="32" t="s">
        <v>5585</v>
      </c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</row>
    <row r="251" ht="14.25" customHeight="1">
      <c r="A251" s="32">
        <v>1.4462254E7</v>
      </c>
      <c r="B251" s="33" t="str">
        <f>VLOOKUP(A251,BBDD!$1:$1048653,2,0)</f>
        <v>14.462.254-5</v>
      </c>
      <c r="C251" s="34" t="str">
        <f>VLOOKUP(A251,BBDD!$1:$1048653,7,0)</f>
        <v>Saez Cisterna Eloisa Del Carmen</v>
      </c>
      <c r="D251" s="33" t="str">
        <f>VLOOKUP(A251,BBDD!$1:$1048653,8,0)</f>
        <v>Operario Apoyo Elaboracion</v>
      </c>
      <c r="E251" s="33" t="str">
        <f>VLOOKUP(A251,BBDD!$1:$1048653,10,0)</f>
        <v>Gerencia Producción Pesca</v>
      </c>
      <c r="F251" s="33" t="str">
        <f>VLOOKUP(A251,BBDD!$1:$1048653,11,0)</f>
        <v>Plazo fijo</v>
      </c>
      <c r="G251" s="33" t="str">
        <f>VLOOKUP(A251,BBDD!$1:$1048653,13,0)</f>
        <v>Coronel Rol Eventual</v>
      </c>
      <c r="H251" s="33" t="str">
        <f>VLOOKUP(A251,BBDD!$1:$1048653,14,0)</f>
        <v>Gerencia Corp. Negocio Seafood</v>
      </c>
      <c r="I251" s="33" t="str">
        <f>VLOOKUP(A251,BBDD!$1:$1048653,16,0)</f>
        <v>Temporada (Con ocasión Temporada de Pesca)</v>
      </c>
      <c r="J251" s="33" t="str">
        <f>VLOOKUP(A251,BBDD!$1:$1048653,17,0)</f>
        <v/>
      </c>
      <c r="K251" s="35">
        <f>VLOOKUP(A251,BBDD!$1:$1048653,12,0)</f>
        <v>45931</v>
      </c>
      <c r="L251" s="35" t="str">
        <f>VLOOKUP(A251,BBDD!$1:$1048653,3,0)</f>
        <v>Orizon S.A</v>
      </c>
      <c r="M251" s="35" t="str">
        <f>VLOOKUP(A251,BBDD!$1:$1048653,4,0)</f>
        <v>F3</v>
      </c>
      <c r="N251" s="35" t="str">
        <f>VLOOKUP(A251,BBDD!$1:$1048653,5,0)</f>
        <v>elosaez1971@gmail.com</v>
      </c>
      <c r="O251" s="36">
        <v>45979.0</v>
      </c>
      <c r="P251" s="32" t="s">
        <v>5582</v>
      </c>
      <c r="Q251" s="32" t="s">
        <v>5586</v>
      </c>
      <c r="R251" s="32" t="s">
        <v>5893</v>
      </c>
      <c r="S251" s="37"/>
      <c r="T251" s="32" t="s">
        <v>5585</v>
      </c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</row>
    <row r="252" ht="14.25" customHeight="1">
      <c r="A252" s="32">
        <v>1.9090305E7</v>
      </c>
      <c r="B252" s="33" t="str">
        <f>VLOOKUP(A252,BBDD!$1:$1048653,2,0)</f>
        <v>19.090.305-2</v>
      </c>
      <c r="C252" s="34" t="str">
        <f>VLOOKUP(A252,BBDD!$1:$1048653,7,0)</f>
        <v>Sanchez Villablanca David Moises</v>
      </c>
      <c r="D252" s="33" t="str">
        <f>VLOOKUP(A252,BBDD!$1:$1048653,8,0)</f>
        <v>Operario Apoyo Elaboracion</v>
      </c>
      <c r="E252" s="33" t="str">
        <f>VLOOKUP(A252,BBDD!$1:$1048653,10,0)</f>
        <v>Gerencia Producción Pesca</v>
      </c>
      <c r="F252" s="33" t="str">
        <f>VLOOKUP(A252,BBDD!$1:$1048653,11,0)</f>
        <v>Plazo fijo</v>
      </c>
      <c r="G252" s="33" t="str">
        <f>VLOOKUP(A252,BBDD!$1:$1048653,13,0)</f>
        <v>Coronel Rol Eventual</v>
      </c>
      <c r="H252" s="33" t="str">
        <f>VLOOKUP(A252,BBDD!$1:$1048653,14,0)</f>
        <v>Gerencia Corp. Negocio Seafood</v>
      </c>
      <c r="I252" s="33" t="str">
        <f>VLOOKUP(A252,BBDD!$1:$1048653,16,0)</f>
        <v>Temporada (Con ocasión Temporada de Pesca)</v>
      </c>
      <c r="J252" s="33" t="str">
        <f>VLOOKUP(A252,BBDD!$1:$1048653,17,0)</f>
        <v/>
      </c>
      <c r="K252" s="35">
        <f>VLOOKUP(A252,BBDD!$1:$1048653,12,0)</f>
        <v>45931</v>
      </c>
      <c r="L252" s="35" t="str">
        <f>VLOOKUP(A252,BBDD!$1:$1048653,3,0)</f>
        <v>Orizon S.A</v>
      </c>
      <c r="M252" s="35" t="str">
        <f>VLOOKUP(A252,BBDD!$1:$1048653,4,0)</f>
        <v>F3</v>
      </c>
      <c r="N252" s="35" t="str">
        <f>VLOOKUP(A252,BBDD!$1:$1048653,5,0)</f>
        <v>d.moisesanchez@gmail.com</v>
      </c>
      <c r="O252" s="36">
        <v>45979.0</v>
      </c>
      <c r="P252" s="32" t="s">
        <v>5582</v>
      </c>
      <c r="Q252" s="32" t="s">
        <v>5586</v>
      </c>
      <c r="R252" s="32" t="s">
        <v>5893</v>
      </c>
      <c r="S252" s="37"/>
      <c r="T252" s="32" t="s">
        <v>5585</v>
      </c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</row>
    <row r="253" ht="14.25" customHeight="1">
      <c r="A253" s="32">
        <v>2.0327334E7</v>
      </c>
      <c r="B253" s="33" t="str">
        <f>VLOOKUP(A253,BBDD!$1:$1048653,2,0)</f>
        <v>20.327.334-7</v>
      </c>
      <c r="C253" s="34" t="str">
        <f>VLOOKUP(A253,BBDD!$1:$1048653,7,0)</f>
        <v>Santibañez Gutierrez Francisca Javiera Scarlett</v>
      </c>
      <c r="D253" s="33" t="str">
        <f>VLOOKUP(A253,BBDD!$1:$1048653,8,0)</f>
        <v>Operario Apoyo Elaboracion</v>
      </c>
      <c r="E253" s="33" t="str">
        <f>VLOOKUP(A253,BBDD!$1:$1048653,10,0)</f>
        <v>Gerencia Producción Pesca</v>
      </c>
      <c r="F253" s="33" t="str">
        <f>VLOOKUP(A253,BBDD!$1:$1048653,11,0)</f>
        <v>Plazo fijo</v>
      </c>
      <c r="G253" s="33" t="str">
        <f>VLOOKUP(A253,BBDD!$1:$1048653,13,0)</f>
        <v>Coronel Rol Eventual</v>
      </c>
      <c r="H253" s="33" t="str">
        <f>VLOOKUP(A253,BBDD!$1:$1048653,14,0)</f>
        <v>Gerencia Corp. Negocio Seafood</v>
      </c>
      <c r="I253" s="33" t="str">
        <f>VLOOKUP(A253,BBDD!$1:$1048653,16,0)</f>
        <v>Temporada (Con ocasión Temporada de Pesca)</v>
      </c>
      <c r="J253" s="33" t="str">
        <f>VLOOKUP(A253,BBDD!$1:$1048653,17,0)</f>
        <v/>
      </c>
      <c r="K253" s="35">
        <f>VLOOKUP(A253,BBDD!$1:$1048653,12,0)</f>
        <v>45931</v>
      </c>
      <c r="L253" s="35" t="str">
        <f>VLOOKUP(A253,BBDD!$1:$1048653,3,0)</f>
        <v>Orizon S.A</v>
      </c>
      <c r="M253" s="35" t="str">
        <f>VLOOKUP(A253,BBDD!$1:$1048653,4,0)</f>
        <v>F3</v>
      </c>
      <c r="N253" s="35" t="str">
        <f>VLOOKUP(A253,BBDD!$1:$1048653,5,0)</f>
        <v>santibanezf218@gmail.com</v>
      </c>
      <c r="O253" s="36">
        <v>45979.0</v>
      </c>
      <c r="P253" s="32" t="s">
        <v>5582</v>
      </c>
      <c r="Q253" s="32" t="s">
        <v>5586</v>
      </c>
      <c r="R253" s="32" t="s">
        <v>5893</v>
      </c>
      <c r="S253" s="37"/>
      <c r="T253" s="32" t="s">
        <v>5585</v>
      </c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</row>
    <row r="254" ht="14.25" customHeight="1">
      <c r="A254" s="32">
        <v>1.8134971E7</v>
      </c>
      <c r="B254" s="33" t="str">
        <f>VLOOKUP(A254,BBDD!$1:$1048653,2,0)</f>
        <v>18.134.971-9</v>
      </c>
      <c r="C254" s="34" t="str">
        <f>VLOOKUP(A254,BBDD!$1:$1048653,7,0)</f>
        <v>Vera Martinez Jasmin Solange</v>
      </c>
      <c r="D254" s="33" t="str">
        <f>VLOOKUP(A254,BBDD!$1:$1048653,8,0)</f>
        <v>Operario Apoyo Elaboracion</v>
      </c>
      <c r="E254" s="33" t="str">
        <f>VLOOKUP(A254,BBDD!$1:$1048653,10,0)</f>
        <v>Gerencia Producción Pesca</v>
      </c>
      <c r="F254" s="33" t="str">
        <f>VLOOKUP(A254,BBDD!$1:$1048653,11,0)</f>
        <v>Plazo fijo</v>
      </c>
      <c r="G254" s="33" t="str">
        <f>VLOOKUP(A254,BBDD!$1:$1048653,13,0)</f>
        <v>Coronel Rol Eventual</v>
      </c>
      <c r="H254" s="33" t="str">
        <f>VLOOKUP(A254,BBDD!$1:$1048653,14,0)</f>
        <v>Gerencia Corp. Negocio Seafood</v>
      </c>
      <c r="I254" s="33" t="str">
        <f>VLOOKUP(A254,BBDD!$1:$1048653,16,0)</f>
        <v>Temporada (Con ocasión Temporada de Pesca)</v>
      </c>
      <c r="J254" s="33" t="str">
        <f>VLOOKUP(A254,BBDD!$1:$1048653,17,0)</f>
        <v/>
      </c>
      <c r="K254" s="35">
        <f>VLOOKUP(A254,BBDD!$1:$1048653,12,0)</f>
        <v>45931</v>
      </c>
      <c r="L254" s="35" t="str">
        <f>VLOOKUP(A254,BBDD!$1:$1048653,3,0)</f>
        <v>Orizon S.A</v>
      </c>
      <c r="M254" s="35" t="str">
        <f>VLOOKUP(A254,BBDD!$1:$1048653,4,0)</f>
        <v>F3</v>
      </c>
      <c r="N254" s="35" t="str">
        <f>VLOOKUP(A254,BBDD!$1:$1048653,5,0)</f>
        <v>verajasmink@gmail.com</v>
      </c>
      <c r="O254" s="36">
        <v>45979.0</v>
      </c>
      <c r="P254" s="32" t="s">
        <v>5582</v>
      </c>
      <c r="Q254" s="32" t="s">
        <v>5586</v>
      </c>
      <c r="R254" s="32" t="s">
        <v>5893</v>
      </c>
      <c r="S254" s="37"/>
      <c r="T254" s="32" t="s">
        <v>5585</v>
      </c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</row>
    <row r="255" ht="14.25" customHeight="1">
      <c r="A255" s="32">
        <v>2.0512961E7</v>
      </c>
      <c r="B255" s="33" t="str">
        <f>VLOOKUP(A255,BBDD!$1:$1048653,2,0)</f>
        <v>20.512.961-8</v>
      </c>
      <c r="C255" s="34" t="str">
        <f>VLOOKUP(A255,BBDD!$1:$1048653,7,0)</f>
        <v>Pavez Ancatrio Matias Alejandro</v>
      </c>
      <c r="D255" s="33" t="str">
        <f>VLOOKUP(A255,BBDD!$1:$1048653,8,0)</f>
        <v>Operario Apoyo Elaboracion</v>
      </c>
      <c r="E255" s="33" t="str">
        <f>VLOOKUP(A255,BBDD!$1:$1048653,10,0)</f>
        <v>Gerencia Producción Pesca</v>
      </c>
      <c r="F255" s="33" t="str">
        <f>VLOOKUP(A255,BBDD!$1:$1048653,11,0)</f>
        <v>Plazo fijo</v>
      </c>
      <c r="G255" s="33" t="str">
        <f>VLOOKUP(A255,BBDD!$1:$1048653,13,0)</f>
        <v>Coronel Rol Eventual</v>
      </c>
      <c r="H255" s="33" t="str">
        <f>VLOOKUP(A255,BBDD!$1:$1048653,14,0)</f>
        <v>Gerencia Corp. Negocio Seafood</v>
      </c>
      <c r="I255" s="33" t="str">
        <f>VLOOKUP(A255,BBDD!$1:$1048653,16,0)</f>
        <v>Temporada (Con ocasión Temporada de Pesca)</v>
      </c>
      <c r="J255" s="33" t="str">
        <f>VLOOKUP(A255,BBDD!$1:$1048653,17,0)</f>
        <v/>
      </c>
      <c r="K255" s="35">
        <f>VLOOKUP(A255,BBDD!$1:$1048653,12,0)</f>
        <v>45947</v>
      </c>
      <c r="L255" s="35" t="str">
        <f>VLOOKUP(A255,BBDD!$1:$1048653,3,0)</f>
        <v>Orizon S.A</v>
      </c>
      <c r="M255" s="35" t="str">
        <f>VLOOKUP(A255,BBDD!$1:$1048653,4,0)</f>
        <v>F1</v>
      </c>
      <c r="N255" s="35" t="str">
        <f>VLOOKUP(A255,BBDD!$1:$1048653,5,0)</f>
        <v>mpavez.2000@gmail.com</v>
      </c>
      <c r="O255" s="36">
        <v>45979.0</v>
      </c>
      <c r="P255" s="32" t="s">
        <v>5582</v>
      </c>
      <c r="Q255" s="32" t="s">
        <v>5838</v>
      </c>
      <c r="R255" s="32"/>
      <c r="S255" s="37"/>
      <c r="T255" s="32" t="s">
        <v>5585</v>
      </c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</row>
    <row r="256" ht="14.25" customHeight="1">
      <c r="A256" s="32">
        <v>1.0</v>
      </c>
      <c r="B256" s="33" t="str">
        <f>VLOOKUP(A256,BBDD!$1:$1048653,2,0)</f>
        <v>Usuario Externo</v>
      </c>
      <c r="C256" s="34" t="str">
        <f>VLOOKUP(A256,BBDD!$1:$1048653,7,0)</f>
        <v>Usuario Externo</v>
      </c>
      <c r="D256" s="33" t="str">
        <f>VLOOKUP(A256,BBDD!$1:$1048653,8,0)</f>
        <v>Usuario Externo</v>
      </c>
      <c r="E256" s="33" t="str">
        <f>VLOOKUP(A256,BBDD!$1:$1048653,10,0)</f>
        <v>Usuario Externo</v>
      </c>
      <c r="F256" s="33" t="str">
        <f>VLOOKUP(A256,BBDD!$1:$1048653,11,0)</f>
        <v>Usuario Externo</v>
      </c>
      <c r="G256" s="33" t="str">
        <f>VLOOKUP(A256,BBDD!$1:$1048653,13,0)</f>
        <v>Usuario Externo</v>
      </c>
      <c r="H256" s="33" t="str">
        <f>VLOOKUP(A256,BBDD!$1:$1048653,14,0)</f>
        <v>Usuario Externo</v>
      </c>
      <c r="I256" s="33" t="str">
        <f>VLOOKUP(A256,BBDD!$1:$1048653,16,0)</f>
        <v>Usuario Externo</v>
      </c>
      <c r="J256" s="33" t="str">
        <f>VLOOKUP(A256,BBDD!$1:$1048653,17,0)</f>
        <v/>
      </c>
      <c r="K256" s="35" t="str">
        <f>VLOOKUP(A256,BBDD!$1:$1048653,12,0)</f>
        <v>Usuario Externo</v>
      </c>
      <c r="L256" s="35" t="str">
        <f>VLOOKUP(A256,BBDD!$1:$1048653,3,0)</f>
        <v>Usuario Externo</v>
      </c>
      <c r="M256" s="35" t="str">
        <f>VLOOKUP(A256,BBDD!$1:$1048653,4,0)</f>
        <v>Usuario Externo</v>
      </c>
      <c r="N256" s="35" t="str">
        <f>VLOOKUP(A256,BBDD!$1:$1048653,5,0)</f>
        <v>Usuario Externo</v>
      </c>
      <c r="O256" s="36">
        <v>45979.0</v>
      </c>
      <c r="P256" s="32" t="s">
        <v>5582</v>
      </c>
      <c r="Q256" s="32" t="s">
        <v>5567</v>
      </c>
      <c r="R256" s="37"/>
      <c r="S256" s="37"/>
      <c r="T256" s="32" t="s">
        <v>5585</v>
      </c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</row>
    <row r="257" ht="14.25" customHeight="1">
      <c r="A257" s="32">
        <v>1.2303349E7</v>
      </c>
      <c r="B257" s="33" t="str">
        <f>VLOOKUP(A257,BBDD!$1:$1048653,2,0)</f>
        <v>12.303.349-3</v>
      </c>
      <c r="C257" s="34" t="str">
        <f>VLOOKUP(A257,BBDD!$1:$1048653,7,0)</f>
        <v>Jimenez Hernandez Omar Vicente</v>
      </c>
      <c r="D257" s="33" t="str">
        <f>VLOOKUP(A257,BBDD!$1:$1048653,8,0)</f>
        <v>Tripulante</v>
      </c>
      <c r="E257" s="33" t="str">
        <f>VLOOKUP(A257,BBDD!$1:$1048653,10,0)</f>
        <v>Gerencia de Flota y Abastecimiento de Materias Primas</v>
      </c>
      <c r="F257" s="33" t="str">
        <f>VLOOKUP(A257,BBDD!$1:$1048653,11,0)</f>
        <v>Indefinido</v>
      </c>
      <c r="G257" s="33" t="str">
        <f>VLOOKUP(A257,BBDD!$1:$1048653,13,0)</f>
        <v>Coronel Rol Flota</v>
      </c>
      <c r="H257" s="33" t="str">
        <f>VLOOKUP(A257,BBDD!$1:$1048653,14,0)</f>
        <v>Gerencia Corp. Negocio Seafood</v>
      </c>
      <c r="I257" s="33" t="str">
        <f>VLOOKUP(A257,BBDD!$1:$1048653,16,0)</f>
        <v>Rol General (Cargo permanente o proyección indefinido)</v>
      </c>
      <c r="J257" s="33" t="str">
        <f>VLOOKUP(A257,BBDD!$1:$1048653,17,0)</f>
        <v/>
      </c>
      <c r="K257" s="35">
        <f>VLOOKUP(A257,BBDD!$1:$1048653,12,0)</f>
        <v>44200</v>
      </c>
      <c r="L257" s="35" t="str">
        <f>VLOOKUP(A257,BBDD!$1:$1048653,3,0)</f>
        <v>Orizon S.A</v>
      </c>
      <c r="M257" s="35" t="str">
        <f>VLOOKUP(A257,BBDD!$1:$1048653,4,0)</f>
        <v>F1</v>
      </c>
      <c r="N257" s="35" t="str">
        <f>VLOOKUP(A257,BBDD!$1:$1048653,5,0)</f>
        <v>marcela.ts.jimenez@gmail.com</v>
      </c>
      <c r="O257" s="36">
        <v>45979.0</v>
      </c>
      <c r="P257" s="32" t="s">
        <v>5582</v>
      </c>
      <c r="Q257" s="32" t="s">
        <v>5606</v>
      </c>
      <c r="R257" s="32" t="s">
        <v>5894</v>
      </c>
      <c r="S257" s="37"/>
      <c r="T257" s="32" t="s">
        <v>5585</v>
      </c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</row>
    <row r="258" ht="14.25" customHeight="1">
      <c r="A258" s="41">
        <v>2.667102E7</v>
      </c>
      <c r="B258" s="33" t="str">
        <f>VLOOKUP(A258,BBDD!$1:$1048653,2,0)</f>
        <v>26.671.020-8</v>
      </c>
      <c r="C258" s="34" t="str">
        <f>VLOOKUP(A258,BBDD!$1:$1048653,7,0)</f>
        <v>Borges Mata Eleazar Jose</v>
      </c>
      <c r="D258" s="33" t="str">
        <f>VLOOKUP(A258,BBDD!$1:$1048653,8,0)</f>
        <v>Operario Apoyo Elaboracion</v>
      </c>
      <c r="E258" s="33" t="str">
        <f>VLOOKUP(A258,BBDD!$1:$1048653,10,0)</f>
        <v>Gerencia Producción Pesca</v>
      </c>
      <c r="F258" s="33" t="str">
        <f>VLOOKUP(A258,BBDD!$1:$1048653,11,0)</f>
        <v>Plazo fijo</v>
      </c>
      <c r="G258" s="33" t="str">
        <f>VLOOKUP(A258,BBDD!$1:$1048653,13,0)</f>
        <v>Coronel Rol Eventual</v>
      </c>
      <c r="H258" s="33" t="str">
        <f>VLOOKUP(A258,BBDD!$1:$1048653,14,0)</f>
        <v>Gerencia Corp. Negocio Seafood</v>
      </c>
      <c r="I258" s="33" t="str">
        <f>VLOOKUP(A258,BBDD!$1:$1048653,16,0)</f>
        <v>Temporada (Con ocasión Temporada de Pesca)</v>
      </c>
      <c r="J258" s="33" t="str">
        <f>VLOOKUP(A258,BBDD!$1:$1048653,17,0)</f>
        <v/>
      </c>
      <c r="K258" s="35">
        <f>VLOOKUP(A258,BBDD!$1:$1048653,12,0)</f>
        <v>45936</v>
      </c>
      <c r="L258" s="35" t="str">
        <f>VLOOKUP(A258,BBDD!$1:$1048653,3,0)</f>
        <v>Orizon S.A</v>
      </c>
      <c r="M258" s="35" t="str">
        <f>VLOOKUP(A258,BBDD!$1:$1048653,4,0)</f>
        <v>F5</v>
      </c>
      <c r="N258" s="35" t="str">
        <f>VLOOKUP(A258,BBDD!$1:$1048653,5,0)</f>
        <v>ELEAZARBORGES85@GMAIL.COM</v>
      </c>
      <c r="O258" s="36">
        <v>45979.0</v>
      </c>
      <c r="P258" s="32" t="s">
        <v>5582</v>
      </c>
      <c r="Q258" s="32" t="s">
        <v>5606</v>
      </c>
      <c r="R258" s="37"/>
      <c r="S258" s="37"/>
      <c r="T258" s="32" t="s">
        <v>5585</v>
      </c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  <c r="AG258" s="22"/>
      <c r="AH258" s="22"/>
      <c r="AI258" s="22"/>
      <c r="AJ258" s="22"/>
      <c r="AK258" s="22"/>
      <c r="AL258" s="22"/>
      <c r="AM258" s="22"/>
      <c r="AN258" s="22"/>
      <c r="AO258" s="22"/>
    </row>
    <row r="259" ht="14.25" customHeight="1">
      <c r="A259" s="32">
        <v>1.2381818E7</v>
      </c>
      <c r="B259" s="33" t="str">
        <f>VLOOKUP(A259,BBDD!$1:$1048653,2,0)</f>
        <v>12.381.818-0</v>
      </c>
      <c r="C259" s="34" t="str">
        <f>VLOOKUP(A259,BBDD!$1:$1048653,7,0)</f>
        <v>Suarez Becerra Alejandro Patricio</v>
      </c>
      <c r="D259" s="33" t="str">
        <f>VLOOKUP(A259,BBDD!$1:$1048653,8,0)</f>
        <v>Yomero Descargador</v>
      </c>
      <c r="E259" s="33" t="str">
        <f>VLOOKUP(A259,BBDD!$1:$1048653,10,0)</f>
        <v>Gerencia de Flota y Abastecimiento de Materias Primas</v>
      </c>
      <c r="F259" s="33" t="str">
        <f>VLOOKUP(A259,BBDD!$1:$1048653,11,0)</f>
        <v>Indefinido</v>
      </c>
      <c r="G259" s="33" t="str">
        <f>VLOOKUP(A259,BBDD!$1:$1048653,13,0)</f>
        <v>Coronel Rol Tierra</v>
      </c>
      <c r="H259" s="33" t="str">
        <f>VLOOKUP(A259,BBDD!$1:$1048653,14,0)</f>
        <v>Gerencia Corp. Negocio Seafood</v>
      </c>
      <c r="I259" s="33" t="str">
        <f>VLOOKUP(A259,BBDD!$1:$1048653,16,0)</f>
        <v>Rol General (Cargo permanente o proyección indefinido)</v>
      </c>
      <c r="J259" s="33" t="str">
        <f>VLOOKUP(A259,BBDD!$1:$1048653,17,0)</f>
        <v/>
      </c>
      <c r="K259" s="35">
        <f>VLOOKUP(A259,BBDD!$1:$1048653,12,0)</f>
        <v>40513</v>
      </c>
      <c r="L259" s="35" t="str">
        <f>VLOOKUP(A259,BBDD!$1:$1048653,3,0)</f>
        <v>Orizon S.A</v>
      </c>
      <c r="M259" s="35" t="str">
        <f>VLOOKUP(A259,BBDD!$1:$1048653,4,0)</f>
        <v>F1</v>
      </c>
      <c r="N259" s="35" t="str">
        <f>VLOOKUP(A259,BBDD!$1:$1048653,5,0)</f>
        <v>alejandrosuarezb9@gmail.com</v>
      </c>
      <c r="O259" s="36">
        <v>45979.0</v>
      </c>
      <c r="P259" s="32" t="s">
        <v>5594</v>
      </c>
      <c r="Q259" s="32" t="s">
        <v>5589</v>
      </c>
      <c r="R259" s="32" t="s">
        <v>5895</v>
      </c>
      <c r="S259" s="32" t="s">
        <v>5896</v>
      </c>
      <c r="T259" s="32" t="s">
        <v>5585</v>
      </c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  <c r="AF259" s="22"/>
      <c r="AG259" s="22"/>
      <c r="AH259" s="22"/>
      <c r="AI259" s="22"/>
      <c r="AJ259" s="22"/>
      <c r="AK259" s="22"/>
      <c r="AL259" s="22"/>
      <c r="AM259" s="22"/>
      <c r="AN259" s="22"/>
      <c r="AO259" s="22"/>
    </row>
    <row r="260" ht="14.25" customHeight="1">
      <c r="A260" s="32">
        <v>1.8950117E7</v>
      </c>
      <c r="B260" s="33" t="str">
        <f>VLOOKUP(A260,BBDD!$1:$1048653,2,0)</f>
        <v>18.950.117-k</v>
      </c>
      <c r="C260" s="34" t="str">
        <f>VLOOKUP(A260,BBDD!$1:$1048653,7,0)</f>
        <v>Jaure Cortez Belen Del Pilar</v>
      </c>
      <c r="D260" s="33" t="str">
        <f>VLOOKUP(A260,BBDD!$1:$1048653,8,0)</f>
        <v>Operario Apoyo Elaboracion</v>
      </c>
      <c r="E260" s="33" t="str">
        <f>VLOOKUP(A260,BBDD!$1:$1048653,10,0)</f>
        <v>Gerencia Producción Pesca</v>
      </c>
      <c r="F260" s="33" t="str">
        <f>VLOOKUP(A260,BBDD!$1:$1048653,11,0)</f>
        <v>Obra</v>
      </c>
      <c r="G260" s="33" t="str">
        <f>VLOOKUP(A260,BBDD!$1:$1048653,13,0)</f>
        <v>Coronel Rol Eventual</v>
      </c>
      <c r="H260" s="33" t="str">
        <f>VLOOKUP(A260,BBDD!$1:$1048653,14,0)</f>
        <v>Gerencia Corp. Negocio Seafood</v>
      </c>
      <c r="I260" s="33" t="str">
        <f>VLOOKUP(A260,BBDD!$1:$1048653,16,0)</f>
        <v>Temporada (Con ocasión Temporada de Pesca)</v>
      </c>
      <c r="J260" s="33" t="str">
        <f>VLOOKUP(A260,BBDD!$1:$1048653,17,0)</f>
        <v/>
      </c>
      <c r="K260" s="35">
        <f>VLOOKUP(A260,BBDD!$1:$1048653,12,0)</f>
        <v>45663</v>
      </c>
      <c r="L260" s="35" t="str">
        <f>VLOOKUP(A260,BBDD!$1:$1048653,3,0)</f>
        <v>Orizon S.A</v>
      </c>
      <c r="M260" s="35" t="str">
        <f>VLOOKUP(A260,BBDD!$1:$1048653,4,0)</f>
        <v>F1</v>
      </c>
      <c r="N260" s="35" t="str">
        <f>VLOOKUP(A260,BBDD!$1:$1048653,5,0)</f>
        <v>BELENJAURE73@GMAIL.COM</v>
      </c>
      <c r="O260" s="36">
        <v>45979.0</v>
      </c>
      <c r="P260" s="32" t="s">
        <v>5582</v>
      </c>
      <c r="Q260" s="32" t="s">
        <v>5586</v>
      </c>
      <c r="R260" s="37"/>
      <c r="S260" s="37"/>
      <c r="T260" s="32" t="s">
        <v>5585</v>
      </c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  <c r="AG260" s="22"/>
      <c r="AH260" s="22"/>
      <c r="AI260" s="22"/>
      <c r="AJ260" s="22"/>
      <c r="AK260" s="22"/>
      <c r="AL260" s="22"/>
      <c r="AM260" s="22"/>
      <c r="AN260" s="22"/>
      <c r="AO260" s="22"/>
    </row>
    <row r="261" ht="14.25" customHeight="1">
      <c r="A261" s="32">
        <v>1.9297636E7</v>
      </c>
      <c r="B261" s="33" t="str">
        <f>VLOOKUP(A261,BBDD!$1:$1048653,2,0)</f>
        <v>19297636-7</v>
      </c>
      <c r="C261" s="34" t="str">
        <f>VLOOKUP(A261,BBDD!$1:$1048653,7,0)</f>
        <v>Medina Ancamán Yerko</v>
      </c>
      <c r="D261" s="33" t="str">
        <f>VLOOKUP(A261,BBDD!$1:$1048653,8,0)</f>
        <v>MANTENEDOR ELECTROCONTROL</v>
      </c>
      <c r="E261" s="33" t="str">
        <f>VLOOKUP(A261,BBDD!$1:$1048653,10,0)</f>
        <v>Mantención Eléctrica</v>
      </c>
      <c r="F261" s="33" t="str">
        <f>VLOOKUP(A261,BBDD!$1:$1048653,11,0)</f>
        <v>Plazo fijo</v>
      </c>
      <c r="G261" s="33" t="str">
        <f>VLOOKUP(A261,BBDD!$1:$1048653,13,0)</f>
        <v>EST</v>
      </c>
      <c r="H261" s="33" t="str">
        <f>VLOOKUP(A261,BBDD!$1:$1048653,14,0)</f>
        <v>Gerencia Corp. Seafood</v>
      </c>
      <c r="I261" s="33" t="str">
        <f>VLOOKUP(A261,BBDD!$1:$1048653,16,0)</f>
        <v/>
      </c>
      <c r="J261" s="33" t="str">
        <f>VLOOKUP(A261,BBDD!$1:$1048653,17,0)</f>
        <v/>
      </c>
      <c r="K261" s="35">
        <f>VLOOKUP(A261,BBDD!$1:$1048653,12,0)</f>
        <v>45873</v>
      </c>
      <c r="L261" s="35" t="str">
        <f>VLOOKUP(A261,BBDD!$1:$1048653,3,0)</f>
        <v>EST</v>
      </c>
      <c r="M261" s="35" t="str">
        <f>VLOOKUP(A261,BBDD!$1:$1048653,4,0)</f>
        <v>F1</v>
      </c>
      <c r="N261" s="35" t="str">
        <f>VLOOKUP(A261,BBDD!$1:$1048653,5,0)</f>
        <v/>
      </c>
      <c r="O261" s="36">
        <v>45979.0</v>
      </c>
      <c r="P261" s="32" t="s">
        <v>5582</v>
      </c>
      <c r="Q261" s="32" t="s">
        <v>5586</v>
      </c>
      <c r="R261" s="37"/>
      <c r="S261" s="37"/>
      <c r="T261" s="32" t="s">
        <v>5585</v>
      </c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  <c r="AG261" s="22"/>
      <c r="AH261" s="22"/>
      <c r="AI261" s="22"/>
      <c r="AJ261" s="22"/>
      <c r="AK261" s="22"/>
      <c r="AL261" s="22"/>
      <c r="AM261" s="22"/>
      <c r="AN261" s="22"/>
      <c r="AO261" s="22"/>
    </row>
    <row r="262" ht="14.25" customHeight="1">
      <c r="A262" s="32">
        <v>7392217.0</v>
      </c>
      <c r="B262" s="33" t="str">
        <f>VLOOKUP(A262,BBDD!$1:$1048653,2,0)</f>
        <v>7.392.217-8</v>
      </c>
      <c r="C262" s="34" t="str">
        <f>VLOOKUP(A262,BBDD!$1:$1048653,7,0)</f>
        <v>Castro Hidalgo Daniel Del Transito</v>
      </c>
      <c r="D262" s="33" t="str">
        <f>VLOOKUP(A262,BBDD!$1:$1048653,8,0)</f>
        <v>Tripulante</v>
      </c>
      <c r="E262" s="33" t="str">
        <f>VLOOKUP(A262,BBDD!$1:$1048653,10,0)</f>
        <v>Gerencia de Flota y Abastecimiento de Materias Primas</v>
      </c>
      <c r="F262" s="33" t="str">
        <f>VLOOKUP(A262,BBDD!$1:$1048653,11,0)</f>
        <v>Indefinido</v>
      </c>
      <c r="G262" s="33" t="str">
        <f>VLOOKUP(A262,BBDD!$1:$1048653,13,0)</f>
        <v>Coronel Rol Flota</v>
      </c>
      <c r="H262" s="33" t="str">
        <f>VLOOKUP(A262,BBDD!$1:$1048653,14,0)</f>
        <v>Gerencia Corp. Negocio Seafood</v>
      </c>
      <c r="I262" s="33" t="str">
        <f>VLOOKUP(A262,BBDD!$1:$1048653,16,0)</f>
        <v>Rol General (Cargo permanente o proyección indefinido)</v>
      </c>
      <c r="J262" s="33" t="str">
        <f>VLOOKUP(A262,BBDD!$1:$1048653,17,0)</f>
        <v/>
      </c>
      <c r="K262" s="35">
        <f>VLOOKUP(A262,BBDD!$1:$1048653,12,0)</f>
        <v>42278</v>
      </c>
      <c r="L262" s="35" t="str">
        <f>VLOOKUP(A262,BBDD!$1:$1048653,3,0)</f>
        <v>Orizon S.A</v>
      </c>
      <c r="M262" s="35" t="str">
        <f>VLOOKUP(A262,BBDD!$1:$1048653,4,0)</f>
        <v>F1</v>
      </c>
      <c r="N262" s="35" t="str">
        <f>VLOOKUP(A262,BBDD!$1:$1048653,5,0)</f>
        <v>danielcastrohidalgo03@gmail.com</v>
      </c>
      <c r="O262" s="36">
        <v>45979.0</v>
      </c>
      <c r="P262" s="32" t="s">
        <v>5582</v>
      </c>
      <c r="Q262" s="32" t="s">
        <v>5599</v>
      </c>
      <c r="R262" s="32" t="s">
        <v>5897</v>
      </c>
      <c r="S262" s="37"/>
      <c r="T262" s="32" t="s">
        <v>5585</v>
      </c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  <c r="AF262" s="22"/>
      <c r="AG262" s="22"/>
      <c r="AH262" s="22"/>
      <c r="AI262" s="22"/>
      <c r="AJ262" s="22"/>
      <c r="AK262" s="22"/>
      <c r="AL262" s="22"/>
      <c r="AM262" s="22"/>
      <c r="AN262" s="22"/>
      <c r="AO262" s="22"/>
    </row>
    <row r="263" ht="14.25" customHeight="1">
      <c r="A263" s="32">
        <v>1.1241045E7</v>
      </c>
      <c r="B263" s="33" t="str">
        <f>VLOOKUP(A263,BBDD!$1:$1048653,2,0)</f>
        <v>11.241.045-7</v>
      </c>
      <c r="C263" s="34" t="str">
        <f>VLOOKUP(A263,BBDD!$1:$1048653,7,0)</f>
        <v>Zapata Lopez Soraya Marlen</v>
      </c>
      <c r="D263" s="33" t="str">
        <f>VLOOKUP(A263,BBDD!$1:$1048653,8,0)</f>
        <v>Operario Apoyo Elaboracion</v>
      </c>
      <c r="E263" s="33" t="str">
        <f>VLOOKUP(A263,BBDD!$1:$1048653,10,0)</f>
        <v>Gerencia Producción Pesca</v>
      </c>
      <c r="F263" s="33" t="str">
        <f>VLOOKUP(A263,BBDD!$1:$1048653,11,0)</f>
        <v>Plazo fijo</v>
      </c>
      <c r="G263" s="33" t="str">
        <f>VLOOKUP(A263,BBDD!$1:$1048653,13,0)</f>
        <v>Coronel Rol Eventual</v>
      </c>
      <c r="H263" s="33" t="str">
        <f>VLOOKUP(A263,BBDD!$1:$1048653,14,0)</f>
        <v>Gerencia Corp. Negocio Seafood</v>
      </c>
      <c r="I263" s="33" t="str">
        <f>VLOOKUP(A263,BBDD!$1:$1048653,16,0)</f>
        <v>Temporada (Con ocasión Temporada de Pesca)</v>
      </c>
      <c r="J263" s="33" t="str">
        <f>VLOOKUP(A263,BBDD!$1:$1048653,17,0)</f>
        <v/>
      </c>
      <c r="K263" s="35">
        <f>VLOOKUP(A263,BBDD!$1:$1048653,12,0)</f>
        <v>45940</v>
      </c>
      <c r="L263" s="35" t="str">
        <f>VLOOKUP(A263,BBDD!$1:$1048653,3,0)</f>
        <v>Orizon S.A</v>
      </c>
      <c r="M263" s="35" t="str">
        <f>VLOOKUP(A263,BBDD!$1:$1048653,4,0)</f>
        <v>F1</v>
      </c>
      <c r="N263" s="35" t="str">
        <f>VLOOKUP(A263,BBDD!$1:$1048653,5,0)</f>
        <v>marlenzapatalopez@gmail.com</v>
      </c>
      <c r="O263" s="36">
        <v>45979.0</v>
      </c>
      <c r="P263" s="32" t="s">
        <v>5582</v>
      </c>
      <c r="Q263" s="32" t="s">
        <v>5586</v>
      </c>
      <c r="R263" s="37"/>
      <c r="S263" s="37"/>
      <c r="T263" s="32" t="s">
        <v>5585</v>
      </c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  <c r="AG263" s="22"/>
      <c r="AH263" s="22"/>
      <c r="AI263" s="22"/>
      <c r="AJ263" s="22"/>
      <c r="AK263" s="22"/>
      <c r="AL263" s="22"/>
      <c r="AM263" s="22"/>
      <c r="AN263" s="22"/>
      <c r="AO263" s="22"/>
    </row>
    <row r="264" ht="14.25" customHeight="1">
      <c r="A264" s="32">
        <v>1.5529956E7</v>
      </c>
      <c r="B264" s="33" t="str">
        <f>VLOOKUP(A264,BBDD!$1:$1048653,2,0)</f>
        <v>15.529.956-8</v>
      </c>
      <c r="C264" s="34" t="str">
        <f>VLOOKUP(A264,BBDD!$1:$1048653,7,0)</f>
        <v>Carrasco Copelli Mariana Elizabeth</v>
      </c>
      <c r="D264" s="33" t="str">
        <f>VLOOKUP(A264,BBDD!$1:$1048653,8,0)</f>
        <v>Monitor(A) De Calidad</v>
      </c>
      <c r="E264" s="33" t="str">
        <f>VLOOKUP(A264,BBDD!$1:$1048653,10,0)</f>
        <v>Gerencia Gestión Integrada y Calidad</v>
      </c>
      <c r="F264" s="33" t="str">
        <f>VLOOKUP(A264,BBDD!$1:$1048653,11,0)</f>
        <v>Plazo fijo</v>
      </c>
      <c r="G264" s="33" t="str">
        <f>VLOOKUP(A264,BBDD!$1:$1048653,13,0)</f>
        <v>Coronel Rol Eventual</v>
      </c>
      <c r="H264" s="33" t="str">
        <f>VLOOKUP(A264,BBDD!$1:$1048653,14,0)</f>
        <v>Gerencia Corp. Negocio Seafood</v>
      </c>
      <c r="I264" s="33" t="str">
        <f>VLOOKUP(A264,BBDD!$1:$1048653,16,0)</f>
        <v>Temporada (Con ocasión Temporada de Pesca)</v>
      </c>
      <c r="J264" s="33" t="str">
        <f>VLOOKUP(A264,BBDD!$1:$1048653,17,0)</f>
        <v/>
      </c>
      <c r="K264" s="35">
        <f>VLOOKUP(A264,BBDD!$1:$1048653,12,0)</f>
        <v>45968</v>
      </c>
      <c r="L264" s="35" t="str">
        <f>VLOOKUP(A264,BBDD!$1:$1048653,3,0)</f>
        <v>Orizon S.A</v>
      </c>
      <c r="M264" s="35" t="str">
        <f>VLOOKUP(A264,BBDD!$1:$1048653,4,0)</f>
        <v>F5</v>
      </c>
      <c r="N264" s="35" t="str">
        <f>VLOOKUP(A264,BBDD!$1:$1048653,5,0)</f>
        <v>MARYCARRASCO117@GMAIL.COM</v>
      </c>
      <c r="O264" s="36">
        <v>45979.0</v>
      </c>
      <c r="P264" s="32" t="s">
        <v>5582</v>
      </c>
      <c r="Q264" s="32" t="s">
        <v>5586</v>
      </c>
      <c r="R264" s="32" t="s">
        <v>5898</v>
      </c>
      <c r="S264" s="32" t="s">
        <v>5899</v>
      </c>
      <c r="T264" s="32" t="s">
        <v>5585</v>
      </c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  <c r="AI264" s="22"/>
      <c r="AJ264" s="22"/>
      <c r="AK264" s="22"/>
      <c r="AL264" s="22"/>
      <c r="AM264" s="22"/>
      <c r="AN264" s="22"/>
      <c r="AO264" s="22"/>
    </row>
    <row r="265" ht="14.25" customHeight="1">
      <c r="A265" s="32">
        <v>9279811.0</v>
      </c>
      <c r="B265" s="33" t="str">
        <f>VLOOKUP(A265,BBDD!$1:$1048653,2,0)</f>
        <v>9.279.811-9</v>
      </c>
      <c r="C265" s="34" t="str">
        <f>VLOOKUP(A265,BBDD!$1:$1048653,7,0)</f>
        <v>Guzman Gallardo Segundo Rene</v>
      </c>
      <c r="D265" s="33" t="str">
        <f>VLOOKUP(A265,BBDD!$1:$1048653,8,0)</f>
        <v>Operario Apoyo Elaboracion</v>
      </c>
      <c r="E265" s="33" t="str">
        <f>VLOOKUP(A265,BBDD!$1:$1048653,10,0)</f>
        <v>Gerencia Producción Pesca</v>
      </c>
      <c r="F265" s="33" t="str">
        <f>VLOOKUP(A265,BBDD!$1:$1048653,11,0)</f>
        <v>Plazo fijo</v>
      </c>
      <c r="G265" s="33" t="str">
        <f>VLOOKUP(A265,BBDD!$1:$1048653,13,0)</f>
        <v>Coronel Rol Eventual</v>
      </c>
      <c r="H265" s="33" t="str">
        <f>VLOOKUP(A265,BBDD!$1:$1048653,14,0)</f>
        <v>Gerencia Corp. Negocio Seafood</v>
      </c>
      <c r="I265" s="33" t="str">
        <f>VLOOKUP(A265,BBDD!$1:$1048653,16,0)</f>
        <v>Temporada (Con ocasión Temporada de Pesca)</v>
      </c>
      <c r="J265" s="33" t="str">
        <f>VLOOKUP(A265,BBDD!$1:$1048653,17,0)</f>
        <v/>
      </c>
      <c r="K265" s="35">
        <f>VLOOKUP(A265,BBDD!$1:$1048653,12,0)</f>
        <v>45941</v>
      </c>
      <c r="L265" s="35" t="str">
        <f>VLOOKUP(A265,BBDD!$1:$1048653,3,0)</f>
        <v>Orizon S.A</v>
      </c>
      <c r="M265" s="35" t="str">
        <f>VLOOKUP(A265,BBDD!$1:$1048653,4,0)</f>
        <v>F1</v>
      </c>
      <c r="N265" s="35" t="str">
        <f>VLOOKUP(A265,BBDD!$1:$1048653,5,0)</f>
        <v>reneguzman009@gmail.com</v>
      </c>
      <c r="O265" s="36">
        <v>45979.0</v>
      </c>
      <c r="P265" s="32" t="s">
        <v>5582</v>
      </c>
      <c r="Q265" s="32" t="s">
        <v>5597</v>
      </c>
      <c r="R265" s="37"/>
      <c r="S265" s="37"/>
      <c r="T265" s="32" t="s">
        <v>5585</v>
      </c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  <c r="AF265" s="22"/>
      <c r="AG265" s="22"/>
      <c r="AH265" s="22"/>
      <c r="AI265" s="22"/>
      <c r="AJ265" s="22"/>
      <c r="AK265" s="22"/>
      <c r="AL265" s="22"/>
      <c r="AM265" s="22"/>
      <c r="AN265" s="22"/>
      <c r="AO265" s="22"/>
    </row>
    <row r="266" ht="14.25" customHeight="1">
      <c r="A266" s="32">
        <v>1.6230115E7</v>
      </c>
      <c r="B266" s="33" t="str">
        <f>VLOOKUP(A266,BBDD!$1:$1048653,2,0)</f>
        <v>16.230.115-2</v>
      </c>
      <c r="C266" s="34" t="str">
        <f>VLOOKUP(A266,BBDD!$1:$1048653,7,0)</f>
        <v>Urra Rodriguez Priscilla Vanessa</v>
      </c>
      <c r="D266" s="33" t="str">
        <f>VLOOKUP(A266,BBDD!$1:$1048653,8,0)</f>
        <v>Operario Apoyo Elaboracion</v>
      </c>
      <c r="E266" s="33" t="str">
        <f>VLOOKUP(A266,BBDD!$1:$1048653,10,0)</f>
        <v>Gerencia Producción Pesca</v>
      </c>
      <c r="F266" s="33" t="str">
        <f>VLOOKUP(A266,BBDD!$1:$1048653,11,0)</f>
        <v>Plazo fijo</v>
      </c>
      <c r="G266" s="33" t="str">
        <f>VLOOKUP(A266,BBDD!$1:$1048653,13,0)</f>
        <v>Coronel Rol Eventual</v>
      </c>
      <c r="H266" s="33" t="str">
        <f>VLOOKUP(A266,BBDD!$1:$1048653,14,0)</f>
        <v>Gerencia Corp. Negocio Seafood</v>
      </c>
      <c r="I266" s="33" t="str">
        <f>VLOOKUP(A266,BBDD!$1:$1048653,16,0)</f>
        <v>Temporada (Con ocasión Temporada de Pesca)</v>
      </c>
      <c r="J266" s="33" t="str">
        <f>VLOOKUP(A266,BBDD!$1:$1048653,17,0)</f>
        <v/>
      </c>
      <c r="K266" s="35">
        <f>VLOOKUP(A266,BBDD!$1:$1048653,12,0)</f>
        <v>45931</v>
      </c>
      <c r="L266" s="35" t="str">
        <f>VLOOKUP(A266,BBDD!$1:$1048653,3,0)</f>
        <v>Orizon S.A</v>
      </c>
      <c r="M266" s="35" t="str">
        <f>VLOOKUP(A266,BBDD!$1:$1048653,4,0)</f>
        <v>F6</v>
      </c>
      <c r="N266" s="35" t="str">
        <f>VLOOKUP(A266,BBDD!$1:$1048653,5,0)</f>
        <v>prisciurra2016@gmail.com</v>
      </c>
      <c r="O266" s="36">
        <v>45979.0</v>
      </c>
      <c r="P266" s="32" t="s">
        <v>5582</v>
      </c>
      <c r="Q266" s="32" t="s">
        <v>1323</v>
      </c>
      <c r="R266" s="32" t="s">
        <v>5900</v>
      </c>
      <c r="S266" s="37"/>
      <c r="T266" s="32" t="s">
        <v>5585</v>
      </c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  <c r="AF266" s="22"/>
      <c r="AG266" s="22"/>
      <c r="AH266" s="22"/>
      <c r="AI266" s="22"/>
      <c r="AJ266" s="22"/>
      <c r="AK266" s="22"/>
      <c r="AL266" s="22"/>
      <c r="AM266" s="22"/>
      <c r="AN266" s="22"/>
      <c r="AO266" s="22"/>
    </row>
    <row r="267" ht="14.25" customHeight="1">
      <c r="A267" s="32">
        <v>1.6999554E7</v>
      </c>
      <c r="B267" s="33" t="str">
        <f>VLOOKUP(A267,BBDD!$1:$1048653,2,0)</f>
        <v>16.999.554-0</v>
      </c>
      <c r="C267" s="34" t="str">
        <f>VLOOKUP(A267,BBDD!$1:$1048653,7,0)</f>
        <v>Oliva Quiroz Marta Alejandra</v>
      </c>
      <c r="D267" s="33" t="str">
        <f>VLOOKUP(A267,BBDD!$1:$1048653,8,0)</f>
        <v>Operario Apoyo Elaboracion</v>
      </c>
      <c r="E267" s="33" t="str">
        <f>VLOOKUP(A267,BBDD!$1:$1048653,10,0)</f>
        <v>Gerencia Producción Pesca</v>
      </c>
      <c r="F267" s="33" t="str">
        <f>VLOOKUP(A267,BBDD!$1:$1048653,11,0)</f>
        <v>Plazo fijo</v>
      </c>
      <c r="G267" s="33" t="str">
        <f>VLOOKUP(A267,BBDD!$1:$1048653,13,0)</f>
        <v>Coronel Rol Eventual</v>
      </c>
      <c r="H267" s="33" t="str">
        <f>VLOOKUP(A267,BBDD!$1:$1048653,14,0)</f>
        <v>Gerencia Corp. Negocio Seafood</v>
      </c>
      <c r="I267" s="33" t="str">
        <f>VLOOKUP(A267,BBDD!$1:$1048653,16,0)</f>
        <v>Temporada (Con ocasión Temporada de Pesca)</v>
      </c>
      <c r="J267" s="33" t="str">
        <f>VLOOKUP(A267,BBDD!$1:$1048653,17,0)</f>
        <v/>
      </c>
      <c r="K267" s="35">
        <f>VLOOKUP(A267,BBDD!$1:$1048653,12,0)</f>
        <v>45931</v>
      </c>
      <c r="L267" s="35" t="str">
        <f>VLOOKUP(A267,BBDD!$1:$1048653,3,0)</f>
        <v>Orizon S.A</v>
      </c>
      <c r="M267" s="35" t="str">
        <f>VLOOKUP(A267,BBDD!$1:$1048653,4,0)</f>
        <v>F5</v>
      </c>
      <c r="N267" s="35" t="str">
        <f>VLOOKUP(A267,BBDD!$1:$1048653,5,0)</f>
        <v>olivaquiroz72@gmail.com</v>
      </c>
      <c r="O267" s="36">
        <v>45979.0</v>
      </c>
      <c r="P267" s="32" t="s">
        <v>5582</v>
      </c>
      <c r="Q267" s="32" t="s">
        <v>1323</v>
      </c>
      <c r="R267" s="32" t="s">
        <v>5900</v>
      </c>
      <c r="S267" s="37"/>
      <c r="T267" s="32" t="s">
        <v>5585</v>
      </c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  <c r="AF267" s="22"/>
      <c r="AG267" s="22"/>
      <c r="AH267" s="22"/>
      <c r="AI267" s="22"/>
      <c r="AJ267" s="22"/>
      <c r="AK267" s="22"/>
      <c r="AL267" s="22"/>
      <c r="AM267" s="22"/>
      <c r="AN267" s="22"/>
      <c r="AO267" s="22"/>
    </row>
    <row r="268" ht="14.25" customHeight="1">
      <c r="A268" s="32">
        <v>9528676.0</v>
      </c>
      <c r="B268" s="33" t="str">
        <f>VLOOKUP(A268,BBDD!$1:$1048653,2,0)</f>
        <v>9.528.676-3</v>
      </c>
      <c r="C268" s="34" t="str">
        <f>VLOOKUP(A268,BBDD!$1:$1048653,7,0)</f>
        <v>Uribe Peña Palmenia Cecilia</v>
      </c>
      <c r="D268" s="33" t="str">
        <f>VLOOKUP(A268,BBDD!$1:$1048653,8,0)</f>
        <v>Operario Apoyo Elaboracion</v>
      </c>
      <c r="E268" s="33" t="str">
        <f>VLOOKUP(A268,BBDD!$1:$1048653,10,0)</f>
        <v>Gerencia Producción Pesca</v>
      </c>
      <c r="F268" s="33" t="str">
        <f>VLOOKUP(A268,BBDD!$1:$1048653,11,0)</f>
        <v>Plazo fijo</v>
      </c>
      <c r="G268" s="33" t="str">
        <f>VLOOKUP(A268,BBDD!$1:$1048653,13,0)</f>
        <v>Coronel Rol Eventual</v>
      </c>
      <c r="H268" s="33" t="str">
        <f>VLOOKUP(A268,BBDD!$1:$1048653,14,0)</f>
        <v>Gerencia Corp. Negocio Seafood</v>
      </c>
      <c r="I268" s="33" t="str">
        <f>VLOOKUP(A268,BBDD!$1:$1048653,16,0)</f>
        <v>Temporada (Con ocasión Temporada de Pesca)</v>
      </c>
      <c r="J268" s="33" t="str">
        <f>VLOOKUP(A268,BBDD!$1:$1048653,17,0)</f>
        <v/>
      </c>
      <c r="K268" s="35">
        <f>VLOOKUP(A268,BBDD!$1:$1048653,12,0)</f>
        <v>45931</v>
      </c>
      <c r="L268" s="35" t="str">
        <f>VLOOKUP(A268,BBDD!$1:$1048653,3,0)</f>
        <v>Orizon S.A</v>
      </c>
      <c r="M268" s="35" t="str">
        <f>VLOOKUP(A268,BBDD!$1:$1048653,4,0)</f>
        <v>F4</v>
      </c>
      <c r="N268" s="35" t="str">
        <f>VLOOKUP(A268,BBDD!$1:$1048653,5,0)</f>
        <v>palmeniauribep@gmail.com</v>
      </c>
      <c r="O268" s="36">
        <v>45979.0</v>
      </c>
      <c r="P268" s="32" t="s">
        <v>5582</v>
      </c>
      <c r="Q268" s="32" t="s">
        <v>5586</v>
      </c>
      <c r="R268" s="32" t="s">
        <v>5901</v>
      </c>
      <c r="S268" s="37"/>
      <c r="T268" s="32" t="s">
        <v>5585</v>
      </c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  <c r="AF268" s="22"/>
      <c r="AG268" s="22"/>
      <c r="AH268" s="22"/>
      <c r="AI268" s="22"/>
      <c r="AJ268" s="22"/>
      <c r="AK268" s="22"/>
      <c r="AL268" s="22"/>
      <c r="AM268" s="22"/>
      <c r="AN268" s="22"/>
      <c r="AO268" s="22"/>
    </row>
    <row r="269" ht="14.25" customHeight="1">
      <c r="A269" s="32">
        <v>1.7896919E7</v>
      </c>
      <c r="B269" s="33" t="str">
        <f>VLOOKUP(A269,BBDD!$1:$1048653,2,0)</f>
        <v>17.896.919-6</v>
      </c>
      <c r="C269" s="34" t="str">
        <f>VLOOKUP(A269,BBDD!$1:$1048653,7,0)</f>
        <v>Figueroa Martinez Alejandra Jacqueline</v>
      </c>
      <c r="D269" s="33" t="str">
        <f>VLOOKUP(A269,BBDD!$1:$1048653,8,0)</f>
        <v>Operario Apoyo Elaboracion</v>
      </c>
      <c r="E269" s="33" t="str">
        <f>VLOOKUP(A269,BBDD!$1:$1048653,10,0)</f>
        <v>Gerencia Producción Pesca</v>
      </c>
      <c r="F269" s="33" t="str">
        <f>VLOOKUP(A269,BBDD!$1:$1048653,11,0)</f>
        <v>Plazo fijo</v>
      </c>
      <c r="G269" s="33" t="str">
        <f>VLOOKUP(A269,BBDD!$1:$1048653,13,0)</f>
        <v>Coronel Rol Eventual</v>
      </c>
      <c r="H269" s="33" t="str">
        <f>VLOOKUP(A269,BBDD!$1:$1048653,14,0)</f>
        <v>Gerencia Corp. Negocio Seafood</v>
      </c>
      <c r="I269" s="33" t="str">
        <f>VLOOKUP(A269,BBDD!$1:$1048653,16,0)</f>
        <v>Temporada (Con ocasión Temporada de Pesca)</v>
      </c>
      <c r="J269" s="33" t="str">
        <f>VLOOKUP(A269,BBDD!$1:$1048653,17,0)</f>
        <v/>
      </c>
      <c r="K269" s="35">
        <f>VLOOKUP(A269,BBDD!$1:$1048653,12,0)</f>
        <v>45940</v>
      </c>
      <c r="L269" s="35" t="str">
        <f>VLOOKUP(A269,BBDD!$1:$1048653,3,0)</f>
        <v>Orizon S.A</v>
      </c>
      <c r="M269" s="35" t="str">
        <f>VLOOKUP(A269,BBDD!$1:$1048653,4,0)</f>
        <v>F5</v>
      </c>
      <c r="N269" s="35" t="str">
        <f>VLOOKUP(A269,BBDD!$1:$1048653,5,0)</f>
        <v>AF2714887@GMAIL.COM</v>
      </c>
      <c r="O269" s="36">
        <v>45978.0</v>
      </c>
      <c r="P269" s="32" t="s">
        <v>5582</v>
      </c>
      <c r="Q269" s="32" t="s">
        <v>5586</v>
      </c>
      <c r="R269" s="32" t="s">
        <v>5901</v>
      </c>
      <c r="S269" s="37"/>
      <c r="T269" s="32" t="s">
        <v>5585</v>
      </c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  <c r="AG269" s="22"/>
      <c r="AH269" s="22"/>
      <c r="AI269" s="22"/>
      <c r="AJ269" s="22"/>
      <c r="AK269" s="22"/>
      <c r="AL269" s="22"/>
      <c r="AM269" s="22"/>
      <c r="AN269" s="22"/>
      <c r="AO269" s="22"/>
    </row>
    <row r="270" ht="14.25" customHeight="1">
      <c r="A270" s="32">
        <v>1.0</v>
      </c>
      <c r="B270" s="33" t="str">
        <f>VLOOKUP(A270,BBDD!$1:$1048653,2,0)</f>
        <v>Usuario Externo</v>
      </c>
      <c r="C270" s="34" t="str">
        <f>VLOOKUP(A270,BBDD!$1:$1048653,7,0)</f>
        <v>Usuario Externo</v>
      </c>
      <c r="D270" s="33" t="str">
        <f>VLOOKUP(A270,BBDD!$1:$1048653,8,0)</f>
        <v>Usuario Externo</v>
      </c>
      <c r="E270" s="33" t="str">
        <f>VLOOKUP(A270,BBDD!$1:$1048653,10,0)</f>
        <v>Usuario Externo</v>
      </c>
      <c r="F270" s="33" t="str">
        <f>VLOOKUP(A270,BBDD!$1:$1048653,11,0)</f>
        <v>Usuario Externo</v>
      </c>
      <c r="G270" s="33" t="str">
        <f>VLOOKUP(A270,BBDD!$1:$1048653,13,0)</f>
        <v>Usuario Externo</v>
      </c>
      <c r="H270" s="33" t="str">
        <f>VLOOKUP(A270,BBDD!$1:$1048653,14,0)</f>
        <v>Usuario Externo</v>
      </c>
      <c r="I270" s="33" t="str">
        <f>VLOOKUP(A270,BBDD!$1:$1048653,16,0)</f>
        <v>Usuario Externo</v>
      </c>
      <c r="J270" s="33" t="str">
        <f>VLOOKUP(A270,BBDD!$1:$1048653,17,0)</f>
        <v/>
      </c>
      <c r="K270" s="35" t="str">
        <f>VLOOKUP(A270,BBDD!$1:$1048653,12,0)</f>
        <v>Usuario Externo</v>
      </c>
      <c r="L270" s="35" t="str">
        <f>VLOOKUP(A270,BBDD!$1:$1048653,3,0)</f>
        <v>Usuario Externo</v>
      </c>
      <c r="M270" s="35" t="str">
        <f>VLOOKUP(A270,BBDD!$1:$1048653,4,0)</f>
        <v>Usuario Externo</v>
      </c>
      <c r="N270" s="35" t="str">
        <f>VLOOKUP(A270,BBDD!$1:$1048653,5,0)</f>
        <v>Usuario Externo</v>
      </c>
      <c r="O270" s="36">
        <v>45978.0</v>
      </c>
      <c r="P270" s="32" t="s">
        <v>5582</v>
      </c>
      <c r="Q270" s="32" t="s">
        <v>5598</v>
      </c>
      <c r="R270" s="32" t="s">
        <v>5902</v>
      </c>
      <c r="S270" s="37"/>
      <c r="T270" s="32" t="s">
        <v>5585</v>
      </c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  <c r="AG270" s="22"/>
      <c r="AH270" s="22"/>
      <c r="AI270" s="22"/>
      <c r="AJ270" s="22"/>
      <c r="AK270" s="22"/>
      <c r="AL270" s="22"/>
      <c r="AM270" s="22"/>
      <c r="AN270" s="22"/>
      <c r="AO270" s="22"/>
    </row>
    <row r="271" ht="14.25" customHeight="1">
      <c r="A271" s="32">
        <v>1.9637743E7</v>
      </c>
      <c r="B271" s="33" t="str">
        <f>VLOOKUP(A271,BBDD!$1:$1048653,2,0)</f>
        <v>19.637.743-3</v>
      </c>
      <c r="C271" s="34" t="str">
        <f>VLOOKUP(A271,BBDD!$1:$1048653,7,0)</f>
        <v>Cuevas Mora Kenneth Brian</v>
      </c>
      <c r="D271" s="33" t="str">
        <f>VLOOKUP(A271,BBDD!$1:$1048653,8,0)</f>
        <v>Operario Apoyo Elaboracion</v>
      </c>
      <c r="E271" s="33" t="str">
        <f>VLOOKUP(A271,BBDD!$1:$1048653,10,0)</f>
        <v>Gerencia Producción Pesca</v>
      </c>
      <c r="F271" s="33" t="str">
        <f>VLOOKUP(A271,BBDD!$1:$1048653,11,0)</f>
        <v>Plazo fijo</v>
      </c>
      <c r="G271" s="33" t="str">
        <f>VLOOKUP(A271,BBDD!$1:$1048653,13,0)</f>
        <v>Coronel Rol Eventual</v>
      </c>
      <c r="H271" s="33" t="str">
        <f>VLOOKUP(A271,BBDD!$1:$1048653,14,0)</f>
        <v>Gerencia Corp. Negocio Seafood</v>
      </c>
      <c r="I271" s="33" t="str">
        <f>VLOOKUP(A271,BBDD!$1:$1048653,16,0)</f>
        <v>Temporada (Con ocasión Temporada de Pesca)</v>
      </c>
      <c r="J271" s="33" t="str">
        <f>VLOOKUP(A271,BBDD!$1:$1048653,17,0)</f>
        <v/>
      </c>
      <c r="K271" s="35">
        <f>VLOOKUP(A271,BBDD!$1:$1048653,12,0)</f>
        <v>45938</v>
      </c>
      <c r="L271" s="35" t="str">
        <f>VLOOKUP(A271,BBDD!$1:$1048653,3,0)</f>
        <v>Orizon S.A</v>
      </c>
      <c r="M271" s="35" t="str">
        <f>VLOOKUP(A271,BBDD!$1:$1048653,4,0)</f>
        <v>F1</v>
      </c>
      <c r="N271" s="35" t="str">
        <f>VLOOKUP(A271,BBDD!$1:$1048653,5,0)</f>
        <v>kcuevas0597@gmail.com</v>
      </c>
      <c r="O271" s="36">
        <v>45978.0</v>
      </c>
      <c r="P271" s="32" t="s">
        <v>5582</v>
      </c>
      <c r="Q271" s="32" t="s">
        <v>5598</v>
      </c>
      <c r="R271" s="32" t="s">
        <v>5903</v>
      </c>
      <c r="S271" s="37"/>
      <c r="T271" s="32" t="s">
        <v>5585</v>
      </c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  <c r="AG271" s="22"/>
      <c r="AH271" s="22"/>
      <c r="AI271" s="22"/>
      <c r="AJ271" s="22"/>
      <c r="AK271" s="22"/>
      <c r="AL271" s="22"/>
      <c r="AM271" s="22"/>
      <c r="AN271" s="22"/>
      <c r="AO271" s="22"/>
    </row>
    <row r="272" ht="14.25" customHeight="1">
      <c r="A272" s="32">
        <v>1.0</v>
      </c>
      <c r="B272" s="33" t="str">
        <f>VLOOKUP(A272,BBDD!$1:$1048653,2,0)</f>
        <v>Usuario Externo</v>
      </c>
      <c r="C272" s="34" t="str">
        <f>VLOOKUP(A272,BBDD!$1:$1048653,7,0)</f>
        <v>Usuario Externo</v>
      </c>
      <c r="D272" s="33" t="str">
        <f>VLOOKUP(A272,BBDD!$1:$1048653,8,0)</f>
        <v>Usuario Externo</v>
      </c>
      <c r="E272" s="33" t="str">
        <f>VLOOKUP(A272,BBDD!$1:$1048653,10,0)</f>
        <v>Usuario Externo</v>
      </c>
      <c r="F272" s="33" t="str">
        <f>VLOOKUP(A272,BBDD!$1:$1048653,11,0)</f>
        <v>Usuario Externo</v>
      </c>
      <c r="G272" s="33" t="str">
        <f>VLOOKUP(A272,BBDD!$1:$1048653,13,0)</f>
        <v>Usuario Externo</v>
      </c>
      <c r="H272" s="33" t="str">
        <f>VLOOKUP(A272,BBDD!$1:$1048653,14,0)</f>
        <v>Usuario Externo</v>
      </c>
      <c r="I272" s="33" t="str">
        <f>VLOOKUP(A272,BBDD!$1:$1048653,16,0)</f>
        <v>Usuario Externo</v>
      </c>
      <c r="J272" s="33" t="str">
        <f>VLOOKUP(A272,BBDD!$1:$1048653,17,0)</f>
        <v/>
      </c>
      <c r="K272" s="35" t="str">
        <f>VLOOKUP(A272,BBDD!$1:$1048653,12,0)</f>
        <v>Usuario Externo</v>
      </c>
      <c r="L272" s="35" t="str">
        <f>VLOOKUP(A272,BBDD!$1:$1048653,3,0)</f>
        <v>Usuario Externo</v>
      </c>
      <c r="M272" s="35" t="str">
        <f>VLOOKUP(A272,BBDD!$1:$1048653,4,0)</f>
        <v>Usuario Externo</v>
      </c>
      <c r="N272" s="35" t="str">
        <f>VLOOKUP(A272,BBDD!$1:$1048653,5,0)</f>
        <v>Usuario Externo</v>
      </c>
      <c r="O272" s="36">
        <v>45978.0</v>
      </c>
      <c r="P272" s="32" t="s">
        <v>5582</v>
      </c>
      <c r="Q272" s="32" t="s">
        <v>5598</v>
      </c>
      <c r="R272" s="32" t="s">
        <v>5904</v>
      </c>
      <c r="S272" s="37"/>
      <c r="T272" s="32" t="s">
        <v>5585</v>
      </c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  <c r="AF272" s="22"/>
      <c r="AG272" s="22"/>
      <c r="AH272" s="22"/>
      <c r="AI272" s="22"/>
      <c r="AJ272" s="22"/>
      <c r="AK272" s="22"/>
      <c r="AL272" s="22"/>
      <c r="AM272" s="22"/>
      <c r="AN272" s="22"/>
      <c r="AO272" s="22"/>
    </row>
    <row r="273" ht="14.25" customHeight="1">
      <c r="A273" s="32">
        <v>9459618.0</v>
      </c>
      <c r="B273" s="33" t="str">
        <f>VLOOKUP(A273,BBDD!$1:$1048653,2,0)</f>
        <v>9.459.618-1</v>
      </c>
      <c r="C273" s="34" t="str">
        <f>VLOOKUP(A273,BBDD!$1:$1048653,7,0)</f>
        <v>Paz Ruiz Pedro Arturo</v>
      </c>
      <c r="D273" s="33" t="str">
        <f>VLOOKUP(A273,BBDD!$1:$1048653,8,0)</f>
        <v>Operador Grupo Generadores</v>
      </c>
      <c r="E273" s="33" t="str">
        <f>VLOOKUP(A273,BBDD!$1:$1048653,10,0)</f>
        <v>Departamento Ingeniería</v>
      </c>
      <c r="F273" s="33" t="str">
        <f>VLOOKUP(A273,BBDD!$1:$1048653,11,0)</f>
        <v>Indefinido</v>
      </c>
      <c r="G273" s="33" t="str">
        <f>VLOOKUP(A273,BBDD!$1:$1048653,13,0)</f>
        <v>Coronel Rol Tierra</v>
      </c>
      <c r="H273" s="33" t="str">
        <f>VLOOKUP(A273,BBDD!$1:$1048653,14,0)</f>
        <v>Gerencia Corp. Negocio Seafood</v>
      </c>
      <c r="I273" s="33" t="str">
        <f>VLOOKUP(A273,BBDD!$1:$1048653,16,0)</f>
        <v>Rol General (Cargo permanente o proyección indefinido)</v>
      </c>
      <c r="J273" s="33" t="str">
        <f>VLOOKUP(A273,BBDD!$1:$1048653,17,0)</f>
        <v/>
      </c>
      <c r="K273" s="35">
        <f>VLOOKUP(A273,BBDD!$1:$1048653,12,0)</f>
        <v>45432</v>
      </c>
      <c r="L273" s="35" t="str">
        <f>VLOOKUP(A273,BBDD!$1:$1048653,3,0)</f>
        <v>Orizon S.A</v>
      </c>
      <c r="M273" s="35" t="str">
        <f>VLOOKUP(A273,BBDD!$1:$1048653,4,0)</f>
        <v>F1</v>
      </c>
      <c r="N273" s="35" t="str">
        <f>VLOOKUP(A273,BBDD!$1:$1048653,5,0)</f>
        <v>p.paz963@gmail.com</v>
      </c>
      <c r="O273" s="36">
        <v>45978.0</v>
      </c>
      <c r="P273" s="32" t="s">
        <v>5582</v>
      </c>
      <c r="Q273" s="32" t="s">
        <v>5599</v>
      </c>
      <c r="R273" s="32" t="s">
        <v>5905</v>
      </c>
      <c r="S273" s="37"/>
      <c r="T273" s="32" t="s">
        <v>5585</v>
      </c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  <c r="AG273" s="22"/>
      <c r="AH273" s="22"/>
      <c r="AI273" s="22"/>
      <c r="AJ273" s="22"/>
      <c r="AK273" s="22"/>
      <c r="AL273" s="22"/>
      <c r="AM273" s="22"/>
      <c r="AN273" s="22"/>
      <c r="AO273" s="22"/>
    </row>
    <row r="274" ht="14.25" customHeight="1">
      <c r="A274" s="32">
        <v>1.0</v>
      </c>
      <c r="B274" s="38" t="s">
        <v>5399</v>
      </c>
      <c r="C274" s="34" t="str">
        <f>VLOOKUP(A274,BBDD!$1:$1048653,7,0)</f>
        <v>Usuario Externo</v>
      </c>
      <c r="D274" s="33" t="str">
        <f>VLOOKUP(A274,BBDD!$1:$1048653,8,0)</f>
        <v>Usuario Externo</v>
      </c>
      <c r="E274" s="33" t="str">
        <f>VLOOKUP(A274,BBDD!$1:$1048653,10,0)</f>
        <v>Usuario Externo</v>
      </c>
      <c r="F274" s="33" t="str">
        <f>VLOOKUP(A274,BBDD!$1:$1048653,11,0)</f>
        <v>Usuario Externo</v>
      </c>
      <c r="G274" s="33" t="str">
        <f>VLOOKUP(A274,BBDD!$1:$1048653,13,0)</f>
        <v>Usuario Externo</v>
      </c>
      <c r="H274" s="33" t="str">
        <f>VLOOKUP(A274,BBDD!$1:$1048653,14,0)</f>
        <v>Usuario Externo</v>
      </c>
      <c r="I274" s="33" t="str">
        <f>VLOOKUP(A274,BBDD!$1:$1048653,16,0)</f>
        <v>Usuario Externo</v>
      </c>
      <c r="J274" s="33" t="str">
        <f>VLOOKUP(A274,BBDD!$1:$1048653,17,0)</f>
        <v/>
      </c>
      <c r="K274" s="35" t="str">
        <f>VLOOKUP(A274,BBDD!$1:$1048653,12,0)</f>
        <v>Usuario Externo</v>
      </c>
      <c r="L274" s="35" t="str">
        <f>VLOOKUP(A274,BBDD!$1:$1048653,3,0)</f>
        <v>Usuario Externo</v>
      </c>
      <c r="M274" s="35" t="str">
        <f>VLOOKUP(A274,BBDD!$1:$1048653,4,0)</f>
        <v>Usuario Externo</v>
      </c>
      <c r="N274" s="35" t="str">
        <f>VLOOKUP(A274,BBDD!$1:$1048653,5,0)</f>
        <v>Usuario Externo</v>
      </c>
      <c r="O274" s="36">
        <v>45979.0</v>
      </c>
      <c r="P274" s="32" t="s">
        <v>5582</v>
      </c>
      <c r="Q274" s="32" t="s">
        <v>5567</v>
      </c>
      <c r="R274" s="37"/>
      <c r="S274" s="37"/>
      <c r="T274" s="32" t="s">
        <v>5585</v>
      </c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  <c r="AF274" s="22"/>
      <c r="AG274" s="22"/>
      <c r="AH274" s="22"/>
      <c r="AI274" s="22"/>
      <c r="AJ274" s="22"/>
      <c r="AK274" s="22"/>
      <c r="AL274" s="22"/>
      <c r="AM274" s="22"/>
      <c r="AN274" s="22"/>
      <c r="AO274" s="22"/>
    </row>
    <row r="275" ht="14.25" customHeight="1">
      <c r="A275" s="32">
        <v>1.862641E7</v>
      </c>
      <c r="B275" s="33" t="str">
        <f>VLOOKUP(A275,BBDD!$1:$1048653,2,0)</f>
        <v>18.626.410-k</v>
      </c>
      <c r="C275" s="34" t="str">
        <f>VLOOKUP(A275,BBDD!$1:$1048653,7,0)</f>
        <v>Albornoz Sepulveda Elizabeth Andrea</v>
      </c>
      <c r="D275" s="33" t="str">
        <f>VLOOKUP(A275,BBDD!$1:$1048653,8,0)</f>
        <v>Operario Apoyo Elaboracion</v>
      </c>
      <c r="E275" s="33" t="str">
        <f>VLOOKUP(A275,BBDD!$1:$1048653,10,0)</f>
        <v>Gerencia Producción Pesca</v>
      </c>
      <c r="F275" s="33" t="str">
        <f>VLOOKUP(A275,BBDD!$1:$1048653,11,0)</f>
        <v>Obra</v>
      </c>
      <c r="G275" s="33" t="str">
        <f>VLOOKUP(A275,BBDD!$1:$1048653,13,0)</f>
        <v>Coronel Rol Eventual</v>
      </c>
      <c r="H275" s="33" t="str">
        <f>VLOOKUP(A275,BBDD!$1:$1048653,14,0)</f>
        <v>Gerencia Corp. Negocio Seafood</v>
      </c>
      <c r="I275" s="33" t="str">
        <f>VLOOKUP(A275,BBDD!$1:$1048653,16,0)</f>
        <v>Temporada (Con ocasión Temporada de Pesca)</v>
      </c>
      <c r="J275" s="33" t="str">
        <f>VLOOKUP(A275,BBDD!$1:$1048653,17,0)</f>
        <v/>
      </c>
      <c r="K275" s="35">
        <f>VLOOKUP(A275,BBDD!$1:$1048653,12,0)</f>
        <v>45621</v>
      </c>
      <c r="L275" s="35" t="str">
        <f>VLOOKUP(A275,BBDD!$1:$1048653,3,0)</f>
        <v>Orizon S.A</v>
      </c>
      <c r="M275" s="35" t="str">
        <f>VLOOKUP(A275,BBDD!$1:$1048653,4,0)</f>
        <v>F3</v>
      </c>
      <c r="N275" s="35" t="str">
        <f>VLOOKUP(A275,BBDD!$1:$1048653,5,0)</f>
        <v>ALBORNOZELIZABETH24@GMAIL.COM</v>
      </c>
      <c r="O275" s="36">
        <v>45980.0</v>
      </c>
      <c r="P275" s="32" t="s">
        <v>5582</v>
      </c>
      <c r="Q275" s="32" t="s">
        <v>5586</v>
      </c>
      <c r="R275" s="32" t="s">
        <v>5906</v>
      </c>
      <c r="S275" s="37"/>
      <c r="T275" s="32" t="s">
        <v>5585</v>
      </c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  <c r="AF275" s="22"/>
      <c r="AG275" s="22"/>
      <c r="AH275" s="22"/>
      <c r="AI275" s="22"/>
      <c r="AJ275" s="22"/>
      <c r="AK275" s="22"/>
      <c r="AL275" s="22"/>
      <c r="AM275" s="22"/>
      <c r="AN275" s="22"/>
      <c r="AO275" s="22"/>
    </row>
    <row r="276" ht="14.25" customHeight="1">
      <c r="A276" s="32">
        <v>1.0</v>
      </c>
      <c r="B276" s="33" t="str">
        <f>VLOOKUP(A276,BBDD!$1:$1048653,2,0)</f>
        <v>Usuario Externo</v>
      </c>
      <c r="C276" s="34" t="str">
        <f>VLOOKUP(A276,BBDD!$1:$1048653,7,0)</f>
        <v>Usuario Externo</v>
      </c>
      <c r="D276" s="33" t="str">
        <f>VLOOKUP(A276,BBDD!$1:$1048653,8,0)</f>
        <v>Usuario Externo</v>
      </c>
      <c r="E276" s="33" t="str">
        <f>VLOOKUP(A276,BBDD!$1:$1048653,10,0)</f>
        <v>Usuario Externo</v>
      </c>
      <c r="F276" s="33" t="str">
        <f>VLOOKUP(A276,BBDD!$1:$1048653,11,0)</f>
        <v>Usuario Externo</v>
      </c>
      <c r="G276" s="33" t="str">
        <f>VLOOKUP(A276,BBDD!$1:$1048653,13,0)</f>
        <v>Usuario Externo</v>
      </c>
      <c r="H276" s="33" t="str">
        <f>VLOOKUP(A276,BBDD!$1:$1048653,14,0)</f>
        <v>Usuario Externo</v>
      </c>
      <c r="I276" s="33" t="str">
        <f>VLOOKUP(A276,BBDD!$1:$1048653,16,0)</f>
        <v>Usuario Externo</v>
      </c>
      <c r="J276" s="33" t="str">
        <f>VLOOKUP(A276,BBDD!$1:$1048653,17,0)</f>
        <v/>
      </c>
      <c r="K276" s="35" t="str">
        <f>VLOOKUP(A276,BBDD!$1:$1048653,12,0)</f>
        <v>Usuario Externo</v>
      </c>
      <c r="L276" s="35" t="str">
        <f>VLOOKUP(A276,BBDD!$1:$1048653,3,0)</f>
        <v>Usuario Externo</v>
      </c>
      <c r="M276" s="35" t="str">
        <f>VLOOKUP(A276,BBDD!$1:$1048653,4,0)</f>
        <v>Usuario Externo</v>
      </c>
      <c r="N276" s="35" t="str">
        <f>VLOOKUP(A276,BBDD!$1:$1048653,5,0)</f>
        <v>Usuario Externo</v>
      </c>
      <c r="O276" s="36">
        <v>45980.0</v>
      </c>
      <c r="P276" s="32" t="s">
        <v>5575</v>
      </c>
      <c r="Q276" s="32" t="s">
        <v>5598</v>
      </c>
      <c r="R276" s="37"/>
      <c r="S276" s="37"/>
      <c r="T276" s="32" t="s">
        <v>5585</v>
      </c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  <c r="AG276" s="22"/>
      <c r="AH276" s="22"/>
      <c r="AI276" s="22"/>
      <c r="AJ276" s="22"/>
      <c r="AK276" s="22"/>
      <c r="AL276" s="22"/>
      <c r="AM276" s="22"/>
      <c r="AN276" s="22"/>
      <c r="AO276" s="22"/>
    </row>
    <row r="277" ht="14.25" customHeight="1">
      <c r="A277" s="41">
        <v>1.8950117E7</v>
      </c>
      <c r="B277" s="33" t="str">
        <f>VLOOKUP(A277,BBDD!$1:$1048653,2,0)</f>
        <v>18.950.117-k</v>
      </c>
      <c r="C277" s="34" t="str">
        <f>VLOOKUP(A277,BBDD!$1:$1048653,7,0)</f>
        <v>Jaure Cortez Belen Del Pilar</v>
      </c>
      <c r="D277" s="33" t="str">
        <f>VLOOKUP(A277,BBDD!$1:$1048653,8,0)</f>
        <v>Operario Apoyo Elaboracion</v>
      </c>
      <c r="E277" s="33" t="str">
        <f>VLOOKUP(A277,BBDD!$1:$1048653,10,0)</f>
        <v>Gerencia Producción Pesca</v>
      </c>
      <c r="F277" s="33" t="str">
        <f>VLOOKUP(A277,BBDD!$1:$1048653,11,0)</f>
        <v>Obra</v>
      </c>
      <c r="G277" s="33" t="str">
        <f>VLOOKUP(A277,BBDD!$1:$1048653,13,0)</f>
        <v>Coronel Rol Eventual</v>
      </c>
      <c r="H277" s="33" t="str">
        <f>VLOOKUP(A277,BBDD!$1:$1048653,14,0)</f>
        <v>Gerencia Corp. Negocio Seafood</v>
      </c>
      <c r="I277" s="33" t="str">
        <f>VLOOKUP(A277,BBDD!$1:$1048653,16,0)</f>
        <v>Temporada (Con ocasión Temporada de Pesca)</v>
      </c>
      <c r="J277" s="33" t="str">
        <f>VLOOKUP(A277,BBDD!$1:$1048653,17,0)</f>
        <v/>
      </c>
      <c r="K277" s="35">
        <f>VLOOKUP(A277,BBDD!$1:$1048653,12,0)</f>
        <v>45663</v>
      </c>
      <c r="L277" s="35" t="str">
        <f>VLOOKUP(A277,BBDD!$1:$1048653,3,0)</f>
        <v>Orizon S.A</v>
      </c>
      <c r="M277" s="35" t="str">
        <f>VLOOKUP(A277,BBDD!$1:$1048653,4,0)</f>
        <v>F1</v>
      </c>
      <c r="N277" s="35" t="str">
        <f>VLOOKUP(A277,BBDD!$1:$1048653,5,0)</f>
        <v>BELENJAURE73@GMAIL.COM</v>
      </c>
      <c r="O277" s="36">
        <v>45980.0</v>
      </c>
      <c r="P277" s="32" t="s">
        <v>5582</v>
      </c>
      <c r="Q277" s="32" t="s">
        <v>5586</v>
      </c>
      <c r="R277" s="37"/>
      <c r="S277" s="37"/>
      <c r="T277" s="32" t="s">
        <v>5585</v>
      </c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  <c r="AF277" s="22"/>
      <c r="AG277" s="22"/>
      <c r="AH277" s="22"/>
      <c r="AI277" s="22"/>
      <c r="AJ277" s="22"/>
      <c r="AK277" s="22"/>
      <c r="AL277" s="22"/>
      <c r="AM277" s="22"/>
      <c r="AN277" s="22"/>
      <c r="AO277" s="22"/>
    </row>
    <row r="278" ht="14.25" customHeight="1">
      <c r="A278" s="32">
        <v>1.9508172E7</v>
      </c>
      <c r="B278" s="33" t="str">
        <f>VLOOKUP(A278,BBDD!$1:$1048653,2,0)</f>
        <v>19508172-7</v>
      </c>
      <c r="C278" s="34" t="str">
        <f>VLOOKUP(A278,BBDD!$1:$1048653,7,0)</f>
        <v>Pérez  Bello Sebastian Andres</v>
      </c>
      <c r="D278" s="33" t="str">
        <f>VLOOKUP(A278,BBDD!$1:$1048653,8,0)</f>
        <v>MECANICO DE TURNO</v>
      </c>
      <c r="E278" s="33" t="str">
        <f>VLOOKUP(A278,BBDD!$1:$1048653,10,0)</f>
        <v>Mantención Plantas</v>
      </c>
      <c r="F278" s="33" t="str">
        <f>VLOOKUP(A278,BBDD!$1:$1048653,11,0)</f>
        <v>Plazo fijo</v>
      </c>
      <c r="G278" s="33" t="str">
        <f>VLOOKUP(A278,BBDD!$1:$1048653,13,0)</f>
        <v>EST</v>
      </c>
      <c r="H278" s="33" t="str">
        <f>VLOOKUP(A278,BBDD!$1:$1048653,14,0)</f>
        <v>Gerencia Corp. Seafood</v>
      </c>
      <c r="I278" s="33" t="str">
        <f>VLOOKUP(A278,BBDD!$1:$1048653,16,0)</f>
        <v/>
      </c>
      <c r="J278" s="33" t="str">
        <f>VLOOKUP(A278,BBDD!$1:$1048653,17,0)</f>
        <v/>
      </c>
      <c r="K278" s="35">
        <f>VLOOKUP(A278,BBDD!$1:$1048653,12,0)</f>
        <v>45839</v>
      </c>
      <c r="L278" s="35" t="str">
        <f>VLOOKUP(A278,BBDD!$1:$1048653,3,0)</f>
        <v>EST</v>
      </c>
      <c r="M278" s="35" t="str">
        <f>VLOOKUP(A278,BBDD!$1:$1048653,4,0)</f>
        <v>F1</v>
      </c>
      <c r="N278" s="35" t="str">
        <f>VLOOKUP(A278,BBDD!$1:$1048653,5,0)</f>
        <v/>
      </c>
      <c r="O278" s="36">
        <v>45980.0</v>
      </c>
      <c r="P278" s="32" t="s">
        <v>5582</v>
      </c>
      <c r="Q278" s="32" t="s">
        <v>5586</v>
      </c>
      <c r="R278" s="32" t="s">
        <v>5907</v>
      </c>
      <c r="S278" s="37"/>
      <c r="T278" s="32" t="s">
        <v>5585</v>
      </c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  <c r="AG278" s="22"/>
      <c r="AH278" s="22"/>
      <c r="AI278" s="22"/>
      <c r="AJ278" s="22"/>
      <c r="AK278" s="22"/>
      <c r="AL278" s="22"/>
      <c r="AM278" s="22"/>
      <c r="AN278" s="22"/>
      <c r="AO278" s="22"/>
    </row>
    <row r="279" ht="14.25" customHeight="1">
      <c r="A279" s="32">
        <v>1.7540924E7</v>
      </c>
      <c r="B279" s="33" t="str">
        <f>VLOOKUP(A279,BBDD!$1:$1048653,2,0)</f>
        <v>17.540.924-6</v>
      </c>
      <c r="C279" s="34" t="str">
        <f>VLOOKUP(A279,BBDD!$1:$1048653,7,0)</f>
        <v>Barabona Ferrada Ahiliny Scarlett</v>
      </c>
      <c r="D279" s="33" t="str">
        <f>VLOOKUP(A279,BBDD!$1:$1048653,8,0)</f>
        <v>Operario Apoyo Elaboracion</v>
      </c>
      <c r="E279" s="33" t="str">
        <f>VLOOKUP(A279,BBDD!$1:$1048653,10,0)</f>
        <v>Gerencia Producción Pesca</v>
      </c>
      <c r="F279" s="33" t="str">
        <f>VLOOKUP(A279,BBDD!$1:$1048653,11,0)</f>
        <v>Plazo fijo</v>
      </c>
      <c r="G279" s="33" t="str">
        <f>VLOOKUP(A279,BBDD!$1:$1048653,13,0)</f>
        <v>Coronel Rol Eventual</v>
      </c>
      <c r="H279" s="33" t="str">
        <f>VLOOKUP(A279,BBDD!$1:$1048653,14,0)</f>
        <v>Gerencia Corp. Negocio Seafood</v>
      </c>
      <c r="I279" s="33" t="str">
        <f>VLOOKUP(A279,BBDD!$1:$1048653,16,0)</f>
        <v>Temporada (Con ocasión Temporada de Pesca)</v>
      </c>
      <c r="J279" s="33" t="str">
        <f>VLOOKUP(A279,BBDD!$1:$1048653,17,0)</f>
        <v/>
      </c>
      <c r="K279" s="35">
        <f>VLOOKUP(A279,BBDD!$1:$1048653,12,0)</f>
        <v>45940</v>
      </c>
      <c r="L279" s="35" t="str">
        <f>VLOOKUP(A279,BBDD!$1:$1048653,3,0)</f>
        <v>Orizon S.A</v>
      </c>
      <c r="M279" s="35" t="str">
        <f>VLOOKUP(A279,BBDD!$1:$1048653,4,0)</f>
        <v>F2</v>
      </c>
      <c r="N279" s="35" t="str">
        <f>VLOOKUP(A279,BBDD!$1:$1048653,5,0)</f>
        <v>BARABONA.PREV@GMAIL.COM</v>
      </c>
      <c r="O279" s="36">
        <v>45980.0</v>
      </c>
      <c r="P279" s="32" t="s">
        <v>5575</v>
      </c>
      <c r="Q279" s="32" t="s">
        <v>5838</v>
      </c>
      <c r="R279" s="37"/>
      <c r="S279" s="37"/>
      <c r="T279" s="32" t="s">
        <v>5585</v>
      </c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  <c r="AG279" s="22"/>
      <c r="AH279" s="22"/>
      <c r="AI279" s="22"/>
      <c r="AJ279" s="22"/>
      <c r="AK279" s="22"/>
      <c r="AL279" s="22"/>
      <c r="AM279" s="22"/>
      <c r="AN279" s="22"/>
      <c r="AO279" s="22"/>
    </row>
    <row r="280" ht="14.25" customHeight="1">
      <c r="A280" s="32">
        <v>1.1183191E7</v>
      </c>
      <c r="B280" s="33" t="str">
        <f>VLOOKUP(A280,BBDD!$1:$1048653,2,0)</f>
        <v>11.183.191-2</v>
      </c>
      <c r="C280" s="34" t="str">
        <f>VLOOKUP(A280,BBDD!$1:$1048653,7,0)</f>
        <v>Galindo Villa Eliset Del Carmen</v>
      </c>
      <c r="D280" s="33" t="str">
        <f>VLOOKUP(A280,BBDD!$1:$1048653,8,0)</f>
        <v>Operario Apoyo Elaboracion</v>
      </c>
      <c r="E280" s="33" t="str">
        <f>VLOOKUP(A280,BBDD!$1:$1048653,10,0)</f>
        <v>Gerencia Producción Pesca</v>
      </c>
      <c r="F280" s="33" t="str">
        <f>VLOOKUP(A280,BBDD!$1:$1048653,11,0)</f>
        <v>Plazo fijo</v>
      </c>
      <c r="G280" s="33" t="str">
        <f>VLOOKUP(A280,BBDD!$1:$1048653,13,0)</f>
        <v>Coronel Rol Eventual</v>
      </c>
      <c r="H280" s="33" t="str">
        <f>VLOOKUP(A280,BBDD!$1:$1048653,14,0)</f>
        <v>Gerencia Corp. Negocio Seafood</v>
      </c>
      <c r="I280" s="33" t="str">
        <f>VLOOKUP(A280,BBDD!$1:$1048653,16,0)</f>
        <v>Temporada (Con ocasión Temporada de Pesca)</v>
      </c>
      <c r="J280" s="33" t="str">
        <f>VLOOKUP(A280,BBDD!$1:$1048653,17,0)</f>
        <v/>
      </c>
      <c r="K280" s="35">
        <f>VLOOKUP(A280,BBDD!$1:$1048653,12,0)</f>
        <v>45943</v>
      </c>
      <c r="L280" s="35" t="str">
        <f>VLOOKUP(A280,BBDD!$1:$1048653,3,0)</f>
        <v>Orizon S.A</v>
      </c>
      <c r="M280" s="35" t="str">
        <f>VLOOKUP(A280,BBDD!$1:$1048653,4,0)</f>
        <v>F1</v>
      </c>
      <c r="N280" s="35" t="str">
        <f>VLOOKUP(A280,BBDD!$1:$1048653,5,0)</f>
        <v>elisetgalindovilla@gmail.com</v>
      </c>
      <c r="O280" s="36">
        <v>45980.0</v>
      </c>
      <c r="P280" s="32" t="s">
        <v>5582</v>
      </c>
      <c r="Q280" s="32" t="s">
        <v>5597</v>
      </c>
      <c r="R280" s="32" t="s">
        <v>5908</v>
      </c>
      <c r="S280" s="37"/>
      <c r="T280" s="32" t="s">
        <v>5585</v>
      </c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  <c r="AF280" s="22"/>
      <c r="AG280" s="22"/>
      <c r="AH280" s="22"/>
      <c r="AI280" s="22"/>
      <c r="AJ280" s="22"/>
      <c r="AK280" s="22"/>
      <c r="AL280" s="22"/>
      <c r="AM280" s="22"/>
      <c r="AN280" s="22"/>
      <c r="AO280" s="22"/>
    </row>
    <row r="281" ht="14.25" customHeight="1">
      <c r="A281" s="32">
        <v>1.1183191E7</v>
      </c>
      <c r="B281" s="33" t="str">
        <f>VLOOKUP(A281,BBDD!$1:$1048653,2,0)</f>
        <v>11.183.191-2</v>
      </c>
      <c r="C281" s="34" t="str">
        <f>VLOOKUP(A281,BBDD!$1:$1048653,7,0)</f>
        <v>Galindo Villa Eliset Del Carmen</v>
      </c>
      <c r="D281" s="33" t="str">
        <f>VLOOKUP(A281,BBDD!$1:$1048653,8,0)</f>
        <v>Operario Apoyo Elaboracion</v>
      </c>
      <c r="E281" s="33" t="str">
        <f>VLOOKUP(A281,BBDD!$1:$1048653,10,0)</f>
        <v>Gerencia Producción Pesca</v>
      </c>
      <c r="F281" s="33" t="str">
        <f>VLOOKUP(A281,BBDD!$1:$1048653,11,0)</f>
        <v>Plazo fijo</v>
      </c>
      <c r="G281" s="33" t="str">
        <f>VLOOKUP(A281,BBDD!$1:$1048653,13,0)</f>
        <v>Coronel Rol Eventual</v>
      </c>
      <c r="H281" s="33" t="str">
        <f>VLOOKUP(A281,BBDD!$1:$1048653,14,0)</f>
        <v>Gerencia Corp. Negocio Seafood</v>
      </c>
      <c r="I281" s="33" t="str">
        <f>VLOOKUP(A281,BBDD!$1:$1048653,16,0)</f>
        <v>Temporada (Con ocasión Temporada de Pesca)</v>
      </c>
      <c r="J281" s="33" t="str">
        <f>VLOOKUP(A281,BBDD!$1:$1048653,17,0)</f>
        <v/>
      </c>
      <c r="K281" s="35">
        <f>VLOOKUP(A281,BBDD!$1:$1048653,12,0)</f>
        <v>45943</v>
      </c>
      <c r="L281" s="35" t="str">
        <f>VLOOKUP(A281,BBDD!$1:$1048653,3,0)</f>
        <v>Orizon S.A</v>
      </c>
      <c r="M281" s="35" t="str">
        <f>VLOOKUP(A281,BBDD!$1:$1048653,4,0)</f>
        <v>F1</v>
      </c>
      <c r="N281" s="35" t="str">
        <f>VLOOKUP(A281,BBDD!$1:$1048653,5,0)</f>
        <v>elisetgalindovilla@gmail.com</v>
      </c>
      <c r="O281" s="36">
        <v>45980.0</v>
      </c>
      <c r="P281" s="32" t="s">
        <v>5582</v>
      </c>
      <c r="Q281" s="32" t="s">
        <v>5838</v>
      </c>
      <c r="R281" s="32" t="s">
        <v>5909</v>
      </c>
      <c r="S281" s="37"/>
      <c r="T281" s="32" t="s">
        <v>5585</v>
      </c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  <c r="AF281" s="22"/>
      <c r="AG281" s="22"/>
      <c r="AH281" s="22"/>
      <c r="AI281" s="22"/>
      <c r="AJ281" s="22"/>
      <c r="AK281" s="22"/>
      <c r="AL281" s="22"/>
      <c r="AM281" s="22"/>
      <c r="AN281" s="22"/>
      <c r="AO281" s="22"/>
    </row>
    <row r="282" ht="14.25" customHeight="1">
      <c r="A282" s="32">
        <v>8244396.0</v>
      </c>
      <c r="B282" s="33" t="str">
        <f>VLOOKUP(A282,BBDD!$1:$1048653,2,0)</f>
        <v>8.244.396-7</v>
      </c>
      <c r="C282" s="34" t="str">
        <f>VLOOKUP(A282,BBDD!$1:$1048653,7,0)</f>
        <v>Ojeda Ramirez Daniel Segundo</v>
      </c>
      <c r="D282" s="33" t="str">
        <f>VLOOKUP(A282,BBDD!$1:$1048653,8,0)</f>
        <v>Operador Elaboracion</v>
      </c>
      <c r="E282" s="33" t="str">
        <f>VLOOKUP(A282,BBDD!$1:$1048653,10,0)</f>
        <v>Gerencia Producción Pesca</v>
      </c>
      <c r="F282" s="33" t="str">
        <f>VLOOKUP(A282,BBDD!$1:$1048653,11,0)</f>
        <v>Indefinido</v>
      </c>
      <c r="G282" s="33" t="str">
        <f>VLOOKUP(A282,BBDD!$1:$1048653,13,0)</f>
        <v>Coronel Rol Tierra</v>
      </c>
      <c r="H282" s="33" t="str">
        <f>VLOOKUP(A282,BBDD!$1:$1048653,14,0)</f>
        <v>Gerencia Corp. Negocio Seafood</v>
      </c>
      <c r="I282" s="33" t="str">
        <f>VLOOKUP(A282,BBDD!$1:$1048653,16,0)</f>
        <v>Rol General (Cargo permanente o proyección indefinido)</v>
      </c>
      <c r="J282" s="33" t="str">
        <f>VLOOKUP(A282,BBDD!$1:$1048653,17,0)</f>
        <v/>
      </c>
      <c r="K282" s="35">
        <f>VLOOKUP(A282,BBDD!$1:$1048653,12,0)</f>
        <v>42370</v>
      </c>
      <c r="L282" s="35" t="str">
        <f>VLOOKUP(A282,BBDD!$1:$1048653,3,0)</f>
        <v>Orizon S.A</v>
      </c>
      <c r="M282" s="35" t="str">
        <f>VLOOKUP(A282,BBDD!$1:$1048653,4,0)</f>
        <v>F1</v>
      </c>
      <c r="N282" s="35" t="str">
        <f>VLOOKUP(A282,BBDD!$1:$1048653,5,0)</f>
        <v>danielojedaramirez327@gmail.com</v>
      </c>
      <c r="O282" s="36">
        <v>45981.0</v>
      </c>
      <c r="P282" s="32" t="s">
        <v>5582</v>
      </c>
      <c r="Q282" s="32" t="s">
        <v>5657</v>
      </c>
      <c r="R282" s="32" t="s">
        <v>5910</v>
      </c>
      <c r="S282" s="37"/>
      <c r="T282" s="32" t="s">
        <v>5585</v>
      </c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  <c r="AF282" s="22"/>
      <c r="AG282" s="22"/>
      <c r="AH282" s="22"/>
      <c r="AI282" s="22"/>
      <c r="AJ282" s="22"/>
      <c r="AK282" s="22"/>
      <c r="AL282" s="22"/>
      <c r="AM282" s="22"/>
      <c r="AN282" s="22"/>
      <c r="AO282" s="22"/>
    </row>
    <row r="283" ht="14.25" customHeight="1">
      <c r="A283" s="32">
        <v>9412953.0</v>
      </c>
      <c r="B283" s="33" t="str">
        <f>VLOOKUP(A283,BBDD!$1:$1048653,2,0)</f>
        <v>9.412.953-2</v>
      </c>
      <c r="C283" s="34" t="str">
        <f>VLOOKUP(A283,BBDD!$1:$1048653,7,0)</f>
        <v>Ojeda Ramirez Patricia Ines</v>
      </c>
      <c r="D283" s="33" t="str">
        <f>VLOOKUP(A283,BBDD!$1:$1048653,8,0)</f>
        <v>Operario Apoyo Elaboracion</v>
      </c>
      <c r="E283" s="33" t="str">
        <f>VLOOKUP(A283,BBDD!$1:$1048653,10,0)</f>
        <v>Gerencia Producción Pesca</v>
      </c>
      <c r="F283" s="33" t="str">
        <f>VLOOKUP(A283,BBDD!$1:$1048653,11,0)</f>
        <v>Plazo fijo</v>
      </c>
      <c r="G283" s="33" t="str">
        <f>VLOOKUP(A283,BBDD!$1:$1048653,13,0)</f>
        <v>Coronel Rol Eventual</v>
      </c>
      <c r="H283" s="33" t="str">
        <f>VLOOKUP(A283,BBDD!$1:$1048653,14,0)</f>
        <v>Gerencia Corp. Negocio Seafood</v>
      </c>
      <c r="I283" s="33" t="str">
        <f>VLOOKUP(A283,BBDD!$1:$1048653,16,0)</f>
        <v>Temporada (Con ocasión Temporada de Pesca)</v>
      </c>
      <c r="J283" s="33" t="str">
        <f>VLOOKUP(A283,BBDD!$1:$1048653,17,0)</f>
        <v/>
      </c>
      <c r="K283" s="35">
        <f>VLOOKUP(A283,BBDD!$1:$1048653,12,0)</f>
        <v>45931</v>
      </c>
      <c r="L283" s="35" t="str">
        <f>VLOOKUP(A283,BBDD!$1:$1048653,3,0)</f>
        <v>Orizon S.A</v>
      </c>
      <c r="M283" s="35" t="str">
        <f>VLOOKUP(A283,BBDD!$1:$1048653,4,0)</f>
        <v>F6</v>
      </c>
      <c r="N283" s="35" t="str">
        <f>VLOOKUP(A283,BBDD!$1:$1048653,5,0)</f>
        <v>patyojeda2205@gmail.com</v>
      </c>
      <c r="O283" s="36">
        <v>45981.0</v>
      </c>
      <c r="P283" s="32" t="s">
        <v>5582</v>
      </c>
      <c r="Q283" s="32" t="s">
        <v>5606</v>
      </c>
      <c r="R283" s="32" t="s">
        <v>5911</v>
      </c>
      <c r="S283" s="32" t="s">
        <v>5912</v>
      </c>
      <c r="T283" s="32" t="s">
        <v>5585</v>
      </c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  <c r="AF283" s="22"/>
      <c r="AG283" s="22"/>
      <c r="AH283" s="22"/>
      <c r="AI283" s="22"/>
      <c r="AJ283" s="22"/>
      <c r="AK283" s="22"/>
      <c r="AL283" s="22"/>
      <c r="AM283" s="22"/>
      <c r="AN283" s="22"/>
      <c r="AO283" s="22"/>
    </row>
    <row r="284" ht="14.25" customHeight="1">
      <c r="A284" s="32">
        <v>1.1103782E7</v>
      </c>
      <c r="B284" s="33" t="str">
        <f>VLOOKUP(A284,BBDD!$1:$1048653,2,0)</f>
        <v>11.103.782-5</v>
      </c>
      <c r="C284" s="34" t="str">
        <f>VLOOKUP(A284,BBDD!$1:$1048653,7,0)</f>
        <v>Carrillo Machuca Yessica Cecilia</v>
      </c>
      <c r="D284" s="33" t="str">
        <f>VLOOKUP(A284,BBDD!$1:$1048653,8,0)</f>
        <v>Operario Apoyo Elaboracion</v>
      </c>
      <c r="E284" s="33" t="str">
        <f>VLOOKUP(A284,BBDD!$1:$1048653,10,0)</f>
        <v>Gerencia Producción Pesca</v>
      </c>
      <c r="F284" s="33" t="str">
        <f>VLOOKUP(A284,BBDD!$1:$1048653,11,0)</f>
        <v>Plazo fijo</v>
      </c>
      <c r="G284" s="33" t="str">
        <f>VLOOKUP(A284,BBDD!$1:$1048653,13,0)</f>
        <v>Coronel Rol Eventual</v>
      </c>
      <c r="H284" s="33" t="str">
        <f>VLOOKUP(A284,BBDD!$1:$1048653,14,0)</f>
        <v>Gerencia Corp. Negocio Seafood</v>
      </c>
      <c r="I284" s="33" t="str">
        <f>VLOOKUP(A284,BBDD!$1:$1048653,16,0)</f>
        <v>Temporada (Con ocasión Temporada de Pesca)</v>
      </c>
      <c r="J284" s="33" t="str">
        <f>VLOOKUP(A284,BBDD!$1:$1048653,17,0)</f>
        <v/>
      </c>
      <c r="K284" s="35">
        <f>VLOOKUP(A284,BBDD!$1:$1048653,12,0)</f>
        <v>45931</v>
      </c>
      <c r="L284" s="35" t="str">
        <f>VLOOKUP(A284,BBDD!$1:$1048653,3,0)</f>
        <v>Orizon S.A</v>
      </c>
      <c r="M284" s="35" t="str">
        <f>VLOOKUP(A284,BBDD!$1:$1048653,4,0)</f>
        <v>F4</v>
      </c>
      <c r="N284" s="35" t="str">
        <f>VLOOKUP(A284,BBDD!$1:$1048653,5,0)</f>
        <v>yccmachuk@gmail.com</v>
      </c>
      <c r="O284" s="36">
        <v>45981.0</v>
      </c>
      <c r="P284" s="32" t="s">
        <v>5582</v>
      </c>
      <c r="Q284" s="32" t="s">
        <v>5606</v>
      </c>
      <c r="R284" s="32" t="s">
        <v>5911</v>
      </c>
      <c r="S284" s="32" t="s">
        <v>5912</v>
      </c>
      <c r="T284" s="32" t="s">
        <v>5585</v>
      </c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  <c r="AF284" s="22"/>
      <c r="AG284" s="22"/>
      <c r="AH284" s="22"/>
      <c r="AI284" s="22"/>
      <c r="AJ284" s="22"/>
      <c r="AK284" s="22"/>
      <c r="AL284" s="22"/>
      <c r="AM284" s="22"/>
      <c r="AN284" s="22"/>
      <c r="AO284" s="22"/>
    </row>
    <row r="285" ht="14.25" customHeight="1">
      <c r="A285" s="32">
        <v>1.0</v>
      </c>
      <c r="B285" s="33" t="str">
        <f>VLOOKUP(A285,BBDD!$1:$1048653,2,0)</f>
        <v>Usuario Externo</v>
      </c>
      <c r="C285" s="34" t="str">
        <f>VLOOKUP(A285,BBDD!$1:$1048653,7,0)</f>
        <v>Usuario Externo</v>
      </c>
      <c r="D285" s="33" t="str">
        <f>VLOOKUP(A285,BBDD!$1:$1048653,8,0)</f>
        <v>Usuario Externo</v>
      </c>
      <c r="E285" s="33" t="str">
        <f>VLOOKUP(A285,BBDD!$1:$1048653,10,0)</f>
        <v>Usuario Externo</v>
      </c>
      <c r="F285" s="33" t="str">
        <f>VLOOKUP(A285,BBDD!$1:$1048653,11,0)</f>
        <v>Usuario Externo</v>
      </c>
      <c r="G285" s="33" t="str">
        <f>VLOOKUP(A285,BBDD!$1:$1048653,13,0)</f>
        <v>Usuario Externo</v>
      </c>
      <c r="H285" s="33" t="str">
        <f>VLOOKUP(A285,BBDD!$1:$1048653,14,0)</f>
        <v>Usuario Externo</v>
      </c>
      <c r="I285" s="33" t="str">
        <f>VLOOKUP(A285,BBDD!$1:$1048653,16,0)</f>
        <v>Usuario Externo</v>
      </c>
      <c r="J285" s="33" t="str">
        <f>VLOOKUP(A285,BBDD!$1:$1048653,17,0)</f>
        <v/>
      </c>
      <c r="K285" s="35" t="str">
        <f>VLOOKUP(A285,BBDD!$1:$1048653,12,0)</f>
        <v>Usuario Externo</v>
      </c>
      <c r="L285" s="35" t="str">
        <f>VLOOKUP(A285,BBDD!$1:$1048653,3,0)</f>
        <v>Usuario Externo</v>
      </c>
      <c r="M285" s="35" t="str">
        <f>VLOOKUP(A285,BBDD!$1:$1048653,4,0)</f>
        <v>Usuario Externo</v>
      </c>
      <c r="N285" s="35" t="str">
        <f>VLOOKUP(A285,BBDD!$1:$1048653,5,0)</f>
        <v>Usuario Externo</v>
      </c>
      <c r="O285" s="36">
        <v>45981.0</v>
      </c>
      <c r="P285" s="32" t="s">
        <v>5582</v>
      </c>
      <c r="Q285" s="32" t="s">
        <v>5603</v>
      </c>
      <c r="R285" s="32" t="s">
        <v>5913</v>
      </c>
      <c r="S285" s="37"/>
      <c r="T285" s="32" t="s">
        <v>5585</v>
      </c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  <c r="AF285" s="22"/>
      <c r="AG285" s="22"/>
      <c r="AH285" s="22"/>
      <c r="AI285" s="22"/>
      <c r="AJ285" s="22"/>
      <c r="AK285" s="22"/>
      <c r="AL285" s="22"/>
      <c r="AM285" s="22"/>
      <c r="AN285" s="22"/>
      <c r="AO285" s="22"/>
    </row>
    <row r="286" ht="14.25" customHeight="1">
      <c r="A286" s="32">
        <v>1.9520774E7</v>
      </c>
      <c r="B286" s="33" t="str">
        <f>VLOOKUP(A286,BBDD!$1:$1048653,2,0)</f>
        <v>19.520.774-7</v>
      </c>
      <c r="C286" s="34" t="str">
        <f>VLOOKUP(A286,BBDD!$1:$1048653,7,0)</f>
        <v>Retamal Alvarez Flor Danitza</v>
      </c>
      <c r="D286" s="33" t="str">
        <f>VLOOKUP(A286,BBDD!$1:$1048653,8,0)</f>
        <v>Operario Apoyo Elaboracion</v>
      </c>
      <c r="E286" s="33" t="str">
        <f>VLOOKUP(A286,BBDD!$1:$1048653,10,0)</f>
        <v>Gerencia Producción Pesca</v>
      </c>
      <c r="F286" s="33" t="str">
        <f>VLOOKUP(A286,BBDD!$1:$1048653,11,0)</f>
        <v>Plazo fijo</v>
      </c>
      <c r="G286" s="33" t="str">
        <f>VLOOKUP(A286,BBDD!$1:$1048653,13,0)</f>
        <v>Coronel Rol Eventual</v>
      </c>
      <c r="H286" s="33" t="str">
        <f>VLOOKUP(A286,BBDD!$1:$1048653,14,0)</f>
        <v>Gerencia Corp. Negocio Seafood</v>
      </c>
      <c r="I286" s="33" t="str">
        <f>VLOOKUP(A286,BBDD!$1:$1048653,16,0)</f>
        <v>Temporada (Con ocasión Temporada de Pesca)</v>
      </c>
      <c r="J286" s="33" t="str">
        <f>VLOOKUP(A286,BBDD!$1:$1048653,17,0)</f>
        <v/>
      </c>
      <c r="K286" s="35">
        <f>VLOOKUP(A286,BBDD!$1:$1048653,12,0)</f>
        <v>45931</v>
      </c>
      <c r="L286" s="35" t="str">
        <f>VLOOKUP(A286,BBDD!$1:$1048653,3,0)</f>
        <v>Orizon S.A</v>
      </c>
      <c r="M286" s="35" t="str">
        <f>VLOOKUP(A286,BBDD!$1:$1048653,4,0)</f>
        <v>F4</v>
      </c>
      <c r="N286" s="35" t="str">
        <f>VLOOKUP(A286,BBDD!$1:$1048653,5,0)</f>
        <v>rflordanitza@gmail.com</v>
      </c>
      <c r="O286" s="36">
        <v>45981.0</v>
      </c>
      <c r="P286" s="32" t="s">
        <v>5582</v>
      </c>
      <c r="Q286" s="32" t="s">
        <v>5586</v>
      </c>
      <c r="R286" s="32" t="s">
        <v>5914</v>
      </c>
      <c r="S286" s="37"/>
      <c r="T286" s="32" t="s">
        <v>5616</v>
      </c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  <c r="AG286" s="22"/>
      <c r="AH286" s="22"/>
      <c r="AI286" s="22"/>
      <c r="AJ286" s="22"/>
      <c r="AK286" s="22"/>
      <c r="AL286" s="22"/>
      <c r="AM286" s="22"/>
      <c r="AN286" s="22"/>
      <c r="AO286" s="22"/>
    </row>
    <row r="287" ht="14.25" customHeight="1">
      <c r="A287" s="32">
        <v>1.8414706E7</v>
      </c>
      <c r="B287" s="33" t="str">
        <f>VLOOKUP(A287,BBDD!$1:$1048653,2,0)</f>
        <v>18.414.706-8</v>
      </c>
      <c r="C287" s="34" t="str">
        <f>VLOOKUP(A287,BBDD!$1:$1048653,7,0)</f>
        <v>Zapata Gutierrez Dieter Ismael</v>
      </c>
      <c r="D287" s="33" t="str">
        <f>VLOOKUP(A287,BBDD!$1:$1048653,8,0)</f>
        <v>Laboratorista Aseguramiento Calidad</v>
      </c>
      <c r="E287" s="33" t="str">
        <f>VLOOKUP(A287,BBDD!$1:$1048653,10,0)</f>
        <v>Gerencia Gestión Integrada y Calidad</v>
      </c>
      <c r="F287" s="33" t="str">
        <f>VLOOKUP(A287,BBDD!$1:$1048653,11,0)</f>
        <v>Plazo fijo</v>
      </c>
      <c r="G287" s="33" t="str">
        <f>VLOOKUP(A287,BBDD!$1:$1048653,13,0)</f>
        <v>Coronel Rol Tierra</v>
      </c>
      <c r="H287" s="33" t="str">
        <f>VLOOKUP(A287,BBDD!$1:$1048653,14,0)</f>
        <v>Gerencia Corp. Negocio Seafood</v>
      </c>
      <c r="I287" s="33" t="str">
        <f>VLOOKUP(A287,BBDD!$1:$1048653,16,0)</f>
        <v>Temporada (Con ocasión Temporada de Pesca)</v>
      </c>
      <c r="J287" s="33" t="str">
        <f>VLOOKUP(A287,BBDD!$1:$1048653,17,0)</f>
        <v/>
      </c>
      <c r="K287" s="35">
        <f>VLOOKUP(A287,BBDD!$1:$1048653,12,0)</f>
        <v>45933</v>
      </c>
      <c r="L287" s="35" t="str">
        <f>VLOOKUP(A287,BBDD!$1:$1048653,3,0)</f>
        <v>Orizon S.A</v>
      </c>
      <c r="M287" s="35" t="str">
        <f>VLOOKUP(A287,BBDD!$1:$1048653,4,0)</f>
        <v>F4</v>
      </c>
      <c r="N287" s="35" t="str">
        <f>VLOOKUP(A287,BBDD!$1:$1048653,5,0)</f>
        <v>DIETER.ZAPATA@GMAIL.COM</v>
      </c>
      <c r="O287" s="36">
        <v>45981.0</v>
      </c>
      <c r="P287" s="32" t="s">
        <v>5582</v>
      </c>
      <c r="Q287" s="32" t="s">
        <v>5586</v>
      </c>
      <c r="R287" s="32" t="s">
        <v>5915</v>
      </c>
      <c r="S287" s="37"/>
      <c r="T287" s="32" t="s">
        <v>5616</v>
      </c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  <c r="AF287" s="22"/>
      <c r="AG287" s="22"/>
      <c r="AH287" s="22"/>
      <c r="AI287" s="22"/>
      <c r="AJ287" s="22"/>
      <c r="AK287" s="22"/>
      <c r="AL287" s="22"/>
      <c r="AM287" s="22"/>
      <c r="AN287" s="22"/>
      <c r="AO287" s="22"/>
    </row>
    <row r="288" ht="14.25" customHeight="1">
      <c r="A288" s="40">
        <v>1.0</v>
      </c>
      <c r="B288" s="33" t="str">
        <f>VLOOKUP(A288,BBDD!$1:$1048653,2,0)</f>
        <v>Usuario Externo</v>
      </c>
      <c r="C288" s="34" t="str">
        <f>VLOOKUP(A288,BBDD!$1:$1048653,7,0)</f>
        <v>Usuario Externo</v>
      </c>
      <c r="D288" s="33" t="str">
        <f>VLOOKUP(A288,BBDD!$1:$1048653,8,0)</f>
        <v>Usuario Externo</v>
      </c>
      <c r="E288" s="33" t="str">
        <f>VLOOKUP(A288,BBDD!$1:$1048653,10,0)</f>
        <v>Usuario Externo</v>
      </c>
      <c r="F288" s="33" t="str">
        <f>VLOOKUP(A288,BBDD!$1:$1048653,11,0)</f>
        <v>Usuario Externo</v>
      </c>
      <c r="G288" s="33" t="str">
        <f>VLOOKUP(A288,BBDD!$1:$1048653,13,0)</f>
        <v>Usuario Externo</v>
      </c>
      <c r="H288" s="33" t="str">
        <f>VLOOKUP(A288,BBDD!$1:$1048653,14,0)</f>
        <v>Usuario Externo</v>
      </c>
      <c r="I288" s="33" t="str">
        <f>VLOOKUP(A288,BBDD!$1:$1048653,16,0)</f>
        <v>Usuario Externo</v>
      </c>
      <c r="J288" s="33" t="str">
        <f>VLOOKUP(A288,BBDD!$1:$1048653,17,0)</f>
        <v/>
      </c>
      <c r="K288" s="35" t="str">
        <f>VLOOKUP(A288,BBDD!$1:$1048653,12,0)</f>
        <v>Usuario Externo</v>
      </c>
      <c r="L288" s="35" t="str">
        <f>VLOOKUP(A288,BBDD!$1:$1048653,3,0)</f>
        <v>Usuario Externo</v>
      </c>
      <c r="M288" s="35" t="str">
        <f>VLOOKUP(A288,BBDD!$1:$1048653,4,0)</f>
        <v>Usuario Externo</v>
      </c>
      <c r="N288" s="35" t="str">
        <f>VLOOKUP(A288,BBDD!$1:$1048653,5,0)</f>
        <v>Usuario Externo</v>
      </c>
      <c r="O288" s="36">
        <v>45982.0</v>
      </c>
      <c r="P288" s="32" t="s">
        <v>5594</v>
      </c>
      <c r="Q288" s="32" t="s">
        <v>5603</v>
      </c>
      <c r="R288" s="32" t="s">
        <v>5916</v>
      </c>
      <c r="S288" s="37"/>
      <c r="T288" s="32" t="s">
        <v>5585</v>
      </c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  <c r="AF288" s="22"/>
      <c r="AG288" s="22"/>
      <c r="AH288" s="22"/>
      <c r="AI288" s="22"/>
      <c r="AJ288" s="22"/>
      <c r="AK288" s="22"/>
      <c r="AL288" s="22"/>
      <c r="AM288" s="22"/>
      <c r="AN288" s="22"/>
      <c r="AO288" s="22"/>
    </row>
    <row r="289" ht="14.25" customHeight="1">
      <c r="A289" s="41">
        <v>1.8069291E7</v>
      </c>
      <c r="B289" s="33" t="str">
        <f>VLOOKUP(A289,BBDD!$1:$1048653,2,0)</f>
        <v>18.069.291-6</v>
      </c>
      <c r="C289" s="34" t="str">
        <f>VLOOKUP(A289,BBDD!$1:$1048653,7,0)</f>
        <v>Ortiz Herrera Angie Alejandra</v>
      </c>
      <c r="D289" s="33" t="str">
        <f>VLOOKUP(A289,BBDD!$1:$1048653,8,0)</f>
        <v>Operario Apoyo Elaboracion</v>
      </c>
      <c r="E289" s="33" t="str">
        <f>VLOOKUP(A289,BBDD!$1:$1048653,10,0)</f>
        <v>Gerencia Producción Pesca</v>
      </c>
      <c r="F289" s="33" t="str">
        <f>VLOOKUP(A289,BBDD!$1:$1048653,11,0)</f>
        <v>Plazo fijo</v>
      </c>
      <c r="G289" s="33" t="str">
        <f>VLOOKUP(A289,BBDD!$1:$1048653,13,0)</f>
        <v>Coronel Rol Eventual</v>
      </c>
      <c r="H289" s="33" t="str">
        <f>VLOOKUP(A289,BBDD!$1:$1048653,14,0)</f>
        <v>Gerencia Corp. Negocio Seafood</v>
      </c>
      <c r="I289" s="33" t="str">
        <f>VLOOKUP(A289,BBDD!$1:$1048653,16,0)</f>
        <v>Temporada (Con ocasión Temporada de Pesca)</v>
      </c>
      <c r="J289" s="33" t="str">
        <f>VLOOKUP(A289,BBDD!$1:$1048653,17,0)</f>
        <v/>
      </c>
      <c r="K289" s="35">
        <f>VLOOKUP(A289,BBDD!$1:$1048653,12,0)</f>
        <v>45931</v>
      </c>
      <c r="L289" s="35" t="str">
        <f>VLOOKUP(A289,BBDD!$1:$1048653,3,0)</f>
        <v>Orizon S.A</v>
      </c>
      <c r="M289" s="35" t="str">
        <f>VLOOKUP(A289,BBDD!$1:$1048653,4,0)</f>
        <v>F4</v>
      </c>
      <c r="N289" s="35" t="str">
        <f>VLOOKUP(A289,BBDD!$1:$1048653,5,0)</f>
        <v>angie.ortiz102@icloud.com</v>
      </c>
      <c r="O289" s="36">
        <v>45982.0</v>
      </c>
      <c r="P289" s="32" t="s">
        <v>5575</v>
      </c>
      <c r="Q289" s="32" t="s">
        <v>5597</v>
      </c>
      <c r="R289" s="37"/>
      <c r="S289" s="37"/>
      <c r="T289" s="32" t="s">
        <v>5585</v>
      </c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  <c r="AF289" s="22"/>
      <c r="AG289" s="22"/>
      <c r="AH289" s="22"/>
      <c r="AI289" s="22"/>
      <c r="AJ289" s="22"/>
      <c r="AK289" s="22"/>
      <c r="AL289" s="22"/>
      <c r="AM289" s="22"/>
      <c r="AN289" s="22"/>
      <c r="AO289" s="22"/>
    </row>
    <row r="290" ht="14.25" customHeight="1">
      <c r="A290" s="32">
        <v>1.0</v>
      </c>
      <c r="B290" s="33" t="str">
        <f>VLOOKUP(A290,BBDD!$1:$1048653,2,0)</f>
        <v>Usuario Externo</v>
      </c>
      <c r="C290" s="34" t="str">
        <f>VLOOKUP(A290,BBDD!$1:$1048653,7,0)</f>
        <v>Usuario Externo</v>
      </c>
      <c r="D290" s="33" t="str">
        <f>VLOOKUP(A290,BBDD!$1:$1048653,8,0)</f>
        <v>Usuario Externo</v>
      </c>
      <c r="E290" s="33" t="str">
        <f>VLOOKUP(A290,BBDD!$1:$1048653,10,0)</f>
        <v>Usuario Externo</v>
      </c>
      <c r="F290" s="33" t="str">
        <f>VLOOKUP(A290,BBDD!$1:$1048653,11,0)</f>
        <v>Usuario Externo</v>
      </c>
      <c r="G290" s="33" t="str">
        <f>VLOOKUP(A290,BBDD!$1:$1048653,13,0)</f>
        <v>Usuario Externo</v>
      </c>
      <c r="H290" s="33" t="str">
        <f>VLOOKUP(A290,BBDD!$1:$1048653,14,0)</f>
        <v>Usuario Externo</v>
      </c>
      <c r="I290" s="33" t="str">
        <f>VLOOKUP(A290,BBDD!$1:$1048653,16,0)</f>
        <v>Usuario Externo</v>
      </c>
      <c r="J290" s="33" t="str">
        <f>VLOOKUP(A290,BBDD!$1:$1048653,17,0)</f>
        <v/>
      </c>
      <c r="K290" s="35" t="str">
        <f>VLOOKUP(A290,BBDD!$1:$1048653,12,0)</f>
        <v>Usuario Externo</v>
      </c>
      <c r="L290" s="35" t="str">
        <f>VLOOKUP(A290,BBDD!$1:$1048653,3,0)</f>
        <v>Usuario Externo</v>
      </c>
      <c r="M290" s="35" t="str">
        <f>VLOOKUP(A290,BBDD!$1:$1048653,4,0)</f>
        <v>Usuario Externo</v>
      </c>
      <c r="N290" s="35" t="str">
        <f>VLOOKUP(A290,BBDD!$1:$1048653,5,0)</f>
        <v>Usuario Externo</v>
      </c>
      <c r="O290" s="36">
        <v>45982.0</v>
      </c>
      <c r="P290" s="32" t="s">
        <v>5575</v>
      </c>
      <c r="Q290" s="32" t="s">
        <v>5598</v>
      </c>
      <c r="R290" s="37"/>
      <c r="S290" s="37"/>
      <c r="T290" s="32" t="s">
        <v>5585</v>
      </c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  <c r="AF290" s="22"/>
      <c r="AG290" s="22"/>
      <c r="AH290" s="22"/>
      <c r="AI290" s="22"/>
      <c r="AJ290" s="22"/>
      <c r="AK290" s="22"/>
      <c r="AL290" s="22"/>
      <c r="AM290" s="22"/>
      <c r="AN290" s="22"/>
      <c r="AO290" s="22"/>
    </row>
    <row r="291" ht="14.25" customHeight="1">
      <c r="A291" s="41">
        <v>1.9799595E7</v>
      </c>
      <c r="B291" s="33" t="str">
        <f>VLOOKUP(A291,BBDD!$1:$1048653,2,0)</f>
        <v>19.799.595-5</v>
      </c>
      <c r="C291" s="34" t="str">
        <f>VLOOKUP(A291,BBDD!$1:$1048653,7,0)</f>
        <v>Sanhueza Bravo Kevin Stalin</v>
      </c>
      <c r="D291" s="33" t="str">
        <f>VLOOKUP(A291,BBDD!$1:$1048653,8,0)</f>
        <v>Operador Elaboracion Php</v>
      </c>
      <c r="E291" s="33" t="str">
        <f>VLOOKUP(A291,BBDD!$1:$1048653,10,0)</f>
        <v>Gerencia Producción Pesca</v>
      </c>
      <c r="F291" s="33" t="str">
        <f>VLOOKUP(A291,BBDD!$1:$1048653,11,0)</f>
        <v>Plazo fijo</v>
      </c>
      <c r="G291" s="33" t="str">
        <f>VLOOKUP(A291,BBDD!$1:$1048653,13,0)</f>
        <v>Coronel Rol Tierra</v>
      </c>
      <c r="H291" s="33" t="str">
        <f>VLOOKUP(A291,BBDD!$1:$1048653,14,0)</f>
        <v>Gerencia Corp. Negocio Seafood</v>
      </c>
      <c r="I291" s="33" t="str">
        <f>VLOOKUP(A291,BBDD!$1:$1048653,16,0)</f>
        <v>Temporada (Con ocasión Temporada de Pesca)</v>
      </c>
      <c r="J291" s="33" t="str">
        <f>VLOOKUP(A291,BBDD!$1:$1048653,17,0)</f>
        <v/>
      </c>
      <c r="K291" s="35">
        <f>VLOOKUP(A291,BBDD!$1:$1048653,12,0)</f>
        <v>45962</v>
      </c>
      <c r="L291" s="35" t="str">
        <f>VLOOKUP(A291,BBDD!$1:$1048653,3,0)</f>
        <v>Orizon S.A</v>
      </c>
      <c r="M291" s="35" t="str">
        <f>VLOOKUP(A291,BBDD!$1:$1048653,4,0)</f>
        <v>F3</v>
      </c>
      <c r="N291" s="35" t="str">
        <f>VLOOKUP(A291,BBDD!$1:$1048653,5,0)</f>
        <v>kevinsanhuezabravo@gmail.com</v>
      </c>
      <c r="O291" s="36">
        <v>45982.0</v>
      </c>
      <c r="P291" s="32" t="s">
        <v>5575</v>
      </c>
      <c r="Q291" s="32" t="s">
        <v>5586</v>
      </c>
      <c r="R291" s="37"/>
      <c r="S291" s="37"/>
      <c r="T291" s="32" t="s">
        <v>5585</v>
      </c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  <c r="AF291" s="22"/>
      <c r="AG291" s="22"/>
      <c r="AH291" s="22"/>
      <c r="AI291" s="22"/>
      <c r="AJ291" s="22"/>
      <c r="AK291" s="22"/>
      <c r="AL291" s="22"/>
      <c r="AM291" s="22"/>
      <c r="AN291" s="22"/>
      <c r="AO291" s="22"/>
    </row>
    <row r="292" ht="14.25" customHeight="1">
      <c r="A292" s="32">
        <v>1.9521638E7</v>
      </c>
      <c r="B292" s="33" t="str">
        <f>VLOOKUP(A292,BBDD!$1:$1048653,2,0)</f>
        <v>19.521.638-k</v>
      </c>
      <c r="C292" s="34" t="str">
        <f>VLOOKUP(A292,BBDD!$1:$1048653,7,0)</f>
        <v>Muñoz Sanzana Stephanie Casandra</v>
      </c>
      <c r="D292" s="33" t="str">
        <f>VLOOKUP(A292,BBDD!$1:$1048653,8,0)</f>
        <v>Operario Apoyo Elaboracion</v>
      </c>
      <c r="E292" s="33" t="str">
        <f>VLOOKUP(A292,BBDD!$1:$1048653,10,0)</f>
        <v>Gerencia Producción Pesca</v>
      </c>
      <c r="F292" s="33" t="str">
        <f>VLOOKUP(A292,BBDD!$1:$1048653,11,0)</f>
        <v>Plazo fijo</v>
      </c>
      <c r="G292" s="33" t="str">
        <f>VLOOKUP(A292,BBDD!$1:$1048653,13,0)</f>
        <v>Coronel Rol Eventual</v>
      </c>
      <c r="H292" s="33" t="str">
        <f>VLOOKUP(A292,BBDD!$1:$1048653,14,0)</f>
        <v>Gerencia Corp. Negocio Seafood</v>
      </c>
      <c r="I292" s="33" t="str">
        <f>VLOOKUP(A292,BBDD!$1:$1048653,16,0)</f>
        <v>Temporada (Con ocasión Temporada de Pesca)</v>
      </c>
      <c r="J292" s="33" t="str">
        <f>VLOOKUP(A292,BBDD!$1:$1048653,17,0)</f>
        <v/>
      </c>
      <c r="K292" s="35">
        <f>VLOOKUP(A292,BBDD!$1:$1048653,12,0)</f>
        <v>45941</v>
      </c>
      <c r="L292" s="35" t="str">
        <f>VLOOKUP(A292,BBDD!$1:$1048653,3,0)</f>
        <v>Orizon S.A</v>
      </c>
      <c r="M292" s="35" t="str">
        <f>VLOOKUP(A292,BBDD!$1:$1048653,4,0)</f>
        <v>F1</v>
      </c>
      <c r="N292" s="35" t="str">
        <f>VLOOKUP(A292,BBDD!$1:$1048653,5,0)</f>
        <v>tonastephanie97@gmail.com</v>
      </c>
      <c r="O292" s="36">
        <v>45982.0</v>
      </c>
      <c r="P292" s="32" t="s">
        <v>5582</v>
      </c>
      <c r="Q292" s="32" t="s">
        <v>5586</v>
      </c>
      <c r="R292" s="37"/>
      <c r="S292" s="37"/>
      <c r="T292" s="32" t="s">
        <v>5585</v>
      </c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  <c r="AF292" s="22"/>
      <c r="AG292" s="22"/>
      <c r="AH292" s="22"/>
      <c r="AI292" s="22"/>
      <c r="AJ292" s="22"/>
      <c r="AK292" s="22"/>
      <c r="AL292" s="22"/>
      <c r="AM292" s="22"/>
      <c r="AN292" s="22"/>
      <c r="AO292" s="22"/>
    </row>
    <row r="293" ht="14.25" customHeight="1">
      <c r="A293" s="32">
        <v>1.1241045E7</v>
      </c>
      <c r="B293" s="33" t="str">
        <f>VLOOKUP(A293,BBDD!$1:$1048653,2,0)</f>
        <v>11.241.045-7</v>
      </c>
      <c r="C293" s="34" t="str">
        <f>VLOOKUP(A293,BBDD!$1:$1048653,7,0)</f>
        <v>Zapata Lopez Soraya Marlen</v>
      </c>
      <c r="D293" s="33" t="str">
        <f>VLOOKUP(A293,BBDD!$1:$1048653,8,0)</f>
        <v>Operario Apoyo Elaboracion</v>
      </c>
      <c r="E293" s="33" t="str">
        <f>VLOOKUP(A293,BBDD!$1:$1048653,10,0)</f>
        <v>Gerencia Producción Pesca</v>
      </c>
      <c r="F293" s="33" t="str">
        <f>VLOOKUP(A293,BBDD!$1:$1048653,11,0)</f>
        <v>Plazo fijo</v>
      </c>
      <c r="G293" s="33" t="str">
        <f>VLOOKUP(A293,BBDD!$1:$1048653,13,0)</f>
        <v>Coronel Rol Eventual</v>
      </c>
      <c r="H293" s="33" t="str">
        <f>VLOOKUP(A293,BBDD!$1:$1048653,14,0)</f>
        <v>Gerencia Corp. Negocio Seafood</v>
      </c>
      <c r="I293" s="33" t="str">
        <f>VLOOKUP(A293,BBDD!$1:$1048653,16,0)</f>
        <v>Temporada (Con ocasión Temporada de Pesca)</v>
      </c>
      <c r="J293" s="33" t="str">
        <f>VLOOKUP(A293,BBDD!$1:$1048653,17,0)</f>
        <v/>
      </c>
      <c r="K293" s="35">
        <f>VLOOKUP(A293,BBDD!$1:$1048653,12,0)</f>
        <v>45940</v>
      </c>
      <c r="L293" s="35" t="str">
        <f>VLOOKUP(A293,BBDD!$1:$1048653,3,0)</f>
        <v>Orizon S.A</v>
      </c>
      <c r="M293" s="35" t="str">
        <f>VLOOKUP(A293,BBDD!$1:$1048653,4,0)</f>
        <v>F1</v>
      </c>
      <c r="N293" s="35" t="str">
        <f>VLOOKUP(A293,BBDD!$1:$1048653,5,0)</f>
        <v>marlenzapatalopez@gmail.com</v>
      </c>
      <c r="O293" s="36">
        <v>45982.0</v>
      </c>
      <c r="P293" s="32" t="s">
        <v>5582</v>
      </c>
      <c r="Q293" s="32" t="s">
        <v>5586</v>
      </c>
      <c r="R293" s="32" t="s">
        <v>5917</v>
      </c>
      <c r="S293" s="37"/>
      <c r="T293" s="32" t="s">
        <v>5585</v>
      </c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  <c r="AF293" s="22"/>
      <c r="AG293" s="22"/>
      <c r="AH293" s="22"/>
      <c r="AI293" s="22"/>
      <c r="AJ293" s="22"/>
      <c r="AK293" s="22"/>
      <c r="AL293" s="22"/>
      <c r="AM293" s="22"/>
      <c r="AN293" s="22"/>
      <c r="AO293" s="22"/>
    </row>
    <row r="294" ht="14.25" customHeight="1">
      <c r="A294" s="32">
        <v>1.6689806E7</v>
      </c>
      <c r="B294" s="33" t="str">
        <f>VLOOKUP(A294,BBDD!$1:$1048653,2,0)</f>
        <v>16.689.806-4</v>
      </c>
      <c r="C294" s="34" t="str">
        <f>VLOOKUP(A294,BBDD!$1:$1048653,7,0)</f>
        <v>Ramirez Moraga Carlina Elizabeth</v>
      </c>
      <c r="D294" s="33" t="str">
        <f>VLOOKUP(A294,BBDD!$1:$1048653,8,0)</f>
        <v>Operario Apoyo Elaboracion</v>
      </c>
      <c r="E294" s="33" t="str">
        <f>VLOOKUP(A294,BBDD!$1:$1048653,10,0)</f>
        <v>Gerencia Producción Pesca</v>
      </c>
      <c r="F294" s="33" t="str">
        <f>VLOOKUP(A294,BBDD!$1:$1048653,11,0)</f>
        <v>Plazo fijo</v>
      </c>
      <c r="G294" s="33" t="str">
        <f>VLOOKUP(A294,BBDD!$1:$1048653,13,0)</f>
        <v>Coronel Rol Eventual</v>
      </c>
      <c r="H294" s="33" t="str">
        <f>VLOOKUP(A294,BBDD!$1:$1048653,14,0)</f>
        <v>Gerencia Corp. Negocio Seafood</v>
      </c>
      <c r="I294" s="33" t="str">
        <f>VLOOKUP(A294,BBDD!$1:$1048653,16,0)</f>
        <v>Temporada (Con ocasión Temporada de Pesca)</v>
      </c>
      <c r="J294" s="33" t="str">
        <f>VLOOKUP(A294,BBDD!$1:$1048653,17,0)</f>
        <v/>
      </c>
      <c r="K294" s="35">
        <f>VLOOKUP(A294,BBDD!$1:$1048653,12,0)</f>
        <v>45941</v>
      </c>
      <c r="L294" s="35" t="str">
        <f>VLOOKUP(A294,BBDD!$1:$1048653,3,0)</f>
        <v>Orizon S.A</v>
      </c>
      <c r="M294" s="35" t="str">
        <f>VLOOKUP(A294,BBDD!$1:$1048653,4,0)</f>
        <v>F1</v>
      </c>
      <c r="N294" s="35" t="str">
        <f>VLOOKUP(A294,BBDD!$1:$1048653,5,0)</f>
        <v>carlinaramirezmoraga@gmail.com</v>
      </c>
      <c r="O294" s="36">
        <v>45982.0</v>
      </c>
      <c r="P294" s="32" t="s">
        <v>5582</v>
      </c>
      <c r="Q294" s="32" t="s">
        <v>5838</v>
      </c>
      <c r="R294" s="32" t="s">
        <v>5839</v>
      </c>
      <c r="S294" s="37"/>
      <c r="T294" s="32" t="s">
        <v>5585</v>
      </c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  <c r="AF294" s="22"/>
      <c r="AG294" s="22"/>
      <c r="AH294" s="22"/>
      <c r="AI294" s="22"/>
      <c r="AJ294" s="22"/>
      <c r="AK294" s="22"/>
      <c r="AL294" s="22"/>
      <c r="AM294" s="22"/>
      <c r="AN294" s="22"/>
      <c r="AO294" s="22"/>
    </row>
    <row r="295" ht="14.25" customHeight="1">
      <c r="A295" s="32">
        <v>2.1437214E7</v>
      </c>
      <c r="B295" s="33" t="str">
        <f>VLOOKUP(A295,BBDD!$1:$1048653,2,0)</f>
        <v>21.437.214-2</v>
      </c>
      <c r="C295" s="34" t="str">
        <f>VLOOKUP(A295,BBDD!$1:$1048653,7,0)</f>
        <v>Amaya Salgado Scarleth Jacqueline</v>
      </c>
      <c r="D295" s="33" t="str">
        <f>VLOOKUP(A295,BBDD!$1:$1048653,8,0)</f>
        <v>Operario Apoyo Elaboracion</v>
      </c>
      <c r="E295" s="33" t="str">
        <f>VLOOKUP(A295,BBDD!$1:$1048653,10,0)</f>
        <v>Gerencia Producción Pesca</v>
      </c>
      <c r="F295" s="33" t="str">
        <f>VLOOKUP(A295,BBDD!$1:$1048653,11,0)</f>
        <v>Plazo fijo</v>
      </c>
      <c r="G295" s="33" t="str">
        <f>VLOOKUP(A295,BBDD!$1:$1048653,13,0)</f>
        <v>Coronel Rol Eventual</v>
      </c>
      <c r="H295" s="33" t="str">
        <f>VLOOKUP(A295,BBDD!$1:$1048653,14,0)</f>
        <v>Gerencia Corp. Negocio Seafood</v>
      </c>
      <c r="I295" s="33" t="str">
        <f>VLOOKUP(A295,BBDD!$1:$1048653,16,0)</f>
        <v>Temporada (Con ocasión Temporada de Pesca)</v>
      </c>
      <c r="J295" s="33" t="str">
        <f>VLOOKUP(A295,BBDD!$1:$1048653,17,0)</f>
        <v/>
      </c>
      <c r="K295" s="35">
        <f>VLOOKUP(A295,BBDD!$1:$1048653,12,0)</f>
        <v>45941</v>
      </c>
      <c r="L295" s="35" t="str">
        <f>VLOOKUP(A295,BBDD!$1:$1048653,3,0)</f>
        <v>Orizon S.A</v>
      </c>
      <c r="M295" s="35" t="str">
        <f>VLOOKUP(A295,BBDD!$1:$1048653,4,0)</f>
        <v>F2</v>
      </c>
      <c r="N295" s="35" t="str">
        <f>VLOOKUP(A295,BBDD!$1:$1048653,5,0)</f>
        <v>scar2003amaya@gmail.com</v>
      </c>
      <c r="O295" s="36">
        <v>45982.0</v>
      </c>
      <c r="P295" s="32" t="s">
        <v>5582</v>
      </c>
      <c r="Q295" s="32" t="s">
        <v>5601</v>
      </c>
      <c r="R295" s="32" t="s">
        <v>5918</v>
      </c>
      <c r="S295" s="37"/>
      <c r="T295" s="32" t="s">
        <v>5585</v>
      </c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  <c r="AF295" s="22"/>
      <c r="AG295" s="22"/>
      <c r="AH295" s="22"/>
      <c r="AI295" s="22"/>
      <c r="AJ295" s="22"/>
      <c r="AK295" s="22"/>
      <c r="AL295" s="22"/>
      <c r="AM295" s="22"/>
      <c r="AN295" s="22"/>
      <c r="AO295" s="22"/>
    </row>
    <row r="296" ht="14.25" customHeight="1">
      <c r="A296" s="39">
        <v>2.667102E7</v>
      </c>
      <c r="B296" s="33" t="str">
        <f>VLOOKUP(A296,BBDD!$1:$1048653,2,0)</f>
        <v>26.671.020-8</v>
      </c>
      <c r="C296" s="34" t="str">
        <f>VLOOKUP(A296,BBDD!$1:$1048653,7,0)</f>
        <v>Borges Mata Eleazar Jose</v>
      </c>
      <c r="D296" s="33" t="str">
        <f>VLOOKUP(A296,BBDD!$1:$1048653,8,0)</f>
        <v>Operario Apoyo Elaboracion</v>
      </c>
      <c r="E296" s="33" t="str">
        <f>VLOOKUP(A296,BBDD!$1:$1048653,10,0)</f>
        <v>Gerencia Producción Pesca</v>
      </c>
      <c r="F296" s="33" t="str">
        <f>VLOOKUP(A296,BBDD!$1:$1048653,11,0)</f>
        <v>Plazo fijo</v>
      </c>
      <c r="G296" s="33" t="str">
        <f>VLOOKUP(A296,BBDD!$1:$1048653,13,0)</f>
        <v>Coronel Rol Eventual</v>
      </c>
      <c r="H296" s="33" t="str">
        <f>VLOOKUP(A296,BBDD!$1:$1048653,14,0)</f>
        <v>Gerencia Corp. Negocio Seafood</v>
      </c>
      <c r="I296" s="33" t="str">
        <f>VLOOKUP(A296,BBDD!$1:$1048653,16,0)</f>
        <v>Temporada (Con ocasión Temporada de Pesca)</v>
      </c>
      <c r="J296" s="33" t="str">
        <f>VLOOKUP(A296,BBDD!$1:$1048653,17,0)</f>
        <v/>
      </c>
      <c r="K296" s="35">
        <f>VLOOKUP(A296,BBDD!$1:$1048653,12,0)</f>
        <v>45936</v>
      </c>
      <c r="L296" s="35" t="str">
        <f>VLOOKUP(A296,BBDD!$1:$1048653,3,0)</f>
        <v>Orizon S.A</v>
      </c>
      <c r="M296" s="35" t="str">
        <f>VLOOKUP(A296,BBDD!$1:$1048653,4,0)</f>
        <v>F5</v>
      </c>
      <c r="N296" s="35" t="str">
        <f>VLOOKUP(A296,BBDD!$1:$1048653,5,0)</f>
        <v>ELEAZARBORGES85@GMAIL.COM</v>
      </c>
      <c r="O296" s="36">
        <v>45985.0</v>
      </c>
      <c r="P296" s="32" t="s">
        <v>5582</v>
      </c>
      <c r="Q296" s="32" t="s">
        <v>5601</v>
      </c>
      <c r="R296" s="32" t="s">
        <v>5919</v>
      </c>
      <c r="S296" s="37"/>
      <c r="T296" s="32" t="s">
        <v>5616</v>
      </c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  <c r="AF296" s="22"/>
      <c r="AG296" s="22"/>
      <c r="AH296" s="22"/>
      <c r="AI296" s="22"/>
      <c r="AJ296" s="22"/>
      <c r="AK296" s="22"/>
      <c r="AL296" s="22"/>
      <c r="AM296" s="22"/>
      <c r="AN296" s="22"/>
      <c r="AO296" s="22"/>
    </row>
    <row r="297" ht="14.25" customHeight="1">
      <c r="A297" s="32">
        <v>2.0995723E7</v>
      </c>
      <c r="B297" s="33" t="str">
        <f>VLOOKUP(A297,BBDD!$1:$1048653,2,0)</f>
        <v>20.995.723-k</v>
      </c>
      <c r="C297" s="34" t="str">
        <f>VLOOKUP(A297,BBDD!$1:$1048653,7,0)</f>
        <v>Contreras Molina Diego Orlando</v>
      </c>
      <c r="D297" s="33" t="str">
        <f>VLOOKUP(A297,BBDD!$1:$1048653,8,0)</f>
        <v>Operario Apoyo Elaboracion</v>
      </c>
      <c r="E297" s="33" t="str">
        <f>VLOOKUP(A297,BBDD!$1:$1048653,10,0)</f>
        <v>Gerencia Producción Pesca</v>
      </c>
      <c r="F297" s="33" t="str">
        <f>VLOOKUP(A297,BBDD!$1:$1048653,11,0)</f>
        <v>Plazo fijo</v>
      </c>
      <c r="G297" s="33" t="str">
        <f>VLOOKUP(A297,BBDD!$1:$1048653,13,0)</f>
        <v>Coronel Rol Eventual</v>
      </c>
      <c r="H297" s="33" t="str">
        <f>VLOOKUP(A297,BBDD!$1:$1048653,14,0)</f>
        <v>Gerencia Corp. Negocio Seafood</v>
      </c>
      <c r="I297" s="33" t="str">
        <f>VLOOKUP(A297,BBDD!$1:$1048653,16,0)</f>
        <v>Temporada (Con ocasión Temporada de Pesca)</v>
      </c>
      <c r="J297" s="33" t="str">
        <f>VLOOKUP(A297,BBDD!$1:$1048653,17,0)</f>
        <v/>
      </c>
      <c r="K297" s="35">
        <f>VLOOKUP(A297,BBDD!$1:$1048653,12,0)</f>
        <v>45940</v>
      </c>
      <c r="L297" s="35" t="str">
        <f>VLOOKUP(A297,BBDD!$1:$1048653,3,0)</f>
        <v>Orizon S.A</v>
      </c>
      <c r="M297" s="35" t="str">
        <f>VLOOKUP(A297,BBDD!$1:$1048653,4,0)</f>
        <v>F1</v>
      </c>
      <c r="N297" s="35" t="str">
        <f>VLOOKUP(A297,BBDD!$1:$1048653,5,0)</f>
        <v>diegoorlandoc834@gmail.com</v>
      </c>
      <c r="O297" s="36">
        <v>45985.0</v>
      </c>
      <c r="P297" s="32" t="s">
        <v>5582</v>
      </c>
      <c r="Q297" s="32" t="s">
        <v>5838</v>
      </c>
      <c r="R297" s="32" t="s">
        <v>5839</v>
      </c>
      <c r="S297" s="37"/>
      <c r="T297" s="32" t="s">
        <v>5585</v>
      </c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  <c r="AF297" s="22"/>
      <c r="AG297" s="22"/>
      <c r="AH297" s="22"/>
      <c r="AI297" s="22"/>
      <c r="AJ297" s="22"/>
      <c r="AK297" s="22"/>
      <c r="AL297" s="22"/>
      <c r="AM297" s="22"/>
      <c r="AN297" s="22"/>
      <c r="AO297" s="22"/>
    </row>
    <row r="298" ht="14.25" customHeight="1">
      <c r="A298" s="32">
        <v>1.5189064E7</v>
      </c>
      <c r="B298" s="33" t="str">
        <f>VLOOKUP(A298,BBDD!$1:$1048653,2,0)</f>
        <v>15.189.064-4</v>
      </c>
      <c r="C298" s="34" t="str">
        <f>VLOOKUP(A298,BBDD!$1:$1048653,7,0)</f>
        <v>Pilco Bueno Pedro Juan</v>
      </c>
      <c r="D298" s="33" t="str">
        <f>VLOOKUP(A298,BBDD!$1:$1048653,8,0)</f>
        <v>Tripulante</v>
      </c>
      <c r="E298" s="33" t="str">
        <f>VLOOKUP(A298,BBDD!$1:$1048653,10,0)</f>
        <v>Gerencia de Flota y Abastecimiento de Materias Primas</v>
      </c>
      <c r="F298" s="33" t="str">
        <f>VLOOKUP(A298,BBDD!$1:$1048653,11,0)</f>
        <v>Indefinido</v>
      </c>
      <c r="G298" s="33" t="str">
        <f>VLOOKUP(A298,BBDD!$1:$1048653,13,0)</f>
        <v>Coronel Rol Flota</v>
      </c>
      <c r="H298" s="33" t="str">
        <f>VLOOKUP(A298,BBDD!$1:$1048653,14,0)</f>
        <v>Gerencia Corp. Negocio Seafood</v>
      </c>
      <c r="I298" s="33" t="str">
        <f>VLOOKUP(A298,BBDD!$1:$1048653,16,0)</f>
        <v>Rol General (Cargo permanente o proyección indefinido)</v>
      </c>
      <c r="J298" s="33" t="str">
        <f>VLOOKUP(A298,BBDD!$1:$1048653,17,0)</f>
        <v/>
      </c>
      <c r="K298" s="35">
        <f>VLOOKUP(A298,BBDD!$1:$1048653,12,0)</f>
        <v>45572</v>
      </c>
      <c r="L298" s="35" t="str">
        <f>VLOOKUP(A298,BBDD!$1:$1048653,3,0)</f>
        <v>Orizon S.A</v>
      </c>
      <c r="M298" s="35" t="str">
        <f>VLOOKUP(A298,BBDD!$1:$1048653,4,0)</f>
        <v>F2</v>
      </c>
      <c r="N298" s="35" t="str">
        <f>VLOOKUP(A298,BBDD!$1:$1048653,5,0)</f>
        <v>PEDRO.PILCOBUENO@GMAIL.COM</v>
      </c>
      <c r="O298" s="36">
        <v>45985.0</v>
      </c>
      <c r="P298" s="32" t="s">
        <v>5582</v>
      </c>
      <c r="Q298" s="32" t="s">
        <v>5599</v>
      </c>
      <c r="R298" s="37"/>
      <c r="S298" s="37"/>
      <c r="T298" s="32" t="s">
        <v>5585</v>
      </c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  <c r="AF298" s="22"/>
      <c r="AG298" s="22"/>
      <c r="AH298" s="22"/>
      <c r="AI298" s="22"/>
      <c r="AJ298" s="22"/>
      <c r="AK298" s="22"/>
      <c r="AL298" s="22"/>
      <c r="AM298" s="22"/>
      <c r="AN298" s="22"/>
      <c r="AO298" s="22"/>
    </row>
    <row r="299" ht="14.25" customHeight="1">
      <c r="A299" s="41">
        <v>9131791.0</v>
      </c>
      <c r="B299" s="33" t="str">
        <f>VLOOKUP(A299,BBDD!$1:$1048653,2,0)</f>
        <v>9.131.791-5</v>
      </c>
      <c r="C299" s="34" t="str">
        <f>VLOOKUP(A299,BBDD!$1:$1048653,7,0)</f>
        <v>Henriquez Martinez Ivan Leandro</v>
      </c>
      <c r="D299" s="33" t="str">
        <f>VLOOKUP(A299,BBDD!$1:$1048653,8,0)</f>
        <v>Tripulante</v>
      </c>
      <c r="E299" s="33" t="str">
        <f>VLOOKUP(A299,BBDD!$1:$1048653,10,0)</f>
        <v>Gerencia de Flota y Abastecimiento de Materias Primas</v>
      </c>
      <c r="F299" s="33" t="str">
        <f>VLOOKUP(A299,BBDD!$1:$1048653,11,0)</f>
        <v>Indefinido</v>
      </c>
      <c r="G299" s="33" t="str">
        <f>VLOOKUP(A299,BBDD!$1:$1048653,13,0)</f>
        <v>Coronel Rol Flota</v>
      </c>
      <c r="H299" s="33" t="str">
        <f>VLOOKUP(A299,BBDD!$1:$1048653,14,0)</f>
        <v>Gerencia Corp. Negocio Seafood</v>
      </c>
      <c r="I299" s="33" t="str">
        <f>VLOOKUP(A299,BBDD!$1:$1048653,16,0)</f>
        <v>Rol General (Cargo permanente o proyección indefinido)</v>
      </c>
      <c r="J299" s="33" t="str">
        <f>VLOOKUP(A299,BBDD!$1:$1048653,17,0)</f>
        <v/>
      </c>
      <c r="K299" s="35">
        <f>VLOOKUP(A299,BBDD!$1:$1048653,12,0)</f>
        <v>44127</v>
      </c>
      <c r="L299" s="35" t="str">
        <f>VLOOKUP(A299,BBDD!$1:$1048653,3,0)</f>
        <v>Orizon S.A</v>
      </c>
      <c r="M299" s="35" t="str">
        <f>VLOOKUP(A299,BBDD!$1:$1048653,4,0)</f>
        <v>F1</v>
      </c>
      <c r="N299" s="35" t="str">
        <f>VLOOKUP(A299,BBDD!$1:$1048653,5,0)</f>
        <v>leandrin.martinez@gmail.com</v>
      </c>
      <c r="O299" s="36">
        <v>45985.0</v>
      </c>
      <c r="P299" s="32" t="s">
        <v>5582</v>
      </c>
      <c r="Q299" s="32" t="s">
        <v>5597</v>
      </c>
      <c r="R299" s="37"/>
      <c r="S299" s="37"/>
      <c r="T299" s="32" t="s">
        <v>5585</v>
      </c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  <c r="AF299" s="22"/>
      <c r="AG299" s="22"/>
      <c r="AH299" s="22"/>
      <c r="AI299" s="22"/>
      <c r="AJ299" s="22"/>
      <c r="AK299" s="22"/>
      <c r="AL299" s="22"/>
      <c r="AM299" s="22"/>
      <c r="AN299" s="22"/>
      <c r="AO299" s="22"/>
    </row>
    <row r="300" ht="14.25" customHeight="1">
      <c r="A300" s="32">
        <v>1.0</v>
      </c>
      <c r="B300" s="33" t="str">
        <f>VLOOKUP(A300,BBDD!$1:$1048653,2,0)</f>
        <v>Usuario Externo</v>
      </c>
      <c r="C300" s="34" t="str">
        <f>VLOOKUP(A300,BBDD!$1:$1048653,7,0)</f>
        <v>Usuario Externo</v>
      </c>
      <c r="D300" s="33" t="str">
        <f>VLOOKUP(A300,BBDD!$1:$1048653,8,0)</f>
        <v>Usuario Externo</v>
      </c>
      <c r="E300" s="33" t="str">
        <f>VLOOKUP(A300,BBDD!$1:$1048653,10,0)</f>
        <v>Usuario Externo</v>
      </c>
      <c r="F300" s="33" t="str">
        <f>VLOOKUP(A300,BBDD!$1:$1048653,11,0)</f>
        <v>Usuario Externo</v>
      </c>
      <c r="G300" s="33" t="str">
        <f>VLOOKUP(A300,BBDD!$1:$1048653,13,0)</f>
        <v>Usuario Externo</v>
      </c>
      <c r="H300" s="33" t="str">
        <f>VLOOKUP(A300,BBDD!$1:$1048653,14,0)</f>
        <v>Usuario Externo</v>
      </c>
      <c r="I300" s="33" t="str">
        <f>VLOOKUP(A300,BBDD!$1:$1048653,16,0)</f>
        <v>Usuario Externo</v>
      </c>
      <c r="J300" s="33" t="str">
        <f>VLOOKUP(A300,BBDD!$1:$1048653,17,0)</f>
        <v/>
      </c>
      <c r="K300" s="35" t="str">
        <f>VLOOKUP(A300,BBDD!$1:$1048653,12,0)</f>
        <v>Usuario Externo</v>
      </c>
      <c r="L300" s="35" t="str">
        <f>VLOOKUP(A300,BBDD!$1:$1048653,3,0)</f>
        <v>Usuario Externo</v>
      </c>
      <c r="M300" s="35" t="str">
        <f>VLOOKUP(A300,BBDD!$1:$1048653,4,0)</f>
        <v>Usuario Externo</v>
      </c>
      <c r="N300" s="35" t="str">
        <f>VLOOKUP(A300,BBDD!$1:$1048653,5,0)</f>
        <v>Usuario Externo</v>
      </c>
      <c r="O300" s="36">
        <v>45985.0</v>
      </c>
      <c r="P300" s="32" t="s">
        <v>5582</v>
      </c>
      <c r="Q300" s="32" t="s">
        <v>5598</v>
      </c>
      <c r="R300" s="37"/>
      <c r="S300" s="37"/>
      <c r="T300" s="32" t="s">
        <v>5585</v>
      </c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  <c r="AF300" s="22"/>
      <c r="AG300" s="22"/>
      <c r="AH300" s="22"/>
      <c r="AI300" s="22"/>
      <c r="AJ300" s="22"/>
      <c r="AK300" s="22"/>
      <c r="AL300" s="22"/>
      <c r="AM300" s="22"/>
      <c r="AN300" s="22"/>
      <c r="AO300" s="22"/>
    </row>
    <row r="301" ht="14.25" customHeight="1">
      <c r="A301" s="40">
        <v>1.8419696E7</v>
      </c>
      <c r="B301" s="33" t="str">
        <f>VLOOKUP(#REF!,BBDD!$1:$1048653,2,0)</f>
        <v>#REF!</v>
      </c>
      <c r="C301" s="34" t="str">
        <f>VLOOKUP(#REF!,BBDD!$1:$1048653,7,0)</f>
        <v>#REF!</v>
      </c>
      <c r="D301" s="33" t="str">
        <f>VLOOKUP(#REF!,BBDD!$1:$1048653,8,0)</f>
        <v>#REF!</v>
      </c>
      <c r="E301" s="33" t="str">
        <f>VLOOKUP(#REF!,BBDD!$1:$1048653,10,0)</f>
        <v>#REF!</v>
      </c>
      <c r="F301" s="33" t="str">
        <f>VLOOKUP(#REF!,BBDD!$1:$1048653,11,0)</f>
        <v>#REF!</v>
      </c>
      <c r="G301" s="33" t="str">
        <f>VLOOKUP(#REF!,BBDD!$1:$1048653,13,0)</f>
        <v>#REF!</v>
      </c>
      <c r="H301" s="33" t="str">
        <f>VLOOKUP(#REF!,BBDD!$1:$1048653,14,0)</f>
        <v>#REF!</v>
      </c>
      <c r="I301" s="33" t="str">
        <f>VLOOKUP(#REF!,BBDD!$1:$1048653,16,0)</f>
        <v>#REF!</v>
      </c>
      <c r="J301" s="33" t="str">
        <f>VLOOKUP(#REF!,BBDD!$1:$1048653,17,0)</f>
        <v>#REF!</v>
      </c>
      <c r="K301" s="35" t="str">
        <f>VLOOKUP(#REF!,BBDD!$1:$1048653,12,0)</f>
        <v>#REF!</v>
      </c>
      <c r="L301" s="35" t="str">
        <f>VLOOKUP(#REF!,BBDD!$1:$1048653,3,0)</f>
        <v>#REF!</v>
      </c>
      <c r="M301" s="35" t="str">
        <f>VLOOKUP(#REF!,BBDD!$1:$1048653,4,0)</f>
        <v>#REF!</v>
      </c>
      <c r="N301" s="35" t="str">
        <f>VLOOKUP(#REF!,BBDD!$1:$1048653,5,0)</f>
        <v>#REF!</v>
      </c>
      <c r="O301" s="36">
        <v>45985.0</v>
      </c>
      <c r="P301" s="32" t="s">
        <v>5582</v>
      </c>
      <c r="Q301" s="32" t="s">
        <v>5586</v>
      </c>
      <c r="R301" s="37"/>
      <c r="S301" s="37"/>
      <c r="T301" s="32" t="s">
        <v>5585</v>
      </c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  <c r="AF301" s="22"/>
      <c r="AG301" s="22"/>
      <c r="AH301" s="22"/>
      <c r="AI301" s="22"/>
      <c r="AJ301" s="22"/>
      <c r="AK301" s="22"/>
      <c r="AL301" s="22"/>
      <c r="AM301" s="22"/>
      <c r="AN301" s="22"/>
      <c r="AO301" s="22"/>
    </row>
    <row r="302" ht="14.25" customHeight="1">
      <c r="A302" s="39">
        <v>1.6328477E7</v>
      </c>
      <c r="B302" s="33" t="str">
        <f>VLOOKUP(A301,BBDD!$1:$1048653,2,0)</f>
        <v>18.419.696-4</v>
      </c>
      <c r="C302" s="34" t="str">
        <f>VLOOKUP(A301,BBDD!$1:$1048653,7,0)</f>
        <v>Marquez Hernandez Jean Paul Edison</v>
      </c>
      <c r="D302" s="33" t="str">
        <f>VLOOKUP(A301,BBDD!$1:$1048653,8,0)</f>
        <v>Camarero-Gruero</v>
      </c>
      <c r="E302" s="33" t="str">
        <f>VLOOKUP(A301,BBDD!$1:$1048653,10,0)</f>
        <v>Gerencia Logistica</v>
      </c>
      <c r="F302" s="33" t="str">
        <f>VLOOKUP(A301,BBDD!$1:$1048653,11,0)</f>
        <v>Plazo fijo</v>
      </c>
      <c r="G302" s="33" t="str">
        <f>VLOOKUP(A301,BBDD!$1:$1048653,13,0)</f>
        <v>Coronel Rol Tierra</v>
      </c>
      <c r="H302" s="33" t="str">
        <f>VLOOKUP(A301,BBDD!$1:$1048653,14,0)</f>
        <v>Gerencia Corp. Supply Chain</v>
      </c>
      <c r="I302" s="33" t="str">
        <f>VLOOKUP(A301,BBDD!$1:$1048653,16,0)</f>
        <v>Temporada (Con ocasión Temporada de Pesca)</v>
      </c>
      <c r="J302" s="33" t="str">
        <f>VLOOKUP(A301,BBDD!$1:$1048653,17,0)</f>
        <v/>
      </c>
      <c r="K302" s="35">
        <f>VLOOKUP(A301,BBDD!$1:$1048653,12,0)</f>
        <v>45936</v>
      </c>
      <c r="L302" s="35" t="str">
        <f>VLOOKUP(A301,BBDD!$1:$1048653,3,0)</f>
        <v>Orizon S.A</v>
      </c>
      <c r="M302" s="35" t="str">
        <f>VLOOKUP(A301,BBDD!$1:$1048653,4,0)</f>
        <v>F1</v>
      </c>
      <c r="N302" s="35" t="str">
        <f>VLOOKUP(A301,BBDD!$1:$1048653,5,0)</f>
        <v>jean.marquez@virginiogomez.cl</v>
      </c>
      <c r="O302" s="36">
        <v>45985.0</v>
      </c>
      <c r="P302" s="32" t="s">
        <v>5582</v>
      </c>
      <c r="Q302" s="32" t="s">
        <v>5586</v>
      </c>
      <c r="R302" s="37"/>
      <c r="S302" s="37"/>
      <c r="T302" s="32" t="s">
        <v>5585</v>
      </c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  <c r="AF302" s="22"/>
      <c r="AG302" s="22"/>
      <c r="AH302" s="22"/>
      <c r="AI302" s="22"/>
      <c r="AJ302" s="22"/>
      <c r="AK302" s="22"/>
      <c r="AL302" s="22"/>
      <c r="AM302" s="22"/>
      <c r="AN302" s="22"/>
      <c r="AO302" s="22"/>
    </row>
    <row r="303" ht="14.25" customHeight="1">
      <c r="A303" s="39">
        <v>2.0908426E7</v>
      </c>
      <c r="B303" s="33" t="str">
        <f>VLOOKUP(A303,BBDD!$1:$1048653,2,0)</f>
        <v>20.908.426-0</v>
      </c>
      <c r="C303" s="34" t="str">
        <f>VLOOKUP(A303,BBDD!$1:$1048653,7,0)</f>
        <v>Moya Flores Daniel Maximiliano</v>
      </c>
      <c r="D303" s="33" t="str">
        <f>VLOOKUP(A303,BBDD!$1:$1048653,8,0)</f>
        <v>Operario Apoyo Elaboracion</v>
      </c>
      <c r="E303" s="33" t="str">
        <f>VLOOKUP(A303,BBDD!$1:$1048653,10,0)</f>
        <v>Gerencia Producción Pesca</v>
      </c>
      <c r="F303" s="33" t="str">
        <f>VLOOKUP(A303,BBDD!$1:$1048653,11,0)</f>
        <v>Plazo fijo</v>
      </c>
      <c r="G303" s="33" t="str">
        <f>VLOOKUP(A303,BBDD!$1:$1048653,13,0)</f>
        <v>Coronel Rol Eventual</v>
      </c>
      <c r="H303" s="33" t="str">
        <f>VLOOKUP(A303,BBDD!$1:$1048653,14,0)</f>
        <v>Gerencia Corp. Negocio Seafood</v>
      </c>
      <c r="I303" s="33" t="str">
        <f>VLOOKUP(A303,BBDD!$1:$1048653,16,0)</f>
        <v>Temporada (Con ocasión Temporada de Pesca)</v>
      </c>
      <c r="J303" s="33" t="str">
        <f>VLOOKUP(A303,BBDD!$1:$1048653,17,0)</f>
        <v/>
      </c>
      <c r="K303" s="35">
        <f>VLOOKUP(A303,BBDD!$1:$1048653,12,0)</f>
        <v>45931</v>
      </c>
      <c r="L303" s="35" t="str">
        <f>VLOOKUP(A303,BBDD!$1:$1048653,3,0)</f>
        <v>Orizon S.A</v>
      </c>
      <c r="M303" s="35" t="str">
        <f>VLOOKUP(A303,BBDD!$1:$1048653,4,0)</f>
        <v>F3</v>
      </c>
      <c r="N303" s="35" t="str">
        <f>VLOOKUP(A303,BBDD!$1:$1048653,5,0)</f>
        <v>danielmoya807@gmail.com</v>
      </c>
      <c r="O303" s="36">
        <v>45985.0</v>
      </c>
      <c r="P303" s="32" t="s">
        <v>5582</v>
      </c>
      <c r="Q303" s="32" t="s">
        <v>5597</v>
      </c>
      <c r="R303" s="37"/>
      <c r="S303" s="37"/>
      <c r="T303" s="32" t="s">
        <v>5585</v>
      </c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  <c r="AF303" s="22"/>
      <c r="AG303" s="22"/>
      <c r="AH303" s="22"/>
      <c r="AI303" s="22"/>
      <c r="AJ303" s="22"/>
      <c r="AK303" s="22"/>
      <c r="AL303" s="22"/>
      <c r="AM303" s="22"/>
      <c r="AN303" s="22"/>
      <c r="AO303" s="22"/>
    </row>
    <row r="304" ht="14.25" customHeight="1">
      <c r="A304" s="32">
        <v>1.8501236E7</v>
      </c>
      <c r="B304" s="33" t="str">
        <f>VLOOKUP(A304,BBDD!$1:$1048653,2,0)</f>
        <v>18.501.236-0</v>
      </c>
      <c r="C304" s="34" t="str">
        <f>VLOOKUP(A304,BBDD!$1:$1048653,7,0)</f>
        <v>Espinoza Saez Katherine Loredana</v>
      </c>
      <c r="D304" s="33" t="str">
        <f>VLOOKUP(A304,BBDD!$1:$1048653,8,0)</f>
        <v>Ingeniero Programador Planificación Mantención</v>
      </c>
      <c r="E304" s="33" t="str">
        <f>VLOOKUP(A304,BBDD!$1:$1048653,10,0)</f>
        <v>Departamento Ingeniería</v>
      </c>
      <c r="F304" s="33" t="str">
        <f>VLOOKUP(A304,BBDD!$1:$1048653,11,0)</f>
        <v>Plazo fijo</v>
      </c>
      <c r="G304" s="33" t="str">
        <f>VLOOKUP(A304,BBDD!$1:$1048653,13,0)</f>
        <v>Coronel Rol Tierra</v>
      </c>
      <c r="H304" s="33" t="str">
        <f>VLOOKUP(A304,BBDD!$1:$1048653,14,0)</f>
        <v>Gerencia Corp. Negocio Seafood</v>
      </c>
      <c r="I304" s="33" t="str">
        <f>VLOOKUP(A304,BBDD!$1:$1048653,16,0)</f>
        <v>Rol General (Cargo permanente o proyección indefinido)</v>
      </c>
      <c r="J304" s="33" t="str">
        <f>VLOOKUP(A304,BBDD!$1:$1048653,17,0)</f>
        <v/>
      </c>
      <c r="K304" s="35">
        <f>VLOOKUP(A304,BBDD!$1:$1048653,12,0)</f>
        <v>45962</v>
      </c>
      <c r="L304" s="35" t="str">
        <f>VLOOKUP(A304,BBDD!$1:$1048653,3,0)</f>
        <v>Orizon S.A</v>
      </c>
      <c r="M304" s="35" t="str">
        <f>VLOOKUP(A304,BBDD!$1:$1048653,4,0)</f>
        <v>F1</v>
      </c>
      <c r="N304" s="35" t="str">
        <f>VLOOKUP(A304,BBDD!$1:$1048653,5,0)</f>
        <v>urquiola.loredana@gmail.com</v>
      </c>
      <c r="O304" s="36">
        <v>45985.0</v>
      </c>
      <c r="P304" s="32" t="s">
        <v>5582</v>
      </c>
      <c r="Q304" s="32" t="s">
        <v>5838</v>
      </c>
      <c r="R304" s="32" t="s">
        <v>5839</v>
      </c>
      <c r="S304" s="37"/>
      <c r="T304" s="32" t="s">
        <v>5585</v>
      </c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  <c r="AF304" s="22"/>
      <c r="AG304" s="22"/>
      <c r="AH304" s="22"/>
      <c r="AI304" s="22"/>
      <c r="AJ304" s="22"/>
      <c r="AK304" s="22"/>
      <c r="AL304" s="22"/>
      <c r="AM304" s="22"/>
      <c r="AN304" s="22"/>
      <c r="AO304" s="22"/>
    </row>
    <row r="305" ht="14.25" customHeight="1">
      <c r="A305" s="41">
        <v>1.759332E7</v>
      </c>
      <c r="B305" s="33" t="str">
        <f>VLOOKUP(A305,BBDD!$1:$1048653,2,0)</f>
        <v>17.593.320-4</v>
      </c>
      <c r="C305" s="34" t="str">
        <f>VLOOKUP(A305,BBDD!$1:$1048653,7,0)</f>
        <v>Cea Ayala Lesly Stefany</v>
      </c>
      <c r="D305" s="33" t="str">
        <f>VLOOKUP(A305,BBDD!$1:$1048653,8,0)</f>
        <v>Encargada de Aseo y Manejo Sanitario de Congelados</v>
      </c>
      <c r="E305" s="33" t="str">
        <f>VLOOKUP(A305,BBDD!$1:$1048653,10,0)</f>
        <v>Gerencia Producción Pesca</v>
      </c>
      <c r="F305" s="33" t="str">
        <f>VLOOKUP(A305,BBDD!$1:$1048653,11,0)</f>
        <v>Plazo fijo</v>
      </c>
      <c r="G305" s="33" t="str">
        <f>VLOOKUP(A305,BBDD!$1:$1048653,13,0)</f>
        <v>Coronel Rol Eventual</v>
      </c>
      <c r="H305" s="33" t="str">
        <f>VLOOKUP(A305,BBDD!$1:$1048653,14,0)</f>
        <v>Gerencia Corp. Negocio Seafood</v>
      </c>
      <c r="I305" s="33" t="str">
        <f>VLOOKUP(A305,BBDD!$1:$1048653,16,0)</f>
        <v>Temporada (Con ocasión Temporada de Pesca)</v>
      </c>
      <c r="J305" s="33" t="str">
        <f>VLOOKUP(A305,BBDD!$1:$1048653,17,0)</f>
        <v/>
      </c>
      <c r="K305" s="35">
        <f>VLOOKUP(A305,BBDD!$1:$1048653,12,0)</f>
        <v>45971</v>
      </c>
      <c r="L305" s="35" t="str">
        <f>VLOOKUP(A305,BBDD!$1:$1048653,3,0)</f>
        <v>Orizon S.A</v>
      </c>
      <c r="M305" s="35" t="str">
        <f>VLOOKUP(A305,BBDD!$1:$1048653,4,0)</f>
        <v>F1</v>
      </c>
      <c r="N305" s="35" t="str">
        <f>VLOOKUP(A305,BBDD!$1:$1048653,5,0)</f>
        <v>l.ceaayala@gmail.com</v>
      </c>
      <c r="O305" s="36">
        <v>45985.0</v>
      </c>
      <c r="P305" s="32" t="s">
        <v>5582</v>
      </c>
      <c r="Q305" s="32" t="s">
        <v>5567</v>
      </c>
      <c r="R305" s="32" t="s">
        <v>5920</v>
      </c>
      <c r="S305" s="37"/>
      <c r="T305" s="32" t="s">
        <v>5616</v>
      </c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  <c r="AF305" s="22"/>
      <c r="AG305" s="22"/>
      <c r="AH305" s="22"/>
      <c r="AI305" s="22"/>
      <c r="AJ305" s="22"/>
      <c r="AK305" s="22"/>
      <c r="AL305" s="22"/>
      <c r="AM305" s="22"/>
      <c r="AN305" s="22"/>
      <c r="AO305" s="22"/>
    </row>
    <row r="306" ht="14.25" customHeight="1">
      <c r="A306" s="41">
        <v>1.3109045E7</v>
      </c>
      <c r="B306" s="33" t="str">
        <f>VLOOKUP(A306,BBDD!$1:$1048653,2,0)</f>
        <v>13.109.045-5</v>
      </c>
      <c r="C306" s="34" t="str">
        <f>VLOOKUP(A306,BBDD!$1:$1048653,7,0)</f>
        <v>Zambrano Sandoval Nelson Elias</v>
      </c>
      <c r="D306" s="33" t="str">
        <f>VLOOKUP(A306,BBDD!$1:$1048653,8,0)</f>
        <v>Operario Apoyo Elaboracion</v>
      </c>
      <c r="E306" s="33" t="str">
        <f>VLOOKUP(A306,BBDD!$1:$1048653,10,0)</f>
        <v>Gerencia Producción Pesca</v>
      </c>
      <c r="F306" s="33" t="str">
        <f>VLOOKUP(A306,BBDD!$1:$1048653,11,0)</f>
        <v>Plazo fijo</v>
      </c>
      <c r="G306" s="33" t="str">
        <f>VLOOKUP(A306,BBDD!$1:$1048653,13,0)</f>
        <v>Coronel Rol Eventual</v>
      </c>
      <c r="H306" s="33" t="str">
        <f>VLOOKUP(A306,BBDD!$1:$1048653,14,0)</f>
        <v>Gerencia Corp. Negocio Seafood</v>
      </c>
      <c r="I306" s="33" t="str">
        <f>VLOOKUP(A306,BBDD!$1:$1048653,16,0)</f>
        <v>Temporada (Con ocasión Temporada de Pesca)</v>
      </c>
      <c r="J306" s="33" t="str">
        <f>VLOOKUP(A306,BBDD!$1:$1048653,17,0)</f>
        <v/>
      </c>
      <c r="K306" s="35">
        <f>VLOOKUP(A306,BBDD!$1:$1048653,12,0)</f>
        <v>45940</v>
      </c>
      <c r="L306" s="35" t="str">
        <f>VLOOKUP(A306,BBDD!$1:$1048653,3,0)</f>
        <v>Orizon S.A</v>
      </c>
      <c r="M306" s="35" t="str">
        <f>VLOOKUP(A306,BBDD!$1:$1048653,4,0)</f>
        <v>F4</v>
      </c>
      <c r="N306" s="35" t="str">
        <f>VLOOKUP(A306,BBDD!$1:$1048653,5,0)</f>
        <v>ZAMBRANONELSON4723@GMAIL.COM</v>
      </c>
      <c r="O306" s="36">
        <v>45985.0</v>
      </c>
      <c r="P306" s="32" t="s">
        <v>5575</v>
      </c>
      <c r="Q306" s="32" t="s">
        <v>5597</v>
      </c>
      <c r="R306" s="37"/>
      <c r="S306" s="37"/>
      <c r="T306" s="32" t="s">
        <v>5585</v>
      </c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  <c r="AF306" s="22"/>
      <c r="AG306" s="22"/>
      <c r="AH306" s="22"/>
      <c r="AI306" s="22"/>
      <c r="AJ306" s="22"/>
      <c r="AK306" s="22"/>
      <c r="AL306" s="22"/>
      <c r="AM306" s="22"/>
      <c r="AN306" s="22"/>
      <c r="AO306" s="22"/>
    </row>
    <row r="307" ht="14.25" customHeight="1">
      <c r="A307" s="32">
        <v>1.0</v>
      </c>
      <c r="B307" s="33" t="str">
        <f>VLOOKUP(A307,BBDD!$1:$1048653,2,0)</f>
        <v>Usuario Externo</v>
      </c>
      <c r="C307" s="34" t="str">
        <f>VLOOKUP(A307,BBDD!$1:$1048653,7,0)</f>
        <v>Usuario Externo</v>
      </c>
      <c r="D307" s="33" t="str">
        <f>VLOOKUP(A307,BBDD!$1:$1048653,8,0)</f>
        <v>Usuario Externo</v>
      </c>
      <c r="E307" s="33" t="str">
        <f>VLOOKUP(A307,BBDD!$1:$1048653,10,0)</f>
        <v>Usuario Externo</v>
      </c>
      <c r="F307" s="33" t="str">
        <f>VLOOKUP(A307,BBDD!$1:$1048653,11,0)</f>
        <v>Usuario Externo</v>
      </c>
      <c r="G307" s="33" t="str">
        <f>VLOOKUP(A307,BBDD!$1:$1048653,13,0)</f>
        <v>Usuario Externo</v>
      </c>
      <c r="H307" s="33" t="str">
        <f>VLOOKUP(A307,BBDD!$1:$1048653,14,0)</f>
        <v>Usuario Externo</v>
      </c>
      <c r="I307" s="33" t="str">
        <f>VLOOKUP(A307,BBDD!$1:$1048653,16,0)</f>
        <v>Usuario Externo</v>
      </c>
      <c r="J307" s="33" t="str">
        <f>VLOOKUP(A307,BBDD!$1:$1048653,17,0)</f>
        <v/>
      </c>
      <c r="K307" s="35" t="str">
        <f>VLOOKUP(A307,BBDD!$1:$1048653,12,0)</f>
        <v>Usuario Externo</v>
      </c>
      <c r="L307" s="35" t="str">
        <f>VLOOKUP(A307,BBDD!$1:$1048653,3,0)</f>
        <v>Usuario Externo</v>
      </c>
      <c r="M307" s="35" t="str">
        <f>VLOOKUP(A307,BBDD!$1:$1048653,4,0)</f>
        <v>Usuario Externo</v>
      </c>
      <c r="N307" s="35" t="str">
        <f>VLOOKUP(A307,BBDD!$1:$1048653,5,0)</f>
        <v>Usuario Externo</v>
      </c>
      <c r="O307" s="36">
        <v>45986.0</v>
      </c>
      <c r="P307" s="32" t="s">
        <v>5575</v>
      </c>
      <c r="Q307" s="32" t="s">
        <v>5567</v>
      </c>
      <c r="R307" s="32" t="s">
        <v>5921</v>
      </c>
      <c r="S307" s="37"/>
      <c r="T307" s="32" t="s">
        <v>5616</v>
      </c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  <c r="AF307" s="22"/>
      <c r="AG307" s="22"/>
      <c r="AH307" s="22"/>
      <c r="AI307" s="22"/>
      <c r="AJ307" s="22"/>
      <c r="AK307" s="22"/>
      <c r="AL307" s="22"/>
      <c r="AM307" s="22"/>
      <c r="AN307" s="22"/>
      <c r="AO307" s="22"/>
    </row>
    <row r="308" ht="14.25" customHeight="1">
      <c r="A308" s="32">
        <v>1.1682551E7</v>
      </c>
      <c r="B308" s="33" t="str">
        <f>VLOOKUP(A308,BBDD!$1:$1048653,2,0)</f>
        <v>11.682.551-1</v>
      </c>
      <c r="C308" s="34" t="str">
        <f>VLOOKUP(A308,BBDD!$1:$1048653,7,0)</f>
        <v>Herrera Sanchez Marco Aurelio</v>
      </c>
      <c r="D308" s="33" t="str">
        <f>VLOOKUP(A308,BBDD!$1:$1048653,8,0)</f>
        <v>Operador Elaboracion</v>
      </c>
      <c r="E308" s="33" t="str">
        <f>VLOOKUP(A308,BBDD!$1:$1048653,10,0)</f>
        <v>Gerencia Producción Pesca</v>
      </c>
      <c r="F308" s="33" t="str">
        <f>VLOOKUP(A308,BBDD!$1:$1048653,11,0)</f>
        <v>Indefinido</v>
      </c>
      <c r="G308" s="33" t="str">
        <f>VLOOKUP(A308,BBDD!$1:$1048653,13,0)</f>
        <v>Coronel Rol Tierra</v>
      </c>
      <c r="H308" s="33" t="str">
        <f>VLOOKUP(A308,BBDD!$1:$1048653,14,0)</f>
        <v>Gerencia Corp. Negocio Seafood</v>
      </c>
      <c r="I308" s="33" t="str">
        <f>VLOOKUP(A308,BBDD!$1:$1048653,16,0)</f>
        <v>Rol General (Cargo permanente o proyección indefinido)</v>
      </c>
      <c r="J308" s="33" t="str">
        <f>VLOOKUP(A308,BBDD!$1:$1048653,17,0)</f>
        <v/>
      </c>
      <c r="K308" s="35">
        <f>VLOOKUP(A308,BBDD!$1:$1048653,12,0)</f>
        <v>42370</v>
      </c>
      <c r="L308" s="35" t="str">
        <f>VLOOKUP(A308,BBDD!$1:$1048653,3,0)</f>
        <v>Orizon S.A</v>
      </c>
      <c r="M308" s="35" t="str">
        <f>VLOOKUP(A308,BBDD!$1:$1048653,4,0)</f>
        <v>F1</v>
      </c>
      <c r="N308" s="35" t="str">
        <f>VLOOKUP(A308,BBDD!$1:$1048653,5,0)</f>
        <v>marcoherrera3012@gmail.com</v>
      </c>
      <c r="O308" s="36">
        <v>45986.0</v>
      </c>
      <c r="P308" s="32" t="s">
        <v>5582</v>
      </c>
      <c r="Q308" s="32" t="s">
        <v>5597</v>
      </c>
      <c r="R308" s="37"/>
      <c r="S308" s="37"/>
      <c r="T308" s="32" t="s">
        <v>5585</v>
      </c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  <c r="AF308" s="22"/>
      <c r="AG308" s="22"/>
      <c r="AH308" s="22"/>
      <c r="AI308" s="22"/>
      <c r="AJ308" s="22"/>
      <c r="AK308" s="22"/>
      <c r="AL308" s="22"/>
      <c r="AM308" s="22"/>
      <c r="AN308" s="22"/>
      <c r="AO308" s="22"/>
    </row>
    <row r="309" ht="14.25" customHeight="1">
      <c r="A309" s="41">
        <v>1.6818011E7</v>
      </c>
      <c r="B309" s="33" t="str">
        <f>VLOOKUP(A309,BBDD!$1:$1048653,2,0)</f>
        <v>16.818.011-k</v>
      </c>
      <c r="C309" s="34" t="str">
        <f>VLOOKUP(A309,BBDD!$1:$1048653,7,0)</f>
        <v>Herrera Orellana Eusebio Jacob</v>
      </c>
      <c r="D309" s="33" t="str">
        <f>VLOOKUP(A309,BBDD!$1:$1048653,8,0)</f>
        <v>Operario Apoyo Elaboracion</v>
      </c>
      <c r="E309" s="33" t="str">
        <f>VLOOKUP(A309,BBDD!$1:$1048653,10,0)</f>
        <v>Gerencia Producción Pesca</v>
      </c>
      <c r="F309" s="33" t="str">
        <f>VLOOKUP(A309,BBDD!$1:$1048653,11,0)</f>
        <v>Plazo fijo</v>
      </c>
      <c r="G309" s="33" t="str">
        <f>VLOOKUP(A309,BBDD!$1:$1048653,13,0)</f>
        <v>Coronel Rol Eventual</v>
      </c>
      <c r="H309" s="33" t="str">
        <f>VLOOKUP(A309,BBDD!$1:$1048653,14,0)</f>
        <v>Gerencia Corp. Negocio Seafood</v>
      </c>
      <c r="I309" s="33" t="str">
        <f>VLOOKUP(A309,BBDD!$1:$1048653,16,0)</f>
        <v>Temporada (Con ocasión Temporada de Pesca)</v>
      </c>
      <c r="J309" s="33" t="str">
        <f>VLOOKUP(A309,BBDD!$1:$1048653,17,0)</f>
        <v/>
      </c>
      <c r="K309" s="35">
        <f>VLOOKUP(A309,BBDD!$1:$1048653,12,0)</f>
        <v>45940</v>
      </c>
      <c r="L309" s="35" t="str">
        <f>VLOOKUP(A309,BBDD!$1:$1048653,3,0)</f>
        <v>Orizon S.A</v>
      </c>
      <c r="M309" s="35" t="str">
        <f>VLOOKUP(A309,BBDD!$1:$1048653,4,0)</f>
        <v>F2</v>
      </c>
      <c r="N309" s="35" t="str">
        <f>VLOOKUP(A309,BBDD!$1:$1048653,5,0)</f>
        <v>JACOB_HER21@HOTMAIL.COM</v>
      </c>
      <c r="O309" s="36">
        <v>45986.0</v>
      </c>
      <c r="P309" s="32" t="s">
        <v>5575</v>
      </c>
      <c r="Q309" s="32" t="s">
        <v>5606</v>
      </c>
      <c r="R309" s="37"/>
      <c r="S309" s="37"/>
      <c r="T309" s="32" t="s">
        <v>5616</v>
      </c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  <c r="AF309" s="22"/>
      <c r="AG309" s="22"/>
      <c r="AH309" s="22"/>
      <c r="AI309" s="22"/>
      <c r="AJ309" s="22"/>
      <c r="AK309" s="22"/>
      <c r="AL309" s="22"/>
      <c r="AM309" s="22"/>
      <c r="AN309" s="22"/>
      <c r="AO309" s="22"/>
    </row>
    <row r="310" ht="14.25" customHeight="1">
      <c r="A310" s="40">
        <v>1.0</v>
      </c>
      <c r="B310" s="33" t="str">
        <f>VLOOKUP(A310,BBDD!$1:$1048653,2,0)</f>
        <v>Usuario Externo</v>
      </c>
      <c r="C310" s="34" t="str">
        <f>VLOOKUP(A310,BBDD!$1:$1048653,7,0)</f>
        <v>Usuario Externo</v>
      </c>
      <c r="D310" s="33" t="str">
        <f>VLOOKUP(A310,BBDD!$1:$1048653,8,0)</f>
        <v>Usuario Externo</v>
      </c>
      <c r="E310" s="33" t="str">
        <f>VLOOKUP(A310,BBDD!$1:$1048653,10,0)</f>
        <v>Usuario Externo</v>
      </c>
      <c r="F310" s="33" t="str">
        <f>VLOOKUP(A310,BBDD!$1:$1048653,11,0)</f>
        <v>Usuario Externo</v>
      </c>
      <c r="G310" s="33" t="str">
        <f>VLOOKUP(A310,BBDD!$1:$1048653,13,0)</f>
        <v>Usuario Externo</v>
      </c>
      <c r="H310" s="33" t="str">
        <f>VLOOKUP(A310,BBDD!$1:$1048653,14,0)</f>
        <v>Usuario Externo</v>
      </c>
      <c r="I310" s="33" t="str">
        <f>VLOOKUP(A310,BBDD!$1:$1048653,16,0)</f>
        <v>Usuario Externo</v>
      </c>
      <c r="J310" s="33" t="str">
        <f>VLOOKUP(A310,BBDD!$1:$1048653,17,0)</f>
        <v/>
      </c>
      <c r="K310" s="35" t="str">
        <f>VLOOKUP(A310,BBDD!$1:$1048653,12,0)</f>
        <v>Usuario Externo</v>
      </c>
      <c r="L310" s="35" t="str">
        <f>VLOOKUP(A310,BBDD!$1:$1048653,3,0)</f>
        <v>Usuario Externo</v>
      </c>
      <c r="M310" s="35" t="str">
        <f>VLOOKUP(A310,BBDD!$1:$1048653,4,0)</f>
        <v>Usuario Externo</v>
      </c>
      <c r="N310" s="35" t="str">
        <f>VLOOKUP(A310,BBDD!$1:$1048653,5,0)</f>
        <v>Usuario Externo</v>
      </c>
      <c r="O310" s="36">
        <v>45986.0</v>
      </c>
      <c r="P310" s="32" t="s">
        <v>5575</v>
      </c>
      <c r="Q310" s="32" t="s">
        <v>5598</v>
      </c>
      <c r="R310" s="37"/>
      <c r="S310" s="37"/>
      <c r="T310" s="32" t="s">
        <v>5585</v>
      </c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  <c r="AF310" s="22"/>
      <c r="AG310" s="22"/>
      <c r="AH310" s="22"/>
      <c r="AI310" s="22"/>
      <c r="AJ310" s="22"/>
      <c r="AK310" s="22"/>
      <c r="AL310" s="22"/>
      <c r="AM310" s="22"/>
      <c r="AN310" s="22"/>
      <c r="AO310" s="22"/>
    </row>
    <row r="311" ht="14.25" customHeight="1">
      <c r="A311" s="37"/>
      <c r="B311" s="33" t="str">
        <f>VLOOKUP(A311,BBDD!$1:$1048653,2,0)</f>
        <v>#N/A</v>
      </c>
      <c r="C311" s="34" t="str">
        <f>VLOOKUP(A311,BBDD!$1:$1048653,7,0)</f>
        <v>#N/A</v>
      </c>
      <c r="D311" s="33" t="str">
        <f>VLOOKUP(A311,BBDD!$1:$1048653,8,0)</f>
        <v>#N/A</v>
      </c>
      <c r="E311" s="33" t="str">
        <f>VLOOKUP(A311,BBDD!$1:$1048653,10,0)</f>
        <v>#N/A</v>
      </c>
      <c r="F311" s="33" t="str">
        <f>VLOOKUP(A311,BBDD!$1:$1048653,11,0)</f>
        <v>#N/A</v>
      </c>
      <c r="G311" s="33" t="str">
        <f>VLOOKUP(A311,BBDD!$1:$1048653,13,0)</f>
        <v>#N/A</v>
      </c>
      <c r="H311" s="33" t="str">
        <f>VLOOKUP(A311,BBDD!$1:$1048653,14,0)</f>
        <v>#N/A</v>
      </c>
      <c r="I311" s="33" t="str">
        <f>VLOOKUP(A311,BBDD!$1:$1048653,16,0)</f>
        <v>#N/A</v>
      </c>
      <c r="J311" s="33" t="str">
        <f>VLOOKUP(A311,BBDD!$1:$1048653,17,0)</f>
        <v>#N/A</v>
      </c>
      <c r="K311" s="35" t="str">
        <f>VLOOKUP(A311,BBDD!$1:$1048653,12,0)</f>
        <v>#N/A</v>
      </c>
      <c r="L311" s="35" t="str">
        <f>VLOOKUP(A311,BBDD!$1:$1048653,3,0)</f>
        <v>#N/A</v>
      </c>
      <c r="M311" s="35" t="str">
        <f>VLOOKUP(A311,BBDD!$1:$1048653,4,0)</f>
        <v>#N/A</v>
      </c>
      <c r="N311" s="35" t="str">
        <f>VLOOKUP(A311,BBDD!$1:$1048653,5,0)</f>
        <v>#N/A</v>
      </c>
      <c r="O311" s="54"/>
      <c r="P311" s="37"/>
      <c r="Q311" s="37"/>
      <c r="R311" s="37"/>
      <c r="S311" s="37"/>
      <c r="T311" s="37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  <c r="AF311" s="22"/>
      <c r="AG311" s="22"/>
      <c r="AH311" s="22"/>
      <c r="AI311" s="22"/>
      <c r="AJ311" s="22"/>
      <c r="AK311" s="22"/>
      <c r="AL311" s="22"/>
      <c r="AM311" s="22"/>
      <c r="AN311" s="22"/>
      <c r="AO311" s="22"/>
    </row>
    <row r="312" ht="14.25" customHeight="1">
      <c r="A312" s="37"/>
      <c r="B312" s="33" t="str">
        <f>VLOOKUP(A312,BBDD!$1:$1048653,2,0)</f>
        <v>#N/A</v>
      </c>
      <c r="C312" s="34" t="str">
        <f>VLOOKUP(A312,BBDD!$1:$1048653,7,0)</f>
        <v>#N/A</v>
      </c>
      <c r="D312" s="33" t="str">
        <f>VLOOKUP(A312,BBDD!$1:$1048653,8,0)</f>
        <v>#N/A</v>
      </c>
      <c r="E312" s="33" t="str">
        <f>VLOOKUP(A312,BBDD!$1:$1048653,10,0)</f>
        <v>#N/A</v>
      </c>
      <c r="F312" s="33" t="str">
        <f>VLOOKUP(A312,BBDD!$1:$1048653,11,0)</f>
        <v>#N/A</v>
      </c>
      <c r="G312" s="33" t="str">
        <f>VLOOKUP(A312,BBDD!$1:$1048653,13,0)</f>
        <v>#N/A</v>
      </c>
      <c r="H312" s="33" t="str">
        <f>VLOOKUP(A312,BBDD!$1:$1048653,14,0)</f>
        <v>#N/A</v>
      </c>
      <c r="I312" s="33" t="str">
        <f>VLOOKUP(A312,BBDD!$1:$1048653,16,0)</f>
        <v>#N/A</v>
      </c>
      <c r="J312" s="33" t="str">
        <f>VLOOKUP(A312,BBDD!$1:$1048653,17,0)</f>
        <v>#N/A</v>
      </c>
      <c r="K312" s="35" t="str">
        <f>VLOOKUP(A312,BBDD!$1:$1048653,12,0)</f>
        <v>#N/A</v>
      </c>
      <c r="L312" s="35" t="str">
        <f>VLOOKUP(A312,BBDD!$1:$1048653,3,0)</f>
        <v>#N/A</v>
      </c>
      <c r="M312" s="35" t="str">
        <f>VLOOKUP(A312,BBDD!$1:$1048653,4,0)</f>
        <v>#N/A</v>
      </c>
      <c r="N312" s="35" t="str">
        <f>VLOOKUP(A312,BBDD!$1:$1048653,5,0)</f>
        <v>#N/A</v>
      </c>
      <c r="O312" s="54"/>
      <c r="P312" s="37"/>
      <c r="Q312" s="37"/>
      <c r="R312" s="37"/>
      <c r="S312" s="37"/>
      <c r="T312" s="37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  <c r="AF312" s="22"/>
      <c r="AG312" s="22"/>
      <c r="AH312" s="22"/>
      <c r="AI312" s="22"/>
      <c r="AJ312" s="22"/>
      <c r="AK312" s="22"/>
      <c r="AL312" s="22"/>
      <c r="AM312" s="22"/>
      <c r="AN312" s="22"/>
      <c r="AO312" s="22"/>
    </row>
    <row r="313" ht="14.25" customHeight="1">
      <c r="A313" s="37"/>
      <c r="B313" s="33" t="str">
        <f>VLOOKUP(A313,BBDD!$1:$1048653,2,0)</f>
        <v>#N/A</v>
      </c>
      <c r="C313" s="34" t="str">
        <f>VLOOKUP(A313,BBDD!$1:$1048653,7,0)</f>
        <v>#N/A</v>
      </c>
      <c r="D313" s="33" t="str">
        <f>VLOOKUP(A313,BBDD!$1:$1048653,8,0)</f>
        <v>#N/A</v>
      </c>
      <c r="E313" s="33" t="str">
        <f>VLOOKUP(A313,BBDD!$1:$1048653,10,0)</f>
        <v>#N/A</v>
      </c>
      <c r="F313" s="33" t="str">
        <f>VLOOKUP(A313,BBDD!$1:$1048653,11,0)</f>
        <v>#N/A</v>
      </c>
      <c r="G313" s="33" t="str">
        <f>VLOOKUP(A313,BBDD!$1:$1048653,13,0)</f>
        <v>#N/A</v>
      </c>
      <c r="H313" s="33" t="str">
        <f>VLOOKUP(A313,BBDD!$1:$1048653,14,0)</f>
        <v>#N/A</v>
      </c>
      <c r="I313" s="33" t="str">
        <f>VLOOKUP(A313,BBDD!$1:$1048653,16,0)</f>
        <v>#N/A</v>
      </c>
      <c r="J313" s="33" t="str">
        <f>VLOOKUP(A313,BBDD!$1:$1048653,17,0)</f>
        <v>#N/A</v>
      </c>
      <c r="K313" s="35" t="str">
        <f>VLOOKUP(A313,BBDD!$1:$1048653,12,0)</f>
        <v>#N/A</v>
      </c>
      <c r="L313" s="35" t="str">
        <f>VLOOKUP(A313,BBDD!$1:$1048653,3,0)</f>
        <v>#N/A</v>
      </c>
      <c r="M313" s="35" t="str">
        <f>VLOOKUP(A313,BBDD!$1:$1048653,4,0)</f>
        <v>#N/A</v>
      </c>
      <c r="N313" s="35" t="str">
        <f>VLOOKUP(A313,BBDD!$1:$1048653,5,0)</f>
        <v>#N/A</v>
      </c>
      <c r="O313" s="54"/>
      <c r="P313" s="37"/>
      <c r="Q313" s="37"/>
      <c r="R313" s="37"/>
      <c r="S313" s="37"/>
      <c r="T313" s="37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  <c r="AF313" s="22"/>
      <c r="AG313" s="22"/>
      <c r="AH313" s="22"/>
      <c r="AI313" s="22"/>
      <c r="AJ313" s="22"/>
      <c r="AK313" s="22"/>
      <c r="AL313" s="22"/>
      <c r="AM313" s="22"/>
      <c r="AN313" s="22"/>
      <c r="AO313" s="22"/>
    </row>
    <row r="314" ht="14.25" customHeight="1">
      <c r="A314" s="37"/>
      <c r="B314" s="33" t="str">
        <f>VLOOKUP(A314,BBDD!$1:$1048653,2,0)</f>
        <v>#N/A</v>
      </c>
      <c r="C314" s="34" t="str">
        <f>VLOOKUP(A314,BBDD!$1:$1048653,7,0)</f>
        <v>#N/A</v>
      </c>
      <c r="D314" s="33" t="str">
        <f>VLOOKUP(A314,BBDD!$1:$1048653,8,0)</f>
        <v>#N/A</v>
      </c>
      <c r="E314" s="33" t="str">
        <f>VLOOKUP(A314,BBDD!$1:$1048653,10,0)</f>
        <v>#N/A</v>
      </c>
      <c r="F314" s="33" t="str">
        <f>VLOOKUP(A314,BBDD!$1:$1048653,11,0)</f>
        <v>#N/A</v>
      </c>
      <c r="G314" s="33" t="str">
        <f>VLOOKUP(A314,BBDD!$1:$1048653,13,0)</f>
        <v>#N/A</v>
      </c>
      <c r="H314" s="33" t="str">
        <f>VLOOKUP(A314,BBDD!$1:$1048653,14,0)</f>
        <v>#N/A</v>
      </c>
      <c r="I314" s="33" t="str">
        <f>VLOOKUP(A314,BBDD!$1:$1048653,16,0)</f>
        <v>#N/A</v>
      </c>
      <c r="J314" s="33" t="str">
        <f>VLOOKUP(A314,BBDD!$1:$1048653,17,0)</f>
        <v>#N/A</v>
      </c>
      <c r="K314" s="35" t="str">
        <f>VLOOKUP(A314,BBDD!$1:$1048653,12,0)</f>
        <v>#N/A</v>
      </c>
      <c r="L314" s="35" t="str">
        <f>VLOOKUP(A314,BBDD!$1:$1048653,3,0)</f>
        <v>#N/A</v>
      </c>
      <c r="M314" s="35" t="str">
        <f>VLOOKUP(A314,BBDD!$1:$1048653,4,0)</f>
        <v>#N/A</v>
      </c>
      <c r="N314" s="35" t="str">
        <f>VLOOKUP(A314,BBDD!$1:$1048653,5,0)</f>
        <v>#N/A</v>
      </c>
      <c r="O314" s="54"/>
      <c r="P314" s="37"/>
      <c r="Q314" s="37"/>
      <c r="R314" s="37"/>
      <c r="S314" s="37"/>
      <c r="T314" s="37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  <c r="AF314" s="22"/>
      <c r="AG314" s="22"/>
      <c r="AH314" s="22"/>
      <c r="AI314" s="22"/>
      <c r="AJ314" s="22"/>
      <c r="AK314" s="22"/>
      <c r="AL314" s="22"/>
      <c r="AM314" s="22"/>
      <c r="AN314" s="22"/>
      <c r="AO314" s="22"/>
    </row>
    <row r="315" ht="14.25" customHeight="1">
      <c r="A315" s="37"/>
      <c r="B315" s="33" t="str">
        <f>VLOOKUP(A315,BBDD!$1:$1048653,2,0)</f>
        <v>#N/A</v>
      </c>
      <c r="C315" s="34" t="str">
        <f>VLOOKUP(A315,BBDD!$1:$1048653,7,0)</f>
        <v>#N/A</v>
      </c>
      <c r="D315" s="33" t="str">
        <f>VLOOKUP(A315,BBDD!$1:$1048653,8,0)</f>
        <v>#N/A</v>
      </c>
      <c r="E315" s="33" t="str">
        <f>VLOOKUP(A315,BBDD!$1:$1048653,10,0)</f>
        <v>#N/A</v>
      </c>
      <c r="F315" s="33" t="str">
        <f>VLOOKUP(A315,BBDD!$1:$1048653,11,0)</f>
        <v>#N/A</v>
      </c>
      <c r="G315" s="33" t="str">
        <f>VLOOKUP(A315,BBDD!$1:$1048653,13,0)</f>
        <v>#N/A</v>
      </c>
      <c r="H315" s="33" t="str">
        <f>VLOOKUP(A315,BBDD!$1:$1048653,14,0)</f>
        <v>#N/A</v>
      </c>
      <c r="I315" s="33" t="str">
        <f>VLOOKUP(A315,BBDD!$1:$1048653,16,0)</f>
        <v>#N/A</v>
      </c>
      <c r="J315" s="33" t="str">
        <f>VLOOKUP(A315,BBDD!$1:$1048653,17,0)</f>
        <v>#N/A</v>
      </c>
      <c r="K315" s="35" t="str">
        <f>VLOOKUP(A315,BBDD!$1:$1048653,12,0)</f>
        <v>#N/A</v>
      </c>
      <c r="L315" s="35" t="str">
        <f>VLOOKUP(A315,BBDD!$1:$1048653,3,0)</f>
        <v>#N/A</v>
      </c>
      <c r="M315" s="35" t="str">
        <f>VLOOKUP(A315,BBDD!$1:$1048653,4,0)</f>
        <v>#N/A</v>
      </c>
      <c r="N315" s="35" t="str">
        <f>VLOOKUP(A315,BBDD!$1:$1048653,5,0)</f>
        <v>#N/A</v>
      </c>
      <c r="O315" s="54"/>
      <c r="P315" s="37"/>
      <c r="Q315" s="37"/>
      <c r="R315" s="37"/>
      <c r="S315" s="37"/>
      <c r="T315" s="37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  <c r="AF315" s="22"/>
      <c r="AG315" s="22"/>
      <c r="AH315" s="22"/>
      <c r="AI315" s="22"/>
      <c r="AJ315" s="22"/>
      <c r="AK315" s="22"/>
      <c r="AL315" s="22"/>
      <c r="AM315" s="22"/>
      <c r="AN315" s="22"/>
      <c r="AO315" s="22"/>
    </row>
    <row r="316" ht="14.25" customHeight="1">
      <c r="A316" s="37"/>
      <c r="B316" s="33" t="str">
        <f>VLOOKUP(A316,BBDD!$1:$1048653,2,0)</f>
        <v>#N/A</v>
      </c>
      <c r="C316" s="34" t="str">
        <f>VLOOKUP(A316,BBDD!$1:$1048653,7,0)</f>
        <v>#N/A</v>
      </c>
      <c r="D316" s="33" t="str">
        <f>VLOOKUP(A316,BBDD!$1:$1048653,8,0)</f>
        <v>#N/A</v>
      </c>
      <c r="E316" s="33" t="str">
        <f>VLOOKUP(A316,BBDD!$1:$1048653,10,0)</f>
        <v>#N/A</v>
      </c>
      <c r="F316" s="33" t="str">
        <f>VLOOKUP(A316,BBDD!$1:$1048653,11,0)</f>
        <v>#N/A</v>
      </c>
      <c r="G316" s="33" t="str">
        <f>VLOOKUP(A316,BBDD!$1:$1048653,13,0)</f>
        <v>#N/A</v>
      </c>
      <c r="H316" s="33" t="str">
        <f>VLOOKUP(A316,BBDD!$1:$1048653,14,0)</f>
        <v>#N/A</v>
      </c>
      <c r="I316" s="33" t="str">
        <f>VLOOKUP(A316,BBDD!$1:$1048653,16,0)</f>
        <v>#N/A</v>
      </c>
      <c r="J316" s="33" t="str">
        <f>VLOOKUP(A316,BBDD!$1:$1048653,17,0)</f>
        <v>#N/A</v>
      </c>
      <c r="K316" s="35" t="str">
        <f>VLOOKUP(A316,BBDD!$1:$1048653,12,0)</f>
        <v>#N/A</v>
      </c>
      <c r="L316" s="35" t="str">
        <f>VLOOKUP(A316,BBDD!$1:$1048653,3,0)</f>
        <v>#N/A</v>
      </c>
      <c r="M316" s="35" t="str">
        <f>VLOOKUP(A316,BBDD!$1:$1048653,4,0)</f>
        <v>#N/A</v>
      </c>
      <c r="N316" s="35" t="str">
        <f>VLOOKUP(A316,BBDD!$1:$1048653,5,0)</f>
        <v>#N/A</v>
      </c>
      <c r="O316" s="54"/>
      <c r="P316" s="37"/>
      <c r="Q316" s="37"/>
      <c r="R316" s="37"/>
      <c r="S316" s="37"/>
      <c r="T316" s="37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  <c r="AF316" s="22"/>
      <c r="AG316" s="22"/>
      <c r="AH316" s="22"/>
      <c r="AI316" s="22"/>
      <c r="AJ316" s="22"/>
      <c r="AK316" s="22"/>
      <c r="AL316" s="22"/>
      <c r="AM316" s="22"/>
      <c r="AN316" s="22"/>
      <c r="AO316" s="22"/>
    </row>
    <row r="317" ht="14.25" customHeight="1">
      <c r="A317" s="37"/>
      <c r="B317" s="33" t="str">
        <f>VLOOKUP(A317,BBDD!$1:$1048653,2,0)</f>
        <v>#N/A</v>
      </c>
      <c r="C317" s="34" t="str">
        <f>VLOOKUP(A317,BBDD!$1:$1048653,7,0)</f>
        <v>#N/A</v>
      </c>
      <c r="D317" s="33" t="str">
        <f>VLOOKUP(A317,BBDD!$1:$1048653,8,0)</f>
        <v>#N/A</v>
      </c>
      <c r="E317" s="33" t="str">
        <f>VLOOKUP(A317,BBDD!$1:$1048653,10,0)</f>
        <v>#N/A</v>
      </c>
      <c r="F317" s="33" t="str">
        <f>VLOOKUP(A317,BBDD!$1:$1048653,11,0)</f>
        <v>#N/A</v>
      </c>
      <c r="G317" s="33" t="str">
        <f>VLOOKUP(A317,BBDD!$1:$1048653,13,0)</f>
        <v>#N/A</v>
      </c>
      <c r="H317" s="33" t="str">
        <f>VLOOKUP(A317,BBDD!$1:$1048653,14,0)</f>
        <v>#N/A</v>
      </c>
      <c r="I317" s="33" t="str">
        <f>VLOOKUP(A317,BBDD!$1:$1048653,16,0)</f>
        <v>#N/A</v>
      </c>
      <c r="J317" s="33" t="str">
        <f>VLOOKUP(A317,BBDD!$1:$1048653,17,0)</f>
        <v>#N/A</v>
      </c>
      <c r="K317" s="35" t="str">
        <f>VLOOKUP(A317,BBDD!$1:$1048653,12,0)</f>
        <v>#N/A</v>
      </c>
      <c r="L317" s="35" t="str">
        <f>VLOOKUP(A317,BBDD!$1:$1048653,3,0)</f>
        <v>#N/A</v>
      </c>
      <c r="M317" s="35" t="str">
        <f>VLOOKUP(A317,BBDD!$1:$1048653,4,0)</f>
        <v>#N/A</v>
      </c>
      <c r="N317" s="35" t="str">
        <f>VLOOKUP(A317,BBDD!$1:$1048653,5,0)</f>
        <v>#N/A</v>
      </c>
      <c r="O317" s="54"/>
      <c r="P317" s="37"/>
      <c r="Q317" s="37"/>
      <c r="R317" s="37"/>
      <c r="S317" s="37"/>
      <c r="T317" s="37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  <c r="AF317" s="22"/>
      <c r="AG317" s="22"/>
      <c r="AH317" s="22"/>
      <c r="AI317" s="22"/>
      <c r="AJ317" s="22"/>
      <c r="AK317" s="22"/>
      <c r="AL317" s="22"/>
      <c r="AM317" s="22"/>
      <c r="AN317" s="22"/>
      <c r="AO317" s="22"/>
    </row>
    <row r="318" ht="14.25" customHeight="1">
      <c r="A318" s="37"/>
      <c r="B318" s="33" t="str">
        <f>VLOOKUP(A318,BBDD!$1:$1048653,2,0)</f>
        <v>#N/A</v>
      </c>
      <c r="C318" s="34" t="str">
        <f>VLOOKUP(A318,BBDD!$1:$1048653,7,0)</f>
        <v>#N/A</v>
      </c>
      <c r="D318" s="33" t="str">
        <f>VLOOKUP(A318,BBDD!$1:$1048653,8,0)</f>
        <v>#N/A</v>
      </c>
      <c r="E318" s="33" t="str">
        <f>VLOOKUP(A318,BBDD!$1:$1048653,10,0)</f>
        <v>#N/A</v>
      </c>
      <c r="F318" s="33" t="str">
        <f>VLOOKUP(A318,BBDD!$1:$1048653,11,0)</f>
        <v>#N/A</v>
      </c>
      <c r="G318" s="33" t="str">
        <f>VLOOKUP(A318,BBDD!$1:$1048653,13,0)</f>
        <v>#N/A</v>
      </c>
      <c r="H318" s="33" t="str">
        <f>VLOOKUP(A318,BBDD!$1:$1048653,14,0)</f>
        <v>#N/A</v>
      </c>
      <c r="I318" s="33" t="str">
        <f>VLOOKUP(A318,BBDD!$1:$1048653,16,0)</f>
        <v>#N/A</v>
      </c>
      <c r="J318" s="33" t="str">
        <f>VLOOKUP(A318,BBDD!$1:$1048653,17,0)</f>
        <v>#N/A</v>
      </c>
      <c r="K318" s="35" t="str">
        <f>VLOOKUP(A318,BBDD!$1:$1048653,12,0)</f>
        <v>#N/A</v>
      </c>
      <c r="L318" s="35" t="str">
        <f>VLOOKUP(A318,BBDD!$1:$1048653,3,0)</f>
        <v>#N/A</v>
      </c>
      <c r="M318" s="35" t="str">
        <f>VLOOKUP(A318,BBDD!$1:$1048653,4,0)</f>
        <v>#N/A</v>
      </c>
      <c r="N318" s="35" t="str">
        <f>VLOOKUP(A318,BBDD!$1:$1048653,5,0)</f>
        <v>#N/A</v>
      </c>
      <c r="O318" s="54"/>
      <c r="P318" s="37"/>
      <c r="Q318" s="37"/>
      <c r="R318" s="37"/>
      <c r="S318" s="37"/>
      <c r="T318" s="37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  <c r="AF318" s="22"/>
      <c r="AG318" s="22"/>
      <c r="AH318" s="22"/>
      <c r="AI318" s="22"/>
      <c r="AJ318" s="22"/>
      <c r="AK318" s="22"/>
      <c r="AL318" s="22"/>
      <c r="AM318" s="22"/>
      <c r="AN318" s="22"/>
      <c r="AO318" s="22"/>
    </row>
    <row r="319" ht="14.25" customHeight="1">
      <c r="A319" s="37"/>
      <c r="B319" s="33" t="str">
        <f>VLOOKUP(A319,BBDD!$1:$1048653,2,0)</f>
        <v>#N/A</v>
      </c>
      <c r="C319" s="34" t="str">
        <f>VLOOKUP(A319,BBDD!$1:$1048653,7,0)</f>
        <v>#N/A</v>
      </c>
      <c r="D319" s="33" t="str">
        <f>VLOOKUP(A319,BBDD!$1:$1048653,8,0)</f>
        <v>#N/A</v>
      </c>
      <c r="E319" s="33" t="str">
        <f>VLOOKUP(A319,BBDD!$1:$1048653,10,0)</f>
        <v>#N/A</v>
      </c>
      <c r="F319" s="33" t="str">
        <f>VLOOKUP(A319,BBDD!$1:$1048653,11,0)</f>
        <v>#N/A</v>
      </c>
      <c r="G319" s="33" t="str">
        <f>VLOOKUP(A319,BBDD!$1:$1048653,13,0)</f>
        <v>#N/A</v>
      </c>
      <c r="H319" s="33" t="str">
        <f>VLOOKUP(A319,BBDD!$1:$1048653,14,0)</f>
        <v>#N/A</v>
      </c>
      <c r="I319" s="33" t="str">
        <f>VLOOKUP(A319,BBDD!$1:$1048653,16,0)</f>
        <v>#N/A</v>
      </c>
      <c r="J319" s="33" t="str">
        <f>VLOOKUP(A319,BBDD!$1:$1048653,17,0)</f>
        <v>#N/A</v>
      </c>
      <c r="K319" s="35" t="str">
        <f>VLOOKUP(A319,BBDD!$1:$1048653,12,0)</f>
        <v>#N/A</v>
      </c>
      <c r="L319" s="35" t="str">
        <f>VLOOKUP(A319,BBDD!$1:$1048653,3,0)</f>
        <v>#N/A</v>
      </c>
      <c r="M319" s="35" t="str">
        <f>VLOOKUP(A319,BBDD!$1:$1048653,4,0)</f>
        <v>#N/A</v>
      </c>
      <c r="N319" s="35" t="str">
        <f>VLOOKUP(A319,BBDD!$1:$1048653,5,0)</f>
        <v>#N/A</v>
      </c>
      <c r="O319" s="54"/>
      <c r="P319" s="37"/>
      <c r="Q319" s="37"/>
      <c r="R319" s="37"/>
      <c r="S319" s="37"/>
      <c r="T319" s="37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  <c r="AF319" s="22"/>
      <c r="AG319" s="22"/>
      <c r="AH319" s="22"/>
      <c r="AI319" s="22"/>
      <c r="AJ319" s="22"/>
      <c r="AK319" s="22"/>
      <c r="AL319" s="22"/>
      <c r="AM319" s="22"/>
      <c r="AN319" s="22"/>
      <c r="AO319" s="22"/>
    </row>
    <row r="320" ht="14.25" customHeight="1">
      <c r="A320" s="37"/>
      <c r="B320" s="33" t="str">
        <f>VLOOKUP(A320,BBDD!$1:$1048653,2,0)</f>
        <v>#N/A</v>
      </c>
      <c r="C320" s="34" t="str">
        <f>VLOOKUP(A320,BBDD!$1:$1048653,7,0)</f>
        <v>#N/A</v>
      </c>
      <c r="D320" s="33" t="str">
        <f>VLOOKUP(A320,BBDD!$1:$1048653,8,0)</f>
        <v>#N/A</v>
      </c>
      <c r="E320" s="33" t="str">
        <f>VLOOKUP(A320,BBDD!$1:$1048653,10,0)</f>
        <v>#N/A</v>
      </c>
      <c r="F320" s="33" t="str">
        <f>VLOOKUP(A320,BBDD!$1:$1048653,11,0)</f>
        <v>#N/A</v>
      </c>
      <c r="G320" s="33" t="str">
        <f>VLOOKUP(A320,BBDD!$1:$1048653,13,0)</f>
        <v>#N/A</v>
      </c>
      <c r="H320" s="33" t="str">
        <f>VLOOKUP(A320,BBDD!$1:$1048653,14,0)</f>
        <v>#N/A</v>
      </c>
      <c r="I320" s="33" t="str">
        <f>VLOOKUP(A320,BBDD!$1:$1048653,16,0)</f>
        <v>#N/A</v>
      </c>
      <c r="J320" s="33" t="str">
        <f>VLOOKUP(A320,BBDD!$1:$1048653,17,0)</f>
        <v>#N/A</v>
      </c>
      <c r="K320" s="35" t="str">
        <f>VLOOKUP(A320,BBDD!$1:$1048653,12,0)</f>
        <v>#N/A</v>
      </c>
      <c r="L320" s="35" t="str">
        <f>VLOOKUP(A320,BBDD!$1:$1048653,3,0)</f>
        <v>#N/A</v>
      </c>
      <c r="M320" s="35" t="str">
        <f>VLOOKUP(A320,BBDD!$1:$1048653,4,0)</f>
        <v>#N/A</v>
      </c>
      <c r="N320" s="35" t="str">
        <f>VLOOKUP(A320,BBDD!$1:$1048653,5,0)</f>
        <v>#N/A</v>
      </c>
      <c r="O320" s="54"/>
      <c r="P320" s="37"/>
      <c r="Q320" s="37"/>
      <c r="R320" s="37"/>
      <c r="S320" s="37"/>
      <c r="T320" s="37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  <c r="AF320" s="22"/>
      <c r="AG320" s="22"/>
      <c r="AH320" s="22"/>
      <c r="AI320" s="22"/>
      <c r="AJ320" s="22"/>
      <c r="AK320" s="22"/>
      <c r="AL320" s="22"/>
      <c r="AM320" s="22"/>
      <c r="AN320" s="22"/>
      <c r="AO320" s="22"/>
    </row>
    <row r="321" ht="14.25" customHeight="1">
      <c r="A321" s="37"/>
      <c r="B321" s="33" t="str">
        <f>VLOOKUP(A321,BBDD!$1:$1048653,2,0)</f>
        <v>#N/A</v>
      </c>
      <c r="C321" s="34" t="str">
        <f>VLOOKUP(A321,BBDD!$1:$1048653,7,0)</f>
        <v>#N/A</v>
      </c>
      <c r="D321" s="33" t="str">
        <f>VLOOKUP(A321,BBDD!$1:$1048653,8,0)</f>
        <v>#N/A</v>
      </c>
      <c r="E321" s="33" t="str">
        <f>VLOOKUP(A321,BBDD!$1:$1048653,10,0)</f>
        <v>#N/A</v>
      </c>
      <c r="F321" s="33" t="str">
        <f>VLOOKUP(A321,BBDD!$1:$1048653,11,0)</f>
        <v>#N/A</v>
      </c>
      <c r="G321" s="33" t="str">
        <f>VLOOKUP(A321,BBDD!$1:$1048653,13,0)</f>
        <v>#N/A</v>
      </c>
      <c r="H321" s="33" t="str">
        <f>VLOOKUP(A321,BBDD!$1:$1048653,14,0)</f>
        <v>#N/A</v>
      </c>
      <c r="I321" s="33" t="str">
        <f>VLOOKUP(A321,BBDD!$1:$1048653,16,0)</f>
        <v>#N/A</v>
      </c>
      <c r="J321" s="33" t="str">
        <f>VLOOKUP(A321,BBDD!$1:$1048653,17,0)</f>
        <v>#N/A</v>
      </c>
      <c r="K321" s="35" t="str">
        <f>VLOOKUP(A321,BBDD!$1:$1048653,12,0)</f>
        <v>#N/A</v>
      </c>
      <c r="L321" s="35" t="str">
        <f>VLOOKUP(A321,BBDD!$1:$1048653,3,0)</f>
        <v>#N/A</v>
      </c>
      <c r="M321" s="35" t="str">
        <f>VLOOKUP(A321,BBDD!$1:$1048653,4,0)</f>
        <v>#N/A</v>
      </c>
      <c r="N321" s="35" t="str">
        <f>VLOOKUP(A321,BBDD!$1:$1048653,5,0)</f>
        <v>#N/A</v>
      </c>
      <c r="O321" s="54"/>
      <c r="P321" s="37"/>
      <c r="Q321" s="37"/>
      <c r="R321" s="37"/>
      <c r="S321" s="37"/>
      <c r="T321" s="37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  <c r="AF321" s="22"/>
      <c r="AG321" s="22"/>
      <c r="AH321" s="22"/>
      <c r="AI321" s="22"/>
      <c r="AJ321" s="22"/>
      <c r="AK321" s="22"/>
      <c r="AL321" s="22"/>
      <c r="AM321" s="22"/>
      <c r="AN321" s="22"/>
      <c r="AO321" s="22"/>
    </row>
    <row r="322" ht="14.25" customHeight="1">
      <c r="A322" s="37"/>
      <c r="B322" s="33" t="str">
        <f>VLOOKUP(A322,BBDD!$1:$1048653,2,0)</f>
        <v>#N/A</v>
      </c>
      <c r="C322" s="34" t="str">
        <f>VLOOKUP(A322,BBDD!$1:$1048653,7,0)</f>
        <v>#N/A</v>
      </c>
      <c r="D322" s="33" t="str">
        <f>VLOOKUP(A322,BBDD!$1:$1048653,8,0)</f>
        <v>#N/A</v>
      </c>
      <c r="E322" s="33" t="str">
        <f>VLOOKUP(A322,BBDD!$1:$1048653,10,0)</f>
        <v>#N/A</v>
      </c>
      <c r="F322" s="33" t="str">
        <f>VLOOKUP(A322,BBDD!$1:$1048653,11,0)</f>
        <v>#N/A</v>
      </c>
      <c r="G322" s="33" t="str">
        <f>VLOOKUP(A322,BBDD!$1:$1048653,13,0)</f>
        <v>#N/A</v>
      </c>
      <c r="H322" s="33" t="str">
        <f>VLOOKUP(A322,BBDD!$1:$1048653,14,0)</f>
        <v>#N/A</v>
      </c>
      <c r="I322" s="33" t="str">
        <f>VLOOKUP(A322,BBDD!$1:$1048653,16,0)</f>
        <v>#N/A</v>
      </c>
      <c r="J322" s="33" t="str">
        <f>VLOOKUP(A322,BBDD!$1:$1048653,17,0)</f>
        <v>#N/A</v>
      </c>
      <c r="K322" s="35" t="str">
        <f>VLOOKUP(A322,BBDD!$1:$1048653,12,0)</f>
        <v>#N/A</v>
      </c>
      <c r="L322" s="35" t="str">
        <f>VLOOKUP(A322,BBDD!$1:$1048653,3,0)</f>
        <v>#N/A</v>
      </c>
      <c r="M322" s="35" t="str">
        <f>VLOOKUP(A322,BBDD!$1:$1048653,4,0)</f>
        <v>#N/A</v>
      </c>
      <c r="N322" s="35" t="str">
        <f>VLOOKUP(A322,BBDD!$1:$1048653,5,0)</f>
        <v>#N/A</v>
      </c>
      <c r="O322" s="54"/>
      <c r="P322" s="37"/>
      <c r="Q322" s="37"/>
      <c r="R322" s="37"/>
      <c r="S322" s="37"/>
      <c r="T322" s="37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  <c r="AF322" s="22"/>
      <c r="AG322" s="22"/>
      <c r="AH322" s="22"/>
      <c r="AI322" s="22"/>
      <c r="AJ322" s="22"/>
      <c r="AK322" s="22"/>
      <c r="AL322" s="22"/>
      <c r="AM322" s="22"/>
      <c r="AN322" s="22"/>
      <c r="AO322" s="22"/>
    </row>
    <row r="323" ht="14.25" customHeight="1">
      <c r="A323" s="37"/>
      <c r="B323" s="33" t="str">
        <f>VLOOKUP(A323,BBDD!$1:$1048653,2,0)</f>
        <v>#N/A</v>
      </c>
      <c r="C323" s="34" t="str">
        <f>VLOOKUP(A323,BBDD!$1:$1048653,7,0)</f>
        <v>#N/A</v>
      </c>
      <c r="D323" s="33" t="str">
        <f>VLOOKUP(A323,BBDD!$1:$1048653,8,0)</f>
        <v>#N/A</v>
      </c>
      <c r="E323" s="33" t="str">
        <f>VLOOKUP(A323,BBDD!$1:$1048653,10,0)</f>
        <v>#N/A</v>
      </c>
      <c r="F323" s="33" t="str">
        <f>VLOOKUP(A323,BBDD!$1:$1048653,11,0)</f>
        <v>#N/A</v>
      </c>
      <c r="G323" s="33" t="str">
        <f>VLOOKUP(A323,BBDD!$1:$1048653,13,0)</f>
        <v>#N/A</v>
      </c>
      <c r="H323" s="33" t="str">
        <f>VLOOKUP(A323,BBDD!$1:$1048653,14,0)</f>
        <v>#N/A</v>
      </c>
      <c r="I323" s="33" t="str">
        <f>VLOOKUP(A323,BBDD!$1:$1048653,16,0)</f>
        <v>#N/A</v>
      </c>
      <c r="J323" s="33" t="str">
        <f>VLOOKUP(A323,BBDD!$1:$1048653,17,0)</f>
        <v>#N/A</v>
      </c>
      <c r="K323" s="35" t="str">
        <f>VLOOKUP(A323,BBDD!$1:$1048653,12,0)</f>
        <v>#N/A</v>
      </c>
      <c r="L323" s="35" t="str">
        <f>VLOOKUP(A323,BBDD!$1:$1048653,3,0)</f>
        <v>#N/A</v>
      </c>
      <c r="M323" s="35" t="str">
        <f>VLOOKUP(A323,BBDD!$1:$1048653,4,0)</f>
        <v>#N/A</v>
      </c>
      <c r="N323" s="35" t="str">
        <f>VLOOKUP(A323,BBDD!$1:$1048653,5,0)</f>
        <v>#N/A</v>
      </c>
      <c r="O323" s="54"/>
      <c r="P323" s="37"/>
      <c r="Q323" s="37"/>
      <c r="R323" s="37"/>
      <c r="S323" s="37"/>
      <c r="T323" s="37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  <c r="AF323" s="22"/>
      <c r="AG323" s="22"/>
      <c r="AH323" s="22"/>
      <c r="AI323" s="22"/>
      <c r="AJ323" s="22"/>
      <c r="AK323" s="22"/>
      <c r="AL323" s="22"/>
      <c r="AM323" s="22"/>
      <c r="AN323" s="22"/>
      <c r="AO323" s="22"/>
    </row>
    <row r="324" ht="14.25" customHeight="1">
      <c r="A324" s="37"/>
      <c r="B324" s="33" t="str">
        <f>VLOOKUP(A324,BBDD!$1:$1048653,2,0)</f>
        <v>#N/A</v>
      </c>
      <c r="C324" s="34" t="str">
        <f>VLOOKUP(A324,BBDD!$1:$1048653,7,0)</f>
        <v>#N/A</v>
      </c>
      <c r="D324" s="33" t="str">
        <f>VLOOKUP(A324,BBDD!$1:$1048653,8,0)</f>
        <v>#N/A</v>
      </c>
      <c r="E324" s="33" t="str">
        <f>VLOOKUP(A324,BBDD!$1:$1048653,10,0)</f>
        <v>#N/A</v>
      </c>
      <c r="F324" s="33" t="str">
        <f>VLOOKUP(A324,BBDD!$1:$1048653,11,0)</f>
        <v>#N/A</v>
      </c>
      <c r="G324" s="33" t="str">
        <f>VLOOKUP(A324,BBDD!$1:$1048653,13,0)</f>
        <v>#N/A</v>
      </c>
      <c r="H324" s="33" t="str">
        <f>VLOOKUP(A324,BBDD!$1:$1048653,14,0)</f>
        <v>#N/A</v>
      </c>
      <c r="I324" s="33" t="str">
        <f>VLOOKUP(A324,BBDD!$1:$1048653,16,0)</f>
        <v>#N/A</v>
      </c>
      <c r="J324" s="33" t="str">
        <f>VLOOKUP(A324,BBDD!$1:$1048653,17,0)</f>
        <v>#N/A</v>
      </c>
      <c r="K324" s="35" t="str">
        <f>VLOOKUP(A324,BBDD!$1:$1048653,12,0)</f>
        <v>#N/A</v>
      </c>
      <c r="L324" s="35" t="str">
        <f>VLOOKUP(A324,BBDD!$1:$1048653,3,0)</f>
        <v>#N/A</v>
      </c>
      <c r="M324" s="35" t="str">
        <f>VLOOKUP(A324,BBDD!$1:$1048653,4,0)</f>
        <v>#N/A</v>
      </c>
      <c r="N324" s="35" t="str">
        <f>VLOOKUP(A324,BBDD!$1:$1048653,5,0)</f>
        <v>#N/A</v>
      </c>
      <c r="O324" s="54"/>
      <c r="P324" s="37"/>
      <c r="Q324" s="37"/>
      <c r="R324" s="37"/>
      <c r="S324" s="37"/>
      <c r="T324" s="37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  <c r="AF324" s="22"/>
      <c r="AG324" s="22"/>
      <c r="AH324" s="22"/>
      <c r="AI324" s="22"/>
      <c r="AJ324" s="22"/>
      <c r="AK324" s="22"/>
      <c r="AL324" s="22"/>
      <c r="AM324" s="22"/>
      <c r="AN324" s="22"/>
      <c r="AO324" s="22"/>
    </row>
    <row r="325" ht="14.25" customHeight="1">
      <c r="A325" s="37"/>
      <c r="B325" s="33" t="str">
        <f>VLOOKUP(A325,BBDD!$1:$1048653,2,0)</f>
        <v>#N/A</v>
      </c>
      <c r="C325" s="34" t="str">
        <f>VLOOKUP(A325,BBDD!$1:$1048653,7,0)</f>
        <v>#N/A</v>
      </c>
      <c r="D325" s="33" t="str">
        <f>VLOOKUP(A325,BBDD!$1:$1048653,8,0)</f>
        <v>#N/A</v>
      </c>
      <c r="E325" s="33" t="str">
        <f>VLOOKUP(A325,BBDD!$1:$1048653,10,0)</f>
        <v>#N/A</v>
      </c>
      <c r="F325" s="33" t="str">
        <f>VLOOKUP(A325,BBDD!$1:$1048653,11,0)</f>
        <v>#N/A</v>
      </c>
      <c r="G325" s="33" t="str">
        <f>VLOOKUP(A325,BBDD!$1:$1048653,13,0)</f>
        <v>#N/A</v>
      </c>
      <c r="H325" s="33" t="str">
        <f>VLOOKUP(A325,BBDD!$1:$1048653,14,0)</f>
        <v>#N/A</v>
      </c>
      <c r="I325" s="33" t="str">
        <f>VLOOKUP(A325,BBDD!$1:$1048653,16,0)</f>
        <v>#N/A</v>
      </c>
      <c r="J325" s="33" t="str">
        <f>VLOOKUP(A325,BBDD!$1:$1048653,17,0)</f>
        <v>#N/A</v>
      </c>
      <c r="K325" s="35" t="str">
        <f>VLOOKUP(A325,BBDD!$1:$1048653,12,0)</f>
        <v>#N/A</v>
      </c>
      <c r="L325" s="35" t="str">
        <f>VLOOKUP(A325,BBDD!$1:$1048653,3,0)</f>
        <v>#N/A</v>
      </c>
      <c r="M325" s="35" t="str">
        <f>VLOOKUP(A325,BBDD!$1:$1048653,4,0)</f>
        <v>#N/A</v>
      </c>
      <c r="N325" s="35" t="str">
        <f>VLOOKUP(A325,BBDD!$1:$1048653,5,0)</f>
        <v>#N/A</v>
      </c>
      <c r="O325" s="54"/>
      <c r="P325" s="37"/>
      <c r="Q325" s="37"/>
      <c r="R325" s="37"/>
      <c r="S325" s="37"/>
      <c r="T325" s="37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  <c r="AF325" s="22"/>
      <c r="AG325" s="22"/>
      <c r="AH325" s="22"/>
      <c r="AI325" s="22"/>
      <c r="AJ325" s="22"/>
      <c r="AK325" s="22"/>
      <c r="AL325" s="22"/>
      <c r="AM325" s="22"/>
      <c r="AN325" s="22"/>
      <c r="AO325" s="22"/>
    </row>
    <row r="326" ht="14.25" customHeight="1">
      <c r="A326" s="37"/>
      <c r="B326" s="33" t="str">
        <f>VLOOKUP(A326,BBDD!$1:$1048653,2,0)</f>
        <v>#N/A</v>
      </c>
      <c r="C326" s="34" t="str">
        <f>VLOOKUP(A326,BBDD!$1:$1048653,7,0)</f>
        <v>#N/A</v>
      </c>
      <c r="D326" s="33" t="str">
        <f>VLOOKUP(A326,BBDD!$1:$1048653,8,0)</f>
        <v>#N/A</v>
      </c>
      <c r="E326" s="33" t="str">
        <f>VLOOKUP(A326,BBDD!$1:$1048653,10,0)</f>
        <v>#N/A</v>
      </c>
      <c r="F326" s="33" t="str">
        <f>VLOOKUP(A326,BBDD!$1:$1048653,11,0)</f>
        <v>#N/A</v>
      </c>
      <c r="G326" s="33" t="str">
        <f>VLOOKUP(A326,BBDD!$1:$1048653,13,0)</f>
        <v>#N/A</v>
      </c>
      <c r="H326" s="33" t="str">
        <f>VLOOKUP(A326,BBDD!$1:$1048653,14,0)</f>
        <v>#N/A</v>
      </c>
      <c r="I326" s="33" t="str">
        <f>VLOOKUP(A326,BBDD!$1:$1048653,16,0)</f>
        <v>#N/A</v>
      </c>
      <c r="J326" s="33" t="str">
        <f>VLOOKUP(A326,BBDD!$1:$1048653,17,0)</f>
        <v>#N/A</v>
      </c>
      <c r="K326" s="35" t="str">
        <f>VLOOKUP(A326,BBDD!$1:$1048653,12,0)</f>
        <v>#N/A</v>
      </c>
      <c r="L326" s="35" t="str">
        <f>VLOOKUP(A326,BBDD!$1:$1048653,3,0)</f>
        <v>#N/A</v>
      </c>
      <c r="M326" s="35" t="str">
        <f>VLOOKUP(A326,BBDD!$1:$1048653,4,0)</f>
        <v>#N/A</v>
      </c>
      <c r="N326" s="35" t="str">
        <f>VLOOKUP(A326,BBDD!$1:$1048653,5,0)</f>
        <v>#N/A</v>
      </c>
      <c r="O326" s="54"/>
      <c r="P326" s="37"/>
      <c r="Q326" s="37"/>
      <c r="R326" s="37"/>
      <c r="S326" s="37"/>
      <c r="T326" s="37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  <c r="AF326" s="22"/>
      <c r="AG326" s="22"/>
      <c r="AH326" s="22"/>
      <c r="AI326" s="22"/>
      <c r="AJ326" s="22"/>
      <c r="AK326" s="22"/>
      <c r="AL326" s="22"/>
      <c r="AM326" s="22"/>
      <c r="AN326" s="22"/>
      <c r="AO326" s="22"/>
    </row>
    <row r="327" ht="14.25" customHeight="1">
      <c r="A327" s="37"/>
      <c r="B327" s="33" t="str">
        <f>VLOOKUP(A327,BBDD!$1:$1048653,2,0)</f>
        <v>#N/A</v>
      </c>
      <c r="C327" s="34" t="str">
        <f>VLOOKUP(A327,BBDD!$1:$1048653,7,0)</f>
        <v>#N/A</v>
      </c>
      <c r="D327" s="33" t="str">
        <f>VLOOKUP(A327,BBDD!$1:$1048653,8,0)</f>
        <v>#N/A</v>
      </c>
      <c r="E327" s="33" t="str">
        <f>VLOOKUP(A327,BBDD!$1:$1048653,10,0)</f>
        <v>#N/A</v>
      </c>
      <c r="F327" s="33" t="str">
        <f>VLOOKUP(A327,BBDD!$1:$1048653,11,0)</f>
        <v>#N/A</v>
      </c>
      <c r="G327" s="33" t="str">
        <f>VLOOKUP(A327,BBDD!$1:$1048653,13,0)</f>
        <v>#N/A</v>
      </c>
      <c r="H327" s="33" t="str">
        <f>VLOOKUP(A327,BBDD!$1:$1048653,14,0)</f>
        <v>#N/A</v>
      </c>
      <c r="I327" s="33" t="str">
        <f>VLOOKUP(A327,BBDD!$1:$1048653,16,0)</f>
        <v>#N/A</v>
      </c>
      <c r="J327" s="33" t="str">
        <f>VLOOKUP(A327,BBDD!$1:$1048653,17,0)</f>
        <v>#N/A</v>
      </c>
      <c r="K327" s="35" t="str">
        <f>VLOOKUP(A327,BBDD!$1:$1048653,12,0)</f>
        <v>#N/A</v>
      </c>
      <c r="L327" s="35" t="str">
        <f>VLOOKUP(A327,BBDD!$1:$1048653,3,0)</f>
        <v>#N/A</v>
      </c>
      <c r="M327" s="35" t="str">
        <f>VLOOKUP(A327,BBDD!$1:$1048653,4,0)</f>
        <v>#N/A</v>
      </c>
      <c r="N327" s="35" t="str">
        <f>VLOOKUP(A327,BBDD!$1:$1048653,5,0)</f>
        <v>#N/A</v>
      </c>
      <c r="O327" s="54"/>
      <c r="P327" s="37"/>
      <c r="Q327" s="37"/>
      <c r="R327" s="37"/>
      <c r="S327" s="37"/>
      <c r="T327" s="37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  <c r="AF327" s="22"/>
      <c r="AG327" s="22"/>
      <c r="AH327" s="22"/>
      <c r="AI327" s="22"/>
      <c r="AJ327" s="22"/>
      <c r="AK327" s="22"/>
      <c r="AL327" s="22"/>
      <c r="AM327" s="22"/>
      <c r="AN327" s="22"/>
      <c r="AO327" s="22"/>
    </row>
    <row r="328" ht="14.25" customHeight="1">
      <c r="A328" s="37"/>
      <c r="B328" s="33" t="str">
        <f>VLOOKUP(A328,BBDD!$1:$1048653,2,0)</f>
        <v>#N/A</v>
      </c>
      <c r="C328" s="34" t="str">
        <f>VLOOKUP(A328,BBDD!$1:$1048653,7,0)</f>
        <v>#N/A</v>
      </c>
      <c r="D328" s="33" t="str">
        <f>VLOOKUP(A328,BBDD!$1:$1048653,8,0)</f>
        <v>#N/A</v>
      </c>
      <c r="E328" s="33" t="str">
        <f>VLOOKUP(A328,BBDD!$1:$1048653,10,0)</f>
        <v>#N/A</v>
      </c>
      <c r="F328" s="33" t="str">
        <f>VLOOKUP(A328,BBDD!$1:$1048653,11,0)</f>
        <v>#N/A</v>
      </c>
      <c r="G328" s="33" t="str">
        <f>VLOOKUP(A328,BBDD!$1:$1048653,13,0)</f>
        <v>#N/A</v>
      </c>
      <c r="H328" s="33" t="str">
        <f>VLOOKUP(A328,BBDD!$1:$1048653,14,0)</f>
        <v>#N/A</v>
      </c>
      <c r="I328" s="33" t="str">
        <f>VLOOKUP(A328,BBDD!$1:$1048653,16,0)</f>
        <v>#N/A</v>
      </c>
      <c r="J328" s="33" t="str">
        <f>VLOOKUP(A328,BBDD!$1:$1048653,17,0)</f>
        <v>#N/A</v>
      </c>
      <c r="K328" s="35" t="str">
        <f>VLOOKUP(A328,BBDD!$1:$1048653,12,0)</f>
        <v>#N/A</v>
      </c>
      <c r="L328" s="35" t="str">
        <f>VLOOKUP(A328,BBDD!$1:$1048653,3,0)</f>
        <v>#N/A</v>
      </c>
      <c r="M328" s="35" t="str">
        <f>VLOOKUP(A328,BBDD!$1:$1048653,4,0)</f>
        <v>#N/A</v>
      </c>
      <c r="N328" s="35" t="str">
        <f>VLOOKUP(A328,BBDD!$1:$1048653,5,0)</f>
        <v>#N/A</v>
      </c>
      <c r="O328" s="54"/>
      <c r="P328" s="37"/>
      <c r="Q328" s="37"/>
      <c r="R328" s="37"/>
      <c r="S328" s="37"/>
      <c r="T328" s="37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  <c r="AF328" s="22"/>
      <c r="AG328" s="22"/>
      <c r="AH328" s="22"/>
      <c r="AI328" s="22"/>
      <c r="AJ328" s="22"/>
      <c r="AK328" s="22"/>
      <c r="AL328" s="22"/>
      <c r="AM328" s="22"/>
      <c r="AN328" s="22"/>
      <c r="AO328" s="22"/>
    </row>
    <row r="329" ht="14.25" customHeight="1">
      <c r="A329" s="37"/>
      <c r="B329" s="33" t="str">
        <f>VLOOKUP(A329,BBDD!$1:$1048653,2,0)</f>
        <v>#N/A</v>
      </c>
      <c r="C329" s="34" t="str">
        <f>VLOOKUP(A329,BBDD!$1:$1048653,7,0)</f>
        <v>#N/A</v>
      </c>
      <c r="D329" s="33" t="str">
        <f>VLOOKUP(A329,BBDD!$1:$1048653,8,0)</f>
        <v>#N/A</v>
      </c>
      <c r="E329" s="33" t="str">
        <f>VLOOKUP(A329,BBDD!$1:$1048653,10,0)</f>
        <v>#N/A</v>
      </c>
      <c r="F329" s="33" t="str">
        <f>VLOOKUP(A329,BBDD!$1:$1048653,11,0)</f>
        <v>#N/A</v>
      </c>
      <c r="G329" s="33" t="str">
        <f>VLOOKUP(A329,BBDD!$1:$1048653,13,0)</f>
        <v>#N/A</v>
      </c>
      <c r="H329" s="33" t="str">
        <f>VLOOKUP(A329,BBDD!$1:$1048653,14,0)</f>
        <v>#N/A</v>
      </c>
      <c r="I329" s="33" t="str">
        <f>VLOOKUP(A329,BBDD!$1:$1048653,16,0)</f>
        <v>#N/A</v>
      </c>
      <c r="J329" s="33" t="str">
        <f>VLOOKUP(A329,BBDD!$1:$1048653,17,0)</f>
        <v>#N/A</v>
      </c>
      <c r="K329" s="35" t="str">
        <f>VLOOKUP(A329,BBDD!$1:$1048653,12,0)</f>
        <v>#N/A</v>
      </c>
      <c r="L329" s="35" t="str">
        <f>VLOOKUP(A329,BBDD!$1:$1048653,3,0)</f>
        <v>#N/A</v>
      </c>
      <c r="M329" s="35" t="str">
        <f>VLOOKUP(A329,BBDD!$1:$1048653,4,0)</f>
        <v>#N/A</v>
      </c>
      <c r="N329" s="35" t="str">
        <f>VLOOKUP(A329,BBDD!$1:$1048653,5,0)</f>
        <v>#N/A</v>
      </c>
      <c r="O329" s="54"/>
      <c r="P329" s="37"/>
      <c r="Q329" s="37"/>
      <c r="R329" s="37"/>
      <c r="S329" s="37"/>
      <c r="T329" s="37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  <c r="AF329" s="22"/>
      <c r="AG329" s="22"/>
      <c r="AH329" s="22"/>
      <c r="AI329" s="22"/>
      <c r="AJ329" s="22"/>
      <c r="AK329" s="22"/>
      <c r="AL329" s="22"/>
      <c r="AM329" s="22"/>
      <c r="AN329" s="22"/>
      <c r="AO329" s="22"/>
    </row>
    <row r="330" ht="14.25" customHeight="1">
      <c r="A330" s="37"/>
      <c r="B330" s="33" t="str">
        <f>VLOOKUP(A330,BBDD!$1:$1048653,2,0)</f>
        <v>#N/A</v>
      </c>
      <c r="C330" s="34" t="str">
        <f>VLOOKUP(A330,BBDD!$1:$1048653,7,0)</f>
        <v>#N/A</v>
      </c>
      <c r="D330" s="33" t="str">
        <f>VLOOKUP(A330,BBDD!$1:$1048653,8,0)</f>
        <v>#N/A</v>
      </c>
      <c r="E330" s="33" t="str">
        <f>VLOOKUP(A330,BBDD!$1:$1048653,10,0)</f>
        <v>#N/A</v>
      </c>
      <c r="F330" s="33" t="str">
        <f>VLOOKUP(A330,BBDD!$1:$1048653,11,0)</f>
        <v>#N/A</v>
      </c>
      <c r="G330" s="33" t="str">
        <f>VLOOKUP(A330,BBDD!$1:$1048653,13,0)</f>
        <v>#N/A</v>
      </c>
      <c r="H330" s="33" t="str">
        <f>VLOOKUP(A330,BBDD!$1:$1048653,14,0)</f>
        <v>#N/A</v>
      </c>
      <c r="I330" s="33" t="str">
        <f>VLOOKUP(A330,BBDD!$1:$1048653,16,0)</f>
        <v>#N/A</v>
      </c>
      <c r="J330" s="33" t="str">
        <f>VLOOKUP(A330,BBDD!$1:$1048653,17,0)</f>
        <v>#N/A</v>
      </c>
      <c r="K330" s="35" t="str">
        <f>VLOOKUP(A330,BBDD!$1:$1048653,12,0)</f>
        <v>#N/A</v>
      </c>
      <c r="L330" s="35" t="str">
        <f>VLOOKUP(A330,BBDD!$1:$1048653,3,0)</f>
        <v>#N/A</v>
      </c>
      <c r="M330" s="35" t="str">
        <f>VLOOKUP(A330,BBDD!$1:$1048653,4,0)</f>
        <v>#N/A</v>
      </c>
      <c r="N330" s="35" t="str">
        <f>VLOOKUP(A330,BBDD!$1:$1048653,5,0)</f>
        <v>#N/A</v>
      </c>
      <c r="O330" s="54"/>
      <c r="P330" s="37"/>
      <c r="Q330" s="37"/>
      <c r="R330" s="37"/>
      <c r="S330" s="37"/>
      <c r="T330" s="37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  <c r="AF330" s="22"/>
      <c r="AG330" s="22"/>
      <c r="AH330" s="22"/>
      <c r="AI330" s="22"/>
      <c r="AJ330" s="22"/>
      <c r="AK330" s="22"/>
      <c r="AL330" s="22"/>
      <c r="AM330" s="22"/>
      <c r="AN330" s="22"/>
      <c r="AO330" s="22"/>
    </row>
    <row r="331" ht="14.25" customHeight="1">
      <c r="A331" s="37"/>
      <c r="B331" s="33" t="str">
        <f>VLOOKUP(A331,BBDD!$1:$1048653,2,0)</f>
        <v>#N/A</v>
      </c>
      <c r="C331" s="34" t="str">
        <f>VLOOKUP(A331,BBDD!$1:$1048653,7,0)</f>
        <v>#N/A</v>
      </c>
      <c r="D331" s="33" t="str">
        <f>VLOOKUP(A331,BBDD!$1:$1048653,8,0)</f>
        <v>#N/A</v>
      </c>
      <c r="E331" s="33" t="str">
        <f>VLOOKUP(A331,BBDD!$1:$1048653,10,0)</f>
        <v>#N/A</v>
      </c>
      <c r="F331" s="33" t="str">
        <f>VLOOKUP(A331,BBDD!$1:$1048653,11,0)</f>
        <v>#N/A</v>
      </c>
      <c r="G331" s="33" t="str">
        <f>VLOOKUP(A331,BBDD!$1:$1048653,13,0)</f>
        <v>#N/A</v>
      </c>
      <c r="H331" s="33" t="str">
        <f>VLOOKUP(A331,BBDD!$1:$1048653,14,0)</f>
        <v>#N/A</v>
      </c>
      <c r="I331" s="33" t="str">
        <f>VLOOKUP(A331,BBDD!$1:$1048653,16,0)</f>
        <v>#N/A</v>
      </c>
      <c r="J331" s="33" t="str">
        <f>VLOOKUP(A331,BBDD!$1:$1048653,17,0)</f>
        <v>#N/A</v>
      </c>
      <c r="K331" s="35" t="str">
        <f>VLOOKUP(A331,BBDD!$1:$1048653,12,0)</f>
        <v>#N/A</v>
      </c>
      <c r="L331" s="35" t="str">
        <f>VLOOKUP(A331,BBDD!$1:$1048653,3,0)</f>
        <v>#N/A</v>
      </c>
      <c r="M331" s="35" t="str">
        <f>VLOOKUP(A331,BBDD!$1:$1048653,4,0)</f>
        <v>#N/A</v>
      </c>
      <c r="N331" s="35" t="str">
        <f>VLOOKUP(A331,BBDD!$1:$1048653,5,0)</f>
        <v>#N/A</v>
      </c>
      <c r="O331" s="54"/>
      <c r="P331" s="37"/>
      <c r="Q331" s="37"/>
      <c r="R331" s="37"/>
      <c r="S331" s="37"/>
      <c r="T331" s="37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  <c r="AF331" s="22"/>
      <c r="AG331" s="22"/>
      <c r="AH331" s="22"/>
      <c r="AI331" s="22"/>
      <c r="AJ331" s="22"/>
      <c r="AK331" s="22"/>
      <c r="AL331" s="22"/>
      <c r="AM331" s="22"/>
      <c r="AN331" s="22"/>
      <c r="AO331" s="22"/>
    </row>
    <row r="332" ht="14.25" customHeight="1">
      <c r="A332" s="37"/>
      <c r="B332" s="33" t="str">
        <f>VLOOKUP(A332,BBDD!$1:$1048653,2,0)</f>
        <v>#N/A</v>
      </c>
      <c r="C332" s="34" t="str">
        <f>VLOOKUP(A332,BBDD!$1:$1048653,7,0)</f>
        <v>#N/A</v>
      </c>
      <c r="D332" s="33" t="str">
        <f>VLOOKUP(A332,BBDD!$1:$1048653,8,0)</f>
        <v>#N/A</v>
      </c>
      <c r="E332" s="33" t="str">
        <f>VLOOKUP(A332,BBDD!$1:$1048653,10,0)</f>
        <v>#N/A</v>
      </c>
      <c r="F332" s="33" t="str">
        <f>VLOOKUP(A332,BBDD!$1:$1048653,11,0)</f>
        <v>#N/A</v>
      </c>
      <c r="G332" s="33" t="str">
        <f>VLOOKUP(A332,BBDD!$1:$1048653,13,0)</f>
        <v>#N/A</v>
      </c>
      <c r="H332" s="33" t="str">
        <f>VLOOKUP(A332,BBDD!$1:$1048653,14,0)</f>
        <v>#N/A</v>
      </c>
      <c r="I332" s="33" t="str">
        <f>VLOOKUP(A332,BBDD!$1:$1048653,16,0)</f>
        <v>#N/A</v>
      </c>
      <c r="J332" s="33" t="str">
        <f>VLOOKUP(A332,BBDD!$1:$1048653,17,0)</f>
        <v>#N/A</v>
      </c>
      <c r="K332" s="35" t="str">
        <f>VLOOKUP(A332,BBDD!$1:$1048653,12,0)</f>
        <v>#N/A</v>
      </c>
      <c r="L332" s="35" t="str">
        <f>VLOOKUP(A332,BBDD!$1:$1048653,3,0)</f>
        <v>#N/A</v>
      </c>
      <c r="M332" s="35" t="str">
        <f>VLOOKUP(A332,BBDD!$1:$1048653,4,0)</f>
        <v>#N/A</v>
      </c>
      <c r="N332" s="35" t="str">
        <f>VLOOKUP(A332,BBDD!$1:$1048653,5,0)</f>
        <v>#N/A</v>
      </c>
      <c r="O332" s="54"/>
      <c r="P332" s="37"/>
      <c r="Q332" s="37"/>
      <c r="R332" s="37"/>
      <c r="S332" s="37"/>
      <c r="T332" s="37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  <c r="AF332" s="22"/>
      <c r="AG332" s="22"/>
      <c r="AH332" s="22"/>
      <c r="AI332" s="22"/>
      <c r="AJ332" s="22"/>
      <c r="AK332" s="22"/>
      <c r="AL332" s="22"/>
      <c r="AM332" s="22"/>
      <c r="AN332" s="22"/>
      <c r="AO332" s="22"/>
    </row>
    <row r="333" ht="14.25" customHeight="1">
      <c r="A333" s="37"/>
      <c r="B333" s="33" t="str">
        <f>VLOOKUP(A333,BBDD!$1:$1048653,2,0)</f>
        <v>#N/A</v>
      </c>
      <c r="C333" s="34" t="str">
        <f>VLOOKUP(A333,BBDD!$1:$1048653,7,0)</f>
        <v>#N/A</v>
      </c>
      <c r="D333" s="33" t="str">
        <f>VLOOKUP(A333,BBDD!$1:$1048653,8,0)</f>
        <v>#N/A</v>
      </c>
      <c r="E333" s="33" t="str">
        <f>VLOOKUP(A333,BBDD!$1:$1048653,10,0)</f>
        <v>#N/A</v>
      </c>
      <c r="F333" s="33" t="str">
        <f>VLOOKUP(A333,BBDD!$1:$1048653,11,0)</f>
        <v>#N/A</v>
      </c>
      <c r="G333" s="33" t="str">
        <f>VLOOKUP(A333,BBDD!$1:$1048653,13,0)</f>
        <v>#N/A</v>
      </c>
      <c r="H333" s="33" t="str">
        <f>VLOOKUP(A333,BBDD!$1:$1048653,14,0)</f>
        <v>#N/A</v>
      </c>
      <c r="I333" s="33" t="str">
        <f>VLOOKUP(A333,BBDD!$1:$1048653,16,0)</f>
        <v>#N/A</v>
      </c>
      <c r="J333" s="33" t="str">
        <f>VLOOKUP(A333,BBDD!$1:$1048653,17,0)</f>
        <v>#N/A</v>
      </c>
      <c r="K333" s="35" t="str">
        <f>VLOOKUP(A333,BBDD!$1:$1048653,12,0)</f>
        <v>#N/A</v>
      </c>
      <c r="L333" s="35" t="str">
        <f>VLOOKUP(A333,BBDD!$1:$1048653,3,0)</f>
        <v>#N/A</v>
      </c>
      <c r="M333" s="35" t="str">
        <f>VLOOKUP(A333,BBDD!$1:$1048653,4,0)</f>
        <v>#N/A</v>
      </c>
      <c r="N333" s="35" t="str">
        <f>VLOOKUP(A333,BBDD!$1:$1048653,5,0)</f>
        <v>#N/A</v>
      </c>
      <c r="O333" s="54"/>
      <c r="P333" s="37"/>
      <c r="Q333" s="37"/>
      <c r="R333" s="37"/>
      <c r="S333" s="37"/>
      <c r="T333" s="37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  <c r="AF333" s="22"/>
      <c r="AG333" s="22"/>
      <c r="AH333" s="22"/>
      <c r="AI333" s="22"/>
      <c r="AJ333" s="22"/>
      <c r="AK333" s="22"/>
      <c r="AL333" s="22"/>
      <c r="AM333" s="22"/>
      <c r="AN333" s="22"/>
      <c r="AO333" s="22"/>
    </row>
    <row r="334" ht="14.25" customHeight="1">
      <c r="A334" s="37"/>
      <c r="B334" s="33" t="str">
        <f>VLOOKUP(A334,BBDD!$1:$1048653,2,0)</f>
        <v>#N/A</v>
      </c>
      <c r="C334" s="34" t="str">
        <f>VLOOKUP(A334,BBDD!$1:$1048653,7,0)</f>
        <v>#N/A</v>
      </c>
      <c r="D334" s="33" t="str">
        <f>VLOOKUP(A334,BBDD!$1:$1048653,8,0)</f>
        <v>#N/A</v>
      </c>
      <c r="E334" s="33" t="str">
        <f>VLOOKUP(A334,BBDD!$1:$1048653,10,0)</f>
        <v>#N/A</v>
      </c>
      <c r="F334" s="33" t="str">
        <f>VLOOKUP(A334,BBDD!$1:$1048653,11,0)</f>
        <v>#N/A</v>
      </c>
      <c r="G334" s="33" t="str">
        <f>VLOOKUP(A334,BBDD!$1:$1048653,13,0)</f>
        <v>#N/A</v>
      </c>
      <c r="H334" s="33" t="str">
        <f>VLOOKUP(A334,BBDD!$1:$1048653,14,0)</f>
        <v>#N/A</v>
      </c>
      <c r="I334" s="33" t="str">
        <f>VLOOKUP(A334,BBDD!$1:$1048653,16,0)</f>
        <v>#N/A</v>
      </c>
      <c r="J334" s="33" t="str">
        <f>VLOOKUP(A334,BBDD!$1:$1048653,17,0)</f>
        <v>#N/A</v>
      </c>
      <c r="K334" s="35" t="str">
        <f>VLOOKUP(A334,BBDD!$1:$1048653,12,0)</f>
        <v>#N/A</v>
      </c>
      <c r="L334" s="35" t="str">
        <f>VLOOKUP(A334,BBDD!$1:$1048653,3,0)</f>
        <v>#N/A</v>
      </c>
      <c r="M334" s="35" t="str">
        <f>VLOOKUP(A334,BBDD!$1:$1048653,4,0)</f>
        <v>#N/A</v>
      </c>
      <c r="N334" s="35" t="str">
        <f>VLOOKUP(A334,BBDD!$1:$1048653,5,0)</f>
        <v>#N/A</v>
      </c>
      <c r="O334" s="54"/>
      <c r="P334" s="37"/>
      <c r="Q334" s="37"/>
      <c r="R334" s="37"/>
      <c r="S334" s="37"/>
      <c r="T334" s="37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  <c r="AF334" s="22"/>
      <c r="AG334" s="22"/>
      <c r="AH334" s="22"/>
      <c r="AI334" s="22"/>
      <c r="AJ334" s="22"/>
      <c r="AK334" s="22"/>
      <c r="AL334" s="22"/>
      <c r="AM334" s="22"/>
      <c r="AN334" s="22"/>
      <c r="AO334" s="22"/>
    </row>
    <row r="335" ht="14.25" customHeight="1">
      <c r="A335" s="37"/>
      <c r="B335" s="33" t="str">
        <f>VLOOKUP(A335,BBDD!$1:$1048653,2,0)</f>
        <v>#N/A</v>
      </c>
      <c r="C335" s="34" t="str">
        <f>VLOOKUP(A335,BBDD!$1:$1048653,7,0)</f>
        <v>#N/A</v>
      </c>
      <c r="D335" s="33" t="str">
        <f>VLOOKUP(A335,BBDD!$1:$1048653,8,0)</f>
        <v>#N/A</v>
      </c>
      <c r="E335" s="33" t="str">
        <f>VLOOKUP(A335,BBDD!$1:$1048653,10,0)</f>
        <v>#N/A</v>
      </c>
      <c r="F335" s="33" t="str">
        <f>VLOOKUP(A335,BBDD!$1:$1048653,11,0)</f>
        <v>#N/A</v>
      </c>
      <c r="G335" s="33" t="str">
        <f>VLOOKUP(A335,BBDD!$1:$1048653,13,0)</f>
        <v>#N/A</v>
      </c>
      <c r="H335" s="33" t="str">
        <f>VLOOKUP(A335,BBDD!$1:$1048653,14,0)</f>
        <v>#N/A</v>
      </c>
      <c r="I335" s="33" t="str">
        <f>VLOOKUP(A335,BBDD!$1:$1048653,16,0)</f>
        <v>#N/A</v>
      </c>
      <c r="J335" s="33" t="str">
        <f>VLOOKUP(A335,BBDD!$1:$1048653,17,0)</f>
        <v>#N/A</v>
      </c>
      <c r="K335" s="35" t="str">
        <f>VLOOKUP(A335,BBDD!$1:$1048653,12,0)</f>
        <v>#N/A</v>
      </c>
      <c r="L335" s="35" t="str">
        <f>VLOOKUP(A335,BBDD!$1:$1048653,3,0)</f>
        <v>#N/A</v>
      </c>
      <c r="M335" s="35" t="str">
        <f>VLOOKUP(A335,BBDD!$1:$1048653,4,0)</f>
        <v>#N/A</v>
      </c>
      <c r="N335" s="35" t="str">
        <f>VLOOKUP(A335,BBDD!$1:$1048653,5,0)</f>
        <v>#N/A</v>
      </c>
      <c r="O335" s="54"/>
      <c r="P335" s="37"/>
      <c r="Q335" s="37"/>
      <c r="R335" s="37"/>
      <c r="S335" s="37"/>
      <c r="T335" s="37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  <c r="AF335" s="22"/>
      <c r="AG335" s="22"/>
      <c r="AH335" s="22"/>
      <c r="AI335" s="22"/>
      <c r="AJ335" s="22"/>
      <c r="AK335" s="22"/>
      <c r="AL335" s="22"/>
      <c r="AM335" s="22"/>
      <c r="AN335" s="22"/>
      <c r="AO335" s="22"/>
    </row>
    <row r="336" ht="14.25" customHeight="1">
      <c r="A336" s="37"/>
      <c r="B336" s="33" t="str">
        <f>VLOOKUP(A336,BBDD!$1:$1048653,2,0)</f>
        <v>#N/A</v>
      </c>
      <c r="C336" s="34" t="str">
        <f>VLOOKUP(A336,BBDD!$1:$1048653,7,0)</f>
        <v>#N/A</v>
      </c>
      <c r="D336" s="33" t="str">
        <f>VLOOKUP(A336,BBDD!$1:$1048653,8,0)</f>
        <v>#N/A</v>
      </c>
      <c r="E336" s="33" t="str">
        <f>VLOOKUP(A336,BBDD!$1:$1048653,10,0)</f>
        <v>#N/A</v>
      </c>
      <c r="F336" s="33" t="str">
        <f>VLOOKUP(A336,BBDD!$1:$1048653,11,0)</f>
        <v>#N/A</v>
      </c>
      <c r="G336" s="33" t="str">
        <f>VLOOKUP(A336,BBDD!$1:$1048653,13,0)</f>
        <v>#N/A</v>
      </c>
      <c r="H336" s="33" t="str">
        <f>VLOOKUP(A336,BBDD!$1:$1048653,14,0)</f>
        <v>#N/A</v>
      </c>
      <c r="I336" s="33" t="str">
        <f>VLOOKUP(A336,BBDD!$1:$1048653,16,0)</f>
        <v>#N/A</v>
      </c>
      <c r="J336" s="33" t="str">
        <f>VLOOKUP(A336,BBDD!$1:$1048653,17,0)</f>
        <v>#N/A</v>
      </c>
      <c r="K336" s="35" t="str">
        <f>VLOOKUP(A336,BBDD!$1:$1048653,12,0)</f>
        <v>#N/A</v>
      </c>
      <c r="L336" s="35" t="str">
        <f>VLOOKUP(A336,BBDD!$1:$1048653,3,0)</f>
        <v>#N/A</v>
      </c>
      <c r="M336" s="35" t="str">
        <f>VLOOKUP(A336,BBDD!$1:$1048653,4,0)</f>
        <v>#N/A</v>
      </c>
      <c r="N336" s="35" t="str">
        <f>VLOOKUP(A336,BBDD!$1:$1048653,5,0)</f>
        <v>#N/A</v>
      </c>
      <c r="O336" s="54"/>
      <c r="P336" s="37"/>
      <c r="Q336" s="37"/>
      <c r="R336" s="37"/>
      <c r="S336" s="37"/>
      <c r="T336" s="37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  <c r="AF336" s="22"/>
      <c r="AG336" s="22"/>
      <c r="AH336" s="22"/>
      <c r="AI336" s="22"/>
      <c r="AJ336" s="22"/>
      <c r="AK336" s="22"/>
      <c r="AL336" s="22"/>
      <c r="AM336" s="22"/>
      <c r="AN336" s="22"/>
      <c r="AO336" s="22"/>
    </row>
    <row r="337" ht="14.25" customHeight="1">
      <c r="A337" s="37"/>
      <c r="B337" s="33" t="str">
        <f>VLOOKUP(A337,BBDD!$1:$1048653,2,0)</f>
        <v>#N/A</v>
      </c>
      <c r="C337" s="34" t="str">
        <f>VLOOKUP(A337,BBDD!$1:$1048653,7,0)</f>
        <v>#N/A</v>
      </c>
      <c r="D337" s="33" t="str">
        <f>VLOOKUP(A337,BBDD!$1:$1048653,8,0)</f>
        <v>#N/A</v>
      </c>
      <c r="E337" s="33" t="str">
        <f>VLOOKUP(A337,BBDD!$1:$1048653,10,0)</f>
        <v>#N/A</v>
      </c>
      <c r="F337" s="33" t="str">
        <f>VLOOKUP(A337,BBDD!$1:$1048653,11,0)</f>
        <v>#N/A</v>
      </c>
      <c r="G337" s="33" t="str">
        <f>VLOOKUP(A337,BBDD!$1:$1048653,13,0)</f>
        <v>#N/A</v>
      </c>
      <c r="H337" s="33" t="str">
        <f>VLOOKUP(A337,BBDD!$1:$1048653,14,0)</f>
        <v>#N/A</v>
      </c>
      <c r="I337" s="33" t="str">
        <f>VLOOKUP(A337,BBDD!$1:$1048653,16,0)</f>
        <v>#N/A</v>
      </c>
      <c r="J337" s="33" t="str">
        <f>VLOOKUP(A337,BBDD!$1:$1048653,17,0)</f>
        <v>#N/A</v>
      </c>
      <c r="K337" s="35" t="str">
        <f>VLOOKUP(A337,BBDD!$1:$1048653,12,0)</f>
        <v>#N/A</v>
      </c>
      <c r="L337" s="35" t="str">
        <f>VLOOKUP(A337,BBDD!$1:$1048653,3,0)</f>
        <v>#N/A</v>
      </c>
      <c r="M337" s="35" t="str">
        <f>VLOOKUP(A337,BBDD!$1:$1048653,4,0)</f>
        <v>#N/A</v>
      </c>
      <c r="N337" s="35" t="str">
        <f>VLOOKUP(A337,BBDD!$1:$1048653,5,0)</f>
        <v>#N/A</v>
      </c>
      <c r="O337" s="54"/>
      <c r="P337" s="37"/>
      <c r="Q337" s="37"/>
      <c r="R337" s="37"/>
      <c r="S337" s="37"/>
      <c r="T337" s="37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  <c r="AF337" s="22"/>
      <c r="AG337" s="22"/>
      <c r="AH337" s="22"/>
      <c r="AI337" s="22"/>
      <c r="AJ337" s="22"/>
      <c r="AK337" s="22"/>
      <c r="AL337" s="22"/>
      <c r="AM337" s="22"/>
      <c r="AN337" s="22"/>
      <c r="AO337" s="22"/>
    </row>
    <row r="338" ht="14.25" customHeight="1">
      <c r="A338" s="37"/>
      <c r="B338" s="33" t="str">
        <f>VLOOKUP(A338,BBDD!$1:$1048653,2,0)</f>
        <v>#N/A</v>
      </c>
      <c r="C338" s="34" t="str">
        <f>VLOOKUP(A338,BBDD!$1:$1048653,7,0)</f>
        <v>#N/A</v>
      </c>
      <c r="D338" s="33" t="str">
        <f>VLOOKUP(A338,BBDD!$1:$1048653,8,0)</f>
        <v>#N/A</v>
      </c>
      <c r="E338" s="33" t="str">
        <f>VLOOKUP(A338,BBDD!$1:$1048653,10,0)</f>
        <v>#N/A</v>
      </c>
      <c r="F338" s="33" t="str">
        <f>VLOOKUP(A338,BBDD!$1:$1048653,11,0)</f>
        <v>#N/A</v>
      </c>
      <c r="G338" s="33" t="str">
        <f>VLOOKUP(A338,BBDD!$1:$1048653,13,0)</f>
        <v>#N/A</v>
      </c>
      <c r="H338" s="33" t="str">
        <f>VLOOKUP(A338,BBDD!$1:$1048653,14,0)</f>
        <v>#N/A</v>
      </c>
      <c r="I338" s="33" t="str">
        <f>VLOOKUP(A338,BBDD!$1:$1048653,16,0)</f>
        <v>#N/A</v>
      </c>
      <c r="J338" s="33" t="str">
        <f>VLOOKUP(A338,BBDD!$1:$1048653,17,0)</f>
        <v>#N/A</v>
      </c>
      <c r="K338" s="35" t="str">
        <f>VLOOKUP(A338,BBDD!$1:$1048653,12,0)</f>
        <v>#N/A</v>
      </c>
      <c r="L338" s="35" t="str">
        <f>VLOOKUP(A338,BBDD!$1:$1048653,3,0)</f>
        <v>#N/A</v>
      </c>
      <c r="M338" s="35" t="str">
        <f>VLOOKUP(A338,BBDD!$1:$1048653,4,0)</f>
        <v>#N/A</v>
      </c>
      <c r="N338" s="35" t="str">
        <f>VLOOKUP(A338,BBDD!$1:$1048653,5,0)</f>
        <v>#N/A</v>
      </c>
      <c r="O338" s="54"/>
      <c r="P338" s="37"/>
      <c r="Q338" s="37"/>
      <c r="R338" s="37"/>
      <c r="S338" s="37"/>
      <c r="T338" s="37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  <c r="AF338" s="22"/>
      <c r="AG338" s="22"/>
      <c r="AH338" s="22"/>
      <c r="AI338" s="22"/>
      <c r="AJ338" s="22"/>
      <c r="AK338" s="22"/>
      <c r="AL338" s="22"/>
      <c r="AM338" s="22"/>
      <c r="AN338" s="22"/>
      <c r="AO338" s="22"/>
    </row>
    <row r="339" ht="14.25" customHeight="1">
      <c r="A339" s="37"/>
      <c r="B339" s="33" t="str">
        <f>VLOOKUP(A339,BBDD!$1:$1048653,2,0)</f>
        <v>#N/A</v>
      </c>
      <c r="C339" s="34" t="str">
        <f>VLOOKUP(A339,BBDD!$1:$1048653,7,0)</f>
        <v>#N/A</v>
      </c>
      <c r="D339" s="33" t="str">
        <f>VLOOKUP(A339,BBDD!$1:$1048653,8,0)</f>
        <v>#N/A</v>
      </c>
      <c r="E339" s="33" t="str">
        <f>VLOOKUP(A339,BBDD!$1:$1048653,10,0)</f>
        <v>#N/A</v>
      </c>
      <c r="F339" s="33" t="str">
        <f>VLOOKUP(A339,BBDD!$1:$1048653,11,0)</f>
        <v>#N/A</v>
      </c>
      <c r="G339" s="33" t="str">
        <f>VLOOKUP(A339,BBDD!$1:$1048653,13,0)</f>
        <v>#N/A</v>
      </c>
      <c r="H339" s="33" t="str">
        <f>VLOOKUP(A339,BBDD!$1:$1048653,14,0)</f>
        <v>#N/A</v>
      </c>
      <c r="I339" s="33" t="str">
        <f>VLOOKUP(A339,BBDD!$1:$1048653,16,0)</f>
        <v>#N/A</v>
      </c>
      <c r="J339" s="33" t="str">
        <f>VLOOKUP(A339,BBDD!$1:$1048653,17,0)</f>
        <v>#N/A</v>
      </c>
      <c r="K339" s="35" t="str">
        <f>VLOOKUP(A339,BBDD!$1:$1048653,12,0)</f>
        <v>#N/A</v>
      </c>
      <c r="L339" s="35" t="str">
        <f>VLOOKUP(A339,BBDD!$1:$1048653,3,0)</f>
        <v>#N/A</v>
      </c>
      <c r="M339" s="35" t="str">
        <f>VLOOKUP(A339,BBDD!$1:$1048653,4,0)</f>
        <v>#N/A</v>
      </c>
      <c r="N339" s="35" t="str">
        <f>VLOOKUP(A339,BBDD!$1:$1048653,5,0)</f>
        <v>#N/A</v>
      </c>
      <c r="O339" s="54"/>
      <c r="P339" s="37"/>
      <c r="Q339" s="37"/>
      <c r="R339" s="37"/>
      <c r="S339" s="37"/>
      <c r="T339" s="37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  <c r="AF339" s="22"/>
      <c r="AG339" s="22"/>
      <c r="AH339" s="22"/>
      <c r="AI339" s="22"/>
      <c r="AJ339" s="22"/>
      <c r="AK339" s="22"/>
      <c r="AL339" s="22"/>
      <c r="AM339" s="22"/>
      <c r="AN339" s="22"/>
      <c r="AO339" s="22"/>
    </row>
    <row r="340" ht="14.25" customHeight="1">
      <c r="A340" s="37"/>
      <c r="B340" s="33" t="str">
        <f>VLOOKUP(A340,BBDD!$1:$1048653,2,0)</f>
        <v>#N/A</v>
      </c>
      <c r="C340" s="34" t="str">
        <f>VLOOKUP(A340,BBDD!$1:$1048653,7,0)</f>
        <v>#N/A</v>
      </c>
      <c r="D340" s="33" t="str">
        <f>VLOOKUP(A340,BBDD!$1:$1048653,8,0)</f>
        <v>#N/A</v>
      </c>
      <c r="E340" s="33" t="str">
        <f>VLOOKUP(A340,BBDD!$1:$1048653,10,0)</f>
        <v>#N/A</v>
      </c>
      <c r="F340" s="33" t="str">
        <f>VLOOKUP(A340,BBDD!$1:$1048653,11,0)</f>
        <v>#N/A</v>
      </c>
      <c r="G340" s="33" t="str">
        <f>VLOOKUP(A340,BBDD!$1:$1048653,13,0)</f>
        <v>#N/A</v>
      </c>
      <c r="H340" s="33" t="str">
        <f>VLOOKUP(A340,BBDD!$1:$1048653,14,0)</f>
        <v>#N/A</v>
      </c>
      <c r="I340" s="33" t="str">
        <f>VLOOKUP(A340,BBDD!$1:$1048653,16,0)</f>
        <v>#N/A</v>
      </c>
      <c r="J340" s="33" t="str">
        <f>VLOOKUP(A340,BBDD!$1:$1048653,17,0)</f>
        <v>#N/A</v>
      </c>
      <c r="K340" s="35" t="str">
        <f>VLOOKUP(A340,BBDD!$1:$1048653,12,0)</f>
        <v>#N/A</v>
      </c>
      <c r="L340" s="35" t="str">
        <f>VLOOKUP(A340,BBDD!$1:$1048653,3,0)</f>
        <v>#N/A</v>
      </c>
      <c r="M340" s="35" t="str">
        <f>VLOOKUP(A340,BBDD!$1:$1048653,4,0)</f>
        <v>#N/A</v>
      </c>
      <c r="N340" s="35" t="str">
        <f>VLOOKUP(A340,BBDD!$1:$1048653,5,0)</f>
        <v>#N/A</v>
      </c>
      <c r="O340" s="54"/>
      <c r="P340" s="37"/>
      <c r="Q340" s="37"/>
      <c r="R340" s="37"/>
      <c r="S340" s="37"/>
      <c r="T340" s="37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  <c r="AF340" s="22"/>
      <c r="AG340" s="22"/>
      <c r="AH340" s="22"/>
      <c r="AI340" s="22"/>
      <c r="AJ340" s="22"/>
      <c r="AK340" s="22"/>
      <c r="AL340" s="22"/>
      <c r="AM340" s="22"/>
      <c r="AN340" s="22"/>
      <c r="AO340" s="22"/>
    </row>
    <row r="341" ht="14.25" customHeight="1">
      <c r="A341" s="37"/>
      <c r="B341" s="33" t="str">
        <f>VLOOKUP(A341,BBDD!$1:$1048653,2,0)</f>
        <v>#N/A</v>
      </c>
      <c r="C341" s="34" t="str">
        <f>VLOOKUP(A341,BBDD!$1:$1048653,7,0)</f>
        <v>#N/A</v>
      </c>
      <c r="D341" s="33" t="str">
        <f>VLOOKUP(A341,BBDD!$1:$1048653,8,0)</f>
        <v>#N/A</v>
      </c>
      <c r="E341" s="33" t="str">
        <f>VLOOKUP(A341,BBDD!$1:$1048653,10,0)</f>
        <v>#N/A</v>
      </c>
      <c r="F341" s="33" t="str">
        <f>VLOOKUP(A341,BBDD!$1:$1048653,11,0)</f>
        <v>#N/A</v>
      </c>
      <c r="G341" s="33" t="str">
        <f>VLOOKUP(A341,BBDD!$1:$1048653,13,0)</f>
        <v>#N/A</v>
      </c>
      <c r="H341" s="33" t="str">
        <f>VLOOKUP(A341,BBDD!$1:$1048653,14,0)</f>
        <v>#N/A</v>
      </c>
      <c r="I341" s="33" t="str">
        <f>VLOOKUP(A341,BBDD!$1:$1048653,16,0)</f>
        <v>#N/A</v>
      </c>
      <c r="J341" s="33" t="str">
        <f>VLOOKUP(A341,BBDD!$1:$1048653,17,0)</f>
        <v>#N/A</v>
      </c>
      <c r="K341" s="35" t="str">
        <f>VLOOKUP(A341,BBDD!$1:$1048653,12,0)</f>
        <v>#N/A</v>
      </c>
      <c r="L341" s="35" t="str">
        <f>VLOOKUP(A341,BBDD!$1:$1048653,3,0)</f>
        <v>#N/A</v>
      </c>
      <c r="M341" s="35" t="str">
        <f>VLOOKUP(A341,BBDD!$1:$1048653,4,0)</f>
        <v>#N/A</v>
      </c>
      <c r="N341" s="35" t="str">
        <f>VLOOKUP(A341,BBDD!$1:$1048653,5,0)</f>
        <v>#N/A</v>
      </c>
      <c r="O341" s="54"/>
      <c r="P341" s="37"/>
      <c r="Q341" s="37"/>
      <c r="R341" s="37"/>
      <c r="S341" s="37"/>
      <c r="T341" s="37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  <c r="AF341" s="22"/>
      <c r="AG341" s="22"/>
      <c r="AH341" s="22"/>
      <c r="AI341" s="22"/>
      <c r="AJ341" s="22"/>
      <c r="AK341" s="22"/>
      <c r="AL341" s="22"/>
      <c r="AM341" s="22"/>
      <c r="AN341" s="22"/>
      <c r="AO341" s="22"/>
    </row>
    <row r="342" ht="14.2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55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  <c r="AF342" s="22"/>
      <c r="AG342" s="22"/>
      <c r="AH342" s="22"/>
      <c r="AI342" s="22"/>
      <c r="AJ342" s="22"/>
      <c r="AK342" s="22"/>
      <c r="AL342" s="22"/>
      <c r="AM342" s="22"/>
      <c r="AN342" s="22"/>
      <c r="AO342" s="22"/>
    </row>
    <row r="343" ht="14.2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55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  <c r="AF343" s="22"/>
      <c r="AG343" s="22"/>
      <c r="AH343" s="22"/>
      <c r="AI343" s="22"/>
      <c r="AJ343" s="22"/>
      <c r="AK343" s="22"/>
      <c r="AL343" s="22"/>
      <c r="AM343" s="22"/>
      <c r="AN343" s="22"/>
      <c r="AO343" s="22"/>
    </row>
    <row r="344" ht="14.2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55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  <c r="AF344" s="22"/>
      <c r="AG344" s="22"/>
      <c r="AH344" s="22"/>
      <c r="AI344" s="22"/>
      <c r="AJ344" s="22"/>
      <c r="AK344" s="22"/>
      <c r="AL344" s="22"/>
      <c r="AM344" s="22"/>
      <c r="AN344" s="22"/>
      <c r="AO344" s="22"/>
    </row>
    <row r="345" ht="14.2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55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  <c r="AF345" s="22"/>
      <c r="AG345" s="22"/>
      <c r="AH345" s="22"/>
      <c r="AI345" s="22"/>
      <c r="AJ345" s="22"/>
      <c r="AK345" s="22"/>
      <c r="AL345" s="22"/>
      <c r="AM345" s="22"/>
      <c r="AN345" s="22"/>
      <c r="AO345" s="22"/>
    </row>
    <row r="346" ht="14.2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55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  <c r="AF346" s="22"/>
      <c r="AG346" s="22"/>
      <c r="AH346" s="22"/>
      <c r="AI346" s="22"/>
      <c r="AJ346" s="22"/>
      <c r="AK346" s="22"/>
      <c r="AL346" s="22"/>
      <c r="AM346" s="22"/>
      <c r="AN346" s="22"/>
      <c r="AO346" s="22"/>
    </row>
    <row r="347" ht="14.2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55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  <c r="AF347" s="22"/>
      <c r="AG347" s="22"/>
      <c r="AH347" s="22"/>
      <c r="AI347" s="22"/>
      <c r="AJ347" s="22"/>
      <c r="AK347" s="22"/>
      <c r="AL347" s="22"/>
      <c r="AM347" s="22"/>
      <c r="AN347" s="22"/>
      <c r="AO347" s="22"/>
    </row>
    <row r="348" ht="14.2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55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  <c r="AF348" s="22"/>
      <c r="AG348" s="22"/>
      <c r="AH348" s="22"/>
      <c r="AI348" s="22"/>
      <c r="AJ348" s="22"/>
      <c r="AK348" s="22"/>
      <c r="AL348" s="22"/>
      <c r="AM348" s="22"/>
      <c r="AN348" s="22"/>
      <c r="AO348" s="22"/>
    </row>
    <row r="349" ht="14.2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55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  <c r="AF349" s="22"/>
      <c r="AG349" s="22"/>
      <c r="AH349" s="22"/>
      <c r="AI349" s="22"/>
      <c r="AJ349" s="22"/>
      <c r="AK349" s="22"/>
      <c r="AL349" s="22"/>
      <c r="AM349" s="22"/>
      <c r="AN349" s="22"/>
      <c r="AO349" s="22"/>
    </row>
    <row r="350" ht="14.2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55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  <c r="AF350" s="22"/>
      <c r="AG350" s="22"/>
      <c r="AH350" s="22"/>
      <c r="AI350" s="22"/>
      <c r="AJ350" s="22"/>
      <c r="AK350" s="22"/>
      <c r="AL350" s="22"/>
      <c r="AM350" s="22"/>
      <c r="AN350" s="22"/>
      <c r="AO350" s="22"/>
    </row>
    <row r="351" ht="14.2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55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  <c r="AF351" s="22"/>
      <c r="AG351" s="22"/>
      <c r="AH351" s="22"/>
      <c r="AI351" s="22"/>
      <c r="AJ351" s="22"/>
      <c r="AK351" s="22"/>
      <c r="AL351" s="22"/>
      <c r="AM351" s="22"/>
      <c r="AN351" s="22"/>
      <c r="AO351" s="22"/>
    </row>
    <row r="352" ht="14.2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55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  <c r="AF352" s="22"/>
      <c r="AG352" s="22"/>
      <c r="AH352" s="22"/>
      <c r="AI352" s="22"/>
      <c r="AJ352" s="22"/>
      <c r="AK352" s="22"/>
      <c r="AL352" s="22"/>
      <c r="AM352" s="22"/>
      <c r="AN352" s="22"/>
      <c r="AO352" s="22"/>
    </row>
    <row r="353" ht="14.2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55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  <c r="AF353" s="22"/>
      <c r="AG353" s="22"/>
      <c r="AH353" s="22"/>
      <c r="AI353" s="22"/>
      <c r="AJ353" s="22"/>
      <c r="AK353" s="22"/>
      <c r="AL353" s="22"/>
      <c r="AM353" s="22"/>
      <c r="AN353" s="22"/>
      <c r="AO353" s="22"/>
    </row>
    <row r="354" ht="14.2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55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  <c r="AF354" s="22"/>
      <c r="AG354" s="22"/>
      <c r="AH354" s="22"/>
      <c r="AI354" s="22"/>
      <c r="AJ354" s="22"/>
      <c r="AK354" s="22"/>
      <c r="AL354" s="22"/>
      <c r="AM354" s="22"/>
      <c r="AN354" s="22"/>
      <c r="AO354" s="22"/>
    </row>
    <row r="355" ht="14.2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55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  <c r="AF355" s="22"/>
      <c r="AG355" s="22"/>
      <c r="AH355" s="22"/>
      <c r="AI355" s="22"/>
      <c r="AJ355" s="22"/>
      <c r="AK355" s="22"/>
      <c r="AL355" s="22"/>
      <c r="AM355" s="22"/>
      <c r="AN355" s="22"/>
      <c r="AO355" s="22"/>
    </row>
    <row r="356" ht="14.2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55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  <c r="AF356" s="22"/>
      <c r="AG356" s="22"/>
      <c r="AH356" s="22"/>
      <c r="AI356" s="22"/>
      <c r="AJ356" s="22"/>
      <c r="AK356" s="22"/>
      <c r="AL356" s="22"/>
      <c r="AM356" s="22"/>
      <c r="AN356" s="22"/>
      <c r="AO356" s="22"/>
    </row>
    <row r="357" ht="14.2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55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  <c r="AF357" s="22"/>
      <c r="AG357" s="22"/>
      <c r="AH357" s="22"/>
      <c r="AI357" s="22"/>
      <c r="AJ357" s="22"/>
      <c r="AK357" s="22"/>
      <c r="AL357" s="22"/>
      <c r="AM357" s="22"/>
      <c r="AN357" s="22"/>
      <c r="AO357" s="22"/>
    </row>
    <row r="358" ht="14.2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55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  <c r="AF358" s="22"/>
      <c r="AG358" s="22"/>
      <c r="AH358" s="22"/>
      <c r="AI358" s="22"/>
      <c r="AJ358" s="22"/>
      <c r="AK358" s="22"/>
      <c r="AL358" s="22"/>
      <c r="AM358" s="22"/>
      <c r="AN358" s="22"/>
      <c r="AO358" s="22"/>
    </row>
    <row r="359" ht="14.2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55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  <c r="AF359" s="22"/>
      <c r="AG359" s="22"/>
      <c r="AH359" s="22"/>
      <c r="AI359" s="22"/>
      <c r="AJ359" s="22"/>
      <c r="AK359" s="22"/>
      <c r="AL359" s="22"/>
      <c r="AM359" s="22"/>
      <c r="AN359" s="22"/>
      <c r="AO359" s="22"/>
    </row>
    <row r="360" ht="14.2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55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  <c r="AF360" s="22"/>
      <c r="AG360" s="22"/>
      <c r="AH360" s="22"/>
      <c r="AI360" s="22"/>
      <c r="AJ360" s="22"/>
      <c r="AK360" s="22"/>
      <c r="AL360" s="22"/>
      <c r="AM360" s="22"/>
      <c r="AN360" s="22"/>
      <c r="AO360" s="22"/>
    </row>
    <row r="361" ht="14.2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55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  <c r="AF361" s="22"/>
      <c r="AG361" s="22"/>
      <c r="AH361" s="22"/>
      <c r="AI361" s="22"/>
      <c r="AJ361" s="22"/>
      <c r="AK361" s="22"/>
      <c r="AL361" s="22"/>
      <c r="AM361" s="22"/>
      <c r="AN361" s="22"/>
      <c r="AO361" s="22"/>
    </row>
    <row r="362" ht="14.2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55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  <c r="AF362" s="22"/>
      <c r="AG362" s="22"/>
      <c r="AH362" s="22"/>
      <c r="AI362" s="22"/>
      <c r="AJ362" s="22"/>
      <c r="AK362" s="22"/>
      <c r="AL362" s="22"/>
      <c r="AM362" s="22"/>
      <c r="AN362" s="22"/>
      <c r="AO362" s="22"/>
    </row>
    <row r="363" ht="14.2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55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  <c r="AF363" s="22"/>
      <c r="AG363" s="22"/>
      <c r="AH363" s="22"/>
      <c r="AI363" s="22"/>
      <c r="AJ363" s="22"/>
      <c r="AK363" s="22"/>
      <c r="AL363" s="22"/>
      <c r="AM363" s="22"/>
      <c r="AN363" s="22"/>
      <c r="AO363" s="22"/>
    </row>
    <row r="364" ht="14.2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55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  <c r="AF364" s="22"/>
      <c r="AG364" s="22"/>
      <c r="AH364" s="22"/>
      <c r="AI364" s="22"/>
      <c r="AJ364" s="22"/>
      <c r="AK364" s="22"/>
      <c r="AL364" s="22"/>
      <c r="AM364" s="22"/>
      <c r="AN364" s="22"/>
      <c r="AO364" s="22"/>
    </row>
    <row r="365" ht="14.2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55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  <c r="AF365" s="22"/>
      <c r="AG365" s="22"/>
      <c r="AH365" s="22"/>
      <c r="AI365" s="22"/>
      <c r="AJ365" s="22"/>
      <c r="AK365" s="22"/>
      <c r="AL365" s="22"/>
      <c r="AM365" s="22"/>
      <c r="AN365" s="22"/>
      <c r="AO365" s="22"/>
    </row>
    <row r="366" ht="14.2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55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  <c r="AF366" s="22"/>
      <c r="AG366" s="22"/>
      <c r="AH366" s="22"/>
      <c r="AI366" s="22"/>
      <c r="AJ366" s="22"/>
      <c r="AK366" s="22"/>
      <c r="AL366" s="22"/>
      <c r="AM366" s="22"/>
      <c r="AN366" s="22"/>
      <c r="AO366" s="22"/>
    </row>
    <row r="367" ht="14.2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55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  <c r="AF367" s="22"/>
      <c r="AG367" s="22"/>
      <c r="AH367" s="22"/>
      <c r="AI367" s="22"/>
      <c r="AJ367" s="22"/>
      <c r="AK367" s="22"/>
      <c r="AL367" s="22"/>
      <c r="AM367" s="22"/>
      <c r="AN367" s="22"/>
      <c r="AO367" s="22"/>
    </row>
    <row r="368" ht="14.2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55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  <c r="AF368" s="22"/>
      <c r="AG368" s="22"/>
      <c r="AH368" s="22"/>
      <c r="AI368" s="22"/>
      <c r="AJ368" s="22"/>
      <c r="AK368" s="22"/>
      <c r="AL368" s="22"/>
      <c r="AM368" s="22"/>
      <c r="AN368" s="22"/>
      <c r="AO368" s="22"/>
    </row>
    <row r="369" ht="14.2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55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  <c r="AF369" s="22"/>
      <c r="AG369" s="22"/>
      <c r="AH369" s="22"/>
      <c r="AI369" s="22"/>
      <c r="AJ369" s="22"/>
      <c r="AK369" s="22"/>
      <c r="AL369" s="22"/>
      <c r="AM369" s="22"/>
      <c r="AN369" s="22"/>
      <c r="AO369" s="22"/>
    </row>
    <row r="370" ht="14.2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55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  <c r="AF370" s="22"/>
      <c r="AG370" s="22"/>
      <c r="AH370" s="22"/>
      <c r="AI370" s="22"/>
      <c r="AJ370" s="22"/>
      <c r="AK370" s="22"/>
      <c r="AL370" s="22"/>
      <c r="AM370" s="22"/>
      <c r="AN370" s="22"/>
      <c r="AO370" s="22"/>
    </row>
    <row r="371" ht="14.2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55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  <c r="AF371" s="22"/>
      <c r="AG371" s="22"/>
      <c r="AH371" s="22"/>
      <c r="AI371" s="22"/>
      <c r="AJ371" s="22"/>
      <c r="AK371" s="22"/>
      <c r="AL371" s="22"/>
      <c r="AM371" s="22"/>
      <c r="AN371" s="22"/>
      <c r="AO371" s="22"/>
    </row>
    <row r="372" ht="14.2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55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  <c r="AF372" s="22"/>
      <c r="AG372" s="22"/>
      <c r="AH372" s="22"/>
      <c r="AI372" s="22"/>
      <c r="AJ372" s="22"/>
      <c r="AK372" s="22"/>
      <c r="AL372" s="22"/>
      <c r="AM372" s="22"/>
      <c r="AN372" s="22"/>
      <c r="AO372" s="22"/>
    </row>
    <row r="373" ht="14.2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55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  <c r="AF373" s="22"/>
      <c r="AG373" s="22"/>
      <c r="AH373" s="22"/>
      <c r="AI373" s="22"/>
      <c r="AJ373" s="22"/>
      <c r="AK373" s="22"/>
      <c r="AL373" s="22"/>
      <c r="AM373" s="22"/>
      <c r="AN373" s="22"/>
      <c r="AO373" s="22"/>
    </row>
    <row r="374" ht="14.2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55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  <c r="AF374" s="22"/>
      <c r="AG374" s="22"/>
      <c r="AH374" s="22"/>
      <c r="AI374" s="22"/>
      <c r="AJ374" s="22"/>
      <c r="AK374" s="22"/>
      <c r="AL374" s="22"/>
      <c r="AM374" s="22"/>
      <c r="AN374" s="22"/>
      <c r="AO374" s="22"/>
    </row>
    <row r="375" ht="14.2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55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  <c r="AF375" s="22"/>
      <c r="AG375" s="22"/>
      <c r="AH375" s="22"/>
      <c r="AI375" s="22"/>
      <c r="AJ375" s="22"/>
      <c r="AK375" s="22"/>
      <c r="AL375" s="22"/>
      <c r="AM375" s="22"/>
      <c r="AN375" s="22"/>
      <c r="AO375" s="22"/>
    </row>
    <row r="376" ht="14.2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55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  <c r="AF376" s="22"/>
      <c r="AG376" s="22"/>
      <c r="AH376" s="22"/>
      <c r="AI376" s="22"/>
      <c r="AJ376" s="22"/>
      <c r="AK376" s="22"/>
      <c r="AL376" s="22"/>
      <c r="AM376" s="22"/>
      <c r="AN376" s="22"/>
      <c r="AO376" s="22"/>
    </row>
    <row r="377" ht="14.2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55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  <c r="AF377" s="22"/>
      <c r="AG377" s="22"/>
      <c r="AH377" s="22"/>
      <c r="AI377" s="22"/>
      <c r="AJ377" s="22"/>
      <c r="AK377" s="22"/>
      <c r="AL377" s="22"/>
      <c r="AM377" s="22"/>
      <c r="AN377" s="22"/>
      <c r="AO377" s="22"/>
    </row>
    <row r="378" ht="14.2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55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  <c r="AF378" s="22"/>
      <c r="AG378" s="22"/>
      <c r="AH378" s="22"/>
      <c r="AI378" s="22"/>
      <c r="AJ378" s="22"/>
      <c r="AK378" s="22"/>
      <c r="AL378" s="22"/>
      <c r="AM378" s="22"/>
      <c r="AN378" s="22"/>
      <c r="AO378" s="22"/>
    </row>
    <row r="379" ht="14.2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55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  <c r="AF379" s="22"/>
      <c r="AG379" s="22"/>
      <c r="AH379" s="22"/>
      <c r="AI379" s="22"/>
      <c r="AJ379" s="22"/>
      <c r="AK379" s="22"/>
      <c r="AL379" s="22"/>
      <c r="AM379" s="22"/>
      <c r="AN379" s="22"/>
      <c r="AO379" s="22"/>
    </row>
    <row r="380" ht="14.2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55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  <c r="AF380" s="22"/>
      <c r="AG380" s="22"/>
      <c r="AH380" s="22"/>
      <c r="AI380" s="22"/>
      <c r="AJ380" s="22"/>
      <c r="AK380" s="22"/>
      <c r="AL380" s="22"/>
      <c r="AM380" s="22"/>
      <c r="AN380" s="22"/>
      <c r="AO380" s="22"/>
    </row>
    <row r="381" ht="14.2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55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  <c r="AF381" s="22"/>
      <c r="AG381" s="22"/>
      <c r="AH381" s="22"/>
      <c r="AI381" s="22"/>
      <c r="AJ381" s="22"/>
      <c r="AK381" s="22"/>
      <c r="AL381" s="22"/>
      <c r="AM381" s="22"/>
      <c r="AN381" s="22"/>
      <c r="AO381" s="22"/>
    </row>
    <row r="382" ht="14.2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55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  <c r="AF382" s="22"/>
      <c r="AG382" s="22"/>
      <c r="AH382" s="22"/>
      <c r="AI382" s="22"/>
      <c r="AJ382" s="22"/>
      <c r="AK382" s="22"/>
      <c r="AL382" s="22"/>
      <c r="AM382" s="22"/>
      <c r="AN382" s="22"/>
      <c r="AO382" s="22"/>
    </row>
    <row r="383" ht="14.2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55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  <c r="AF383" s="22"/>
      <c r="AG383" s="22"/>
      <c r="AH383" s="22"/>
      <c r="AI383" s="22"/>
      <c r="AJ383" s="22"/>
      <c r="AK383" s="22"/>
      <c r="AL383" s="22"/>
      <c r="AM383" s="22"/>
      <c r="AN383" s="22"/>
      <c r="AO383" s="22"/>
    </row>
    <row r="384" ht="14.2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55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  <c r="AF384" s="22"/>
      <c r="AG384" s="22"/>
      <c r="AH384" s="22"/>
      <c r="AI384" s="22"/>
      <c r="AJ384" s="22"/>
      <c r="AK384" s="22"/>
      <c r="AL384" s="22"/>
      <c r="AM384" s="22"/>
      <c r="AN384" s="22"/>
      <c r="AO384" s="22"/>
    </row>
    <row r="385" ht="14.2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55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  <c r="AF385" s="22"/>
      <c r="AG385" s="22"/>
      <c r="AH385" s="22"/>
      <c r="AI385" s="22"/>
      <c r="AJ385" s="22"/>
      <c r="AK385" s="22"/>
      <c r="AL385" s="22"/>
      <c r="AM385" s="22"/>
      <c r="AN385" s="22"/>
      <c r="AO385" s="22"/>
    </row>
    <row r="386" ht="14.2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55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  <c r="AF386" s="22"/>
      <c r="AG386" s="22"/>
      <c r="AH386" s="22"/>
      <c r="AI386" s="22"/>
      <c r="AJ386" s="22"/>
      <c r="AK386" s="22"/>
      <c r="AL386" s="22"/>
      <c r="AM386" s="22"/>
      <c r="AN386" s="22"/>
      <c r="AO386" s="22"/>
    </row>
    <row r="387" ht="14.2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55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  <c r="AF387" s="22"/>
      <c r="AG387" s="22"/>
      <c r="AH387" s="22"/>
      <c r="AI387" s="22"/>
      <c r="AJ387" s="22"/>
      <c r="AK387" s="22"/>
      <c r="AL387" s="22"/>
      <c r="AM387" s="22"/>
      <c r="AN387" s="22"/>
      <c r="AO387" s="22"/>
    </row>
    <row r="388" ht="14.2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55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  <c r="AF388" s="22"/>
      <c r="AG388" s="22"/>
      <c r="AH388" s="22"/>
      <c r="AI388" s="22"/>
      <c r="AJ388" s="22"/>
      <c r="AK388" s="22"/>
      <c r="AL388" s="22"/>
      <c r="AM388" s="22"/>
      <c r="AN388" s="22"/>
      <c r="AO388" s="22"/>
    </row>
    <row r="389" ht="14.2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55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  <c r="AF389" s="22"/>
      <c r="AG389" s="22"/>
      <c r="AH389" s="22"/>
      <c r="AI389" s="22"/>
      <c r="AJ389" s="22"/>
      <c r="AK389" s="22"/>
      <c r="AL389" s="22"/>
      <c r="AM389" s="22"/>
      <c r="AN389" s="22"/>
      <c r="AO389" s="22"/>
    </row>
    <row r="390" ht="14.2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55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  <c r="AF390" s="22"/>
      <c r="AG390" s="22"/>
      <c r="AH390" s="22"/>
      <c r="AI390" s="22"/>
      <c r="AJ390" s="22"/>
      <c r="AK390" s="22"/>
      <c r="AL390" s="22"/>
      <c r="AM390" s="22"/>
      <c r="AN390" s="22"/>
      <c r="AO390" s="22"/>
    </row>
    <row r="391" ht="14.2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55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  <c r="AF391" s="22"/>
      <c r="AG391" s="22"/>
      <c r="AH391" s="22"/>
      <c r="AI391" s="22"/>
      <c r="AJ391" s="22"/>
      <c r="AK391" s="22"/>
      <c r="AL391" s="22"/>
      <c r="AM391" s="22"/>
      <c r="AN391" s="22"/>
      <c r="AO391" s="22"/>
    </row>
    <row r="392" ht="14.2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55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  <c r="AF392" s="22"/>
      <c r="AG392" s="22"/>
      <c r="AH392" s="22"/>
      <c r="AI392" s="22"/>
      <c r="AJ392" s="22"/>
      <c r="AK392" s="22"/>
      <c r="AL392" s="22"/>
      <c r="AM392" s="22"/>
      <c r="AN392" s="22"/>
      <c r="AO392" s="22"/>
    </row>
    <row r="393" ht="14.2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55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  <c r="AF393" s="22"/>
      <c r="AG393" s="22"/>
      <c r="AH393" s="22"/>
      <c r="AI393" s="22"/>
      <c r="AJ393" s="22"/>
      <c r="AK393" s="22"/>
      <c r="AL393" s="22"/>
      <c r="AM393" s="22"/>
      <c r="AN393" s="22"/>
      <c r="AO393" s="22"/>
    </row>
    <row r="394" ht="14.2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55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  <c r="AF394" s="22"/>
      <c r="AG394" s="22"/>
      <c r="AH394" s="22"/>
      <c r="AI394" s="22"/>
      <c r="AJ394" s="22"/>
      <c r="AK394" s="22"/>
      <c r="AL394" s="22"/>
      <c r="AM394" s="22"/>
      <c r="AN394" s="22"/>
      <c r="AO394" s="22"/>
    </row>
    <row r="395" ht="14.2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55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  <c r="AF395" s="22"/>
      <c r="AG395" s="22"/>
      <c r="AH395" s="22"/>
      <c r="AI395" s="22"/>
      <c r="AJ395" s="22"/>
      <c r="AK395" s="22"/>
      <c r="AL395" s="22"/>
      <c r="AM395" s="22"/>
      <c r="AN395" s="22"/>
      <c r="AO395" s="22"/>
    </row>
    <row r="396" ht="14.2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55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  <c r="AF396" s="22"/>
      <c r="AG396" s="22"/>
      <c r="AH396" s="22"/>
      <c r="AI396" s="22"/>
      <c r="AJ396" s="22"/>
      <c r="AK396" s="22"/>
      <c r="AL396" s="22"/>
      <c r="AM396" s="22"/>
      <c r="AN396" s="22"/>
      <c r="AO396" s="22"/>
    </row>
    <row r="397" ht="14.2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55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  <c r="AF397" s="22"/>
      <c r="AG397" s="22"/>
      <c r="AH397" s="22"/>
      <c r="AI397" s="22"/>
      <c r="AJ397" s="22"/>
      <c r="AK397" s="22"/>
      <c r="AL397" s="22"/>
      <c r="AM397" s="22"/>
      <c r="AN397" s="22"/>
      <c r="AO397" s="22"/>
    </row>
    <row r="398" ht="14.2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55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  <c r="AF398" s="22"/>
      <c r="AG398" s="22"/>
      <c r="AH398" s="22"/>
      <c r="AI398" s="22"/>
      <c r="AJ398" s="22"/>
      <c r="AK398" s="22"/>
      <c r="AL398" s="22"/>
      <c r="AM398" s="22"/>
      <c r="AN398" s="22"/>
      <c r="AO398" s="22"/>
    </row>
    <row r="399" ht="14.2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55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  <c r="AF399" s="22"/>
      <c r="AG399" s="22"/>
      <c r="AH399" s="22"/>
      <c r="AI399" s="22"/>
      <c r="AJ399" s="22"/>
      <c r="AK399" s="22"/>
      <c r="AL399" s="22"/>
      <c r="AM399" s="22"/>
      <c r="AN399" s="22"/>
      <c r="AO399" s="22"/>
    </row>
    <row r="400" ht="14.2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55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  <c r="AF400" s="22"/>
      <c r="AG400" s="22"/>
      <c r="AH400" s="22"/>
      <c r="AI400" s="22"/>
      <c r="AJ400" s="22"/>
      <c r="AK400" s="22"/>
      <c r="AL400" s="22"/>
      <c r="AM400" s="22"/>
      <c r="AN400" s="22"/>
      <c r="AO400" s="22"/>
    </row>
    <row r="401" ht="14.2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55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  <c r="AF401" s="22"/>
      <c r="AG401" s="22"/>
      <c r="AH401" s="22"/>
      <c r="AI401" s="22"/>
      <c r="AJ401" s="22"/>
      <c r="AK401" s="22"/>
      <c r="AL401" s="22"/>
      <c r="AM401" s="22"/>
      <c r="AN401" s="22"/>
      <c r="AO401" s="22"/>
    </row>
    <row r="402" ht="14.2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55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  <c r="AF402" s="22"/>
      <c r="AG402" s="22"/>
      <c r="AH402" s="22"/>
      <c r="AI402" s="22"/>
      <c r="AJ402" s="22"/>
      <c r="AK402" s="22"/>
      <c r="AL402" s="22"/>
      <c r="AM402" s="22"/>
      <c r="AN402" s="22"/>
      <c r="AO402" s="22"/>
    </row>
    <row r="403" ht="14.2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55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  <c r="AF403" s="22"/>
      <c r="AG403" s="22"/>
      <c r="AH403" s="22"/>
      <c r="AI403" s="22"/>
      <c r="AJ403" s="22"/>
      <c r="AK403" s="22"/>
      <c r="AL403" s="22"/>
      <c r="AM403" s="22"/>
      <c r="AN403" s="22"/>
      <c r="AO403" s="22"/>
    </row>
    <row r="404" ht="14.2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55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  <c r="AF404" s="22"/>
      <c r="AG404" s="22"/>
      <c r="AH404" s="22"/>
      <c r="AI404" s="22"/>
      <c r="AJ404" s="22"/>
      <c r="AK404" s="22"/>
      <c r="AL404" s="22"/>
      <c r="AM404" s="22"/>
      <c r="AN404" s="22"/>
      <c r="AO404" s="22"/>
    </row>
    <row r="405" ht="14.2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55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  <c r="AF405" s="22"/>
      <c r="AG405" s="22"/>
      <c r="AH405" s="22"/>
      <c r="AI405" s="22"/>
      <c r="AJ405" s="22"/>
      <c r="AK405" s="22"/>
      <c r="AL405" s="22"/>
      <c r="AM405" s="22"/>
      <c r="AN405" s="22"/>
      <c r="AO405" s="22"/>
    </row>
    <row r="406" ht="14.2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55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  <c r="AF406" s="22"/>
      <c r="AG406" s="22"/>
      <c r="AH406" s="22"/>
      <c r="AI406" s="22"/>
      <c r="AJ406" s="22"/>
      <c r="AK406" s="22"/>
      <c r="AL406" s="22"/>
      <c r="AM406" s="22"/>
      <c r="AN406" s="22"/>
      <c r="AO406" s="22"/>
    </row>
    <row r="407" ht="14.2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55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  <c r="AF407" s="22"/>
      <c r="AG407" s="22"/>
      <c r="AH407" s="22"/>
      <c r="AI407" s="22"/>
      <c r="AJ407" s="22"/>
      <c r="AK407" s="22"/>
      <c r="AL407" s="22"/>
      <c r="AM407" s="22"/>
      <c r="AN407" s="22"/>
      <c r="AO407" s="22"/>
    </row>
    <row r="408" ht="14.2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55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  <c r="AF408" s="22"/>
      <c r="AG408" s="22"/>
      <c r="AH408" s="22"/>
      <c r="AI408" s="22"/>
      <c r="AJ408" s="22"/>
      <c r="AK408" s="22"/>
      <c r="AL408" s="22"/>
      <c r="AM408" s="22"/>
      <c r="AN408" s="22"/>
      <c r="AO408" s="22"/>
    </row>
    <row r="409" ht="14.2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55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  <c r="AF409" s="22"/>
      <c r="AG409" s="22"/>
      <c r="AH409" s="22"/>
      <c r="AI409" s="22"/>
      <c r="AJ409" s="22"/>
      <c r="AK409" s="22"/>
      <c r="AL409" s="22"/>
      <c r="AM409" s="22"/>
      <c r="AN409" s="22"/>
      <c r="AO409" s="22"/>
    </row>
    <row r="410" ht="14.2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55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  <c r="AF410" s="22"/>
      <c r="AG410" s="22"/>
      <c r="AH410" s="22"/>
      <c r="AI410" s="22"/>
      <c r="AJ410" s="22"/>
      <c r="AK410" s="22"/>
      <c r="AL410" s="22"/>
      <c r="AM410" s="22"/>
      <c r="AN410" s="22"/>
      <c r="AO410" s="22"/>
    </row>
    <row r="411" ht="14.2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55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  <c r="AF411" s="22"/>
      <c r="AG411" s="22"/>
      <c r="AH411" s="22"/>
      <c r="AI411" s="22"/>
      <c r="AJ411" s="22"/>
      <c r="AK411" s="22"/>
      <c r="AL411" s="22"/>
      <c r="AM411" s="22"/>
      <c r="AN411" s="22"/>
      <c r="AO411" s="22"/>
    </row>
    <row r="412" ht="14.2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55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  <c r="AF412" s="22"/>
      <c r="AG412" s="22"/>
      <c r="AH412" s="22"/>
      <c r="AI412" s="22"/>
      <c r="AJ412" s="22"/>
      <c r="AK412" s="22"/>
      <c r="AL412" s="22"/>
      <c r="AM412" s="22"/>
      <c r="AN412" s="22"/>
      <c r="AO412" s="22"/>
    </row>
    <row r="413" ht="14.2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55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  <c r="AF413" s="22"/>
      <c r="AG413" s="22"/>
      <c r="AH413" s="22"/>
      <c r="AI413" s="22"/>
      <c r="AJ413" s="22"/>
      <c r="AK413" s="22"/>
      <c r="AL413" s="22"/>
      <c r="AM413" s="22"/>
      <c r="AN413" s="22"/>
      <c r="AO413" s="22"/>
    </row>
    <row r="414" ht="14.2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55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  <c r="AF414" s="22"/>
      <c r="AG414" s="22"/>
      <c r="AH414" s="22"/>
      <c r="AI414" s="22"/>
      <c r="AJ414" s="22"/>
      <c r="AK414" s="22"/>
      <c r="AL414" s="22"/>
      <c r="AM414" s="22"/>
      <c r="AN414" s="22"/>
      <c r="AO414" s="22"/>
    </row>
    <row r="415" ht="14.2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55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  <c r="AF415" s="22"/>
      <c r="AG415" s="22"/>
      <c r="AH415" s="22"/>
      <c r="AI415" s="22"/>
      <c r="AJ415" s="22"/>
      <c r="AK415" s="22"/>
      <c r="AL415" s="22"/>
      <c r="AM415" s="22"/>
      <c r="AN415" s="22"/>
      <c r="AO415" s="22"/>
    </row>
    <row r="416" ht="14.2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55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  <c r="AF416" s="22"/>
      <c r="AG416" s="22"/>
      <c r="AH416" s="22"/>
      <c r="AI416" s="22"/>
      <c r="AJ416" s="22"/>
      <c r="AK416" s="22"/>
      <c r="AL416" s="22"/>
      <c r="AM416" s="22"/>
      <c r="AN416" s="22"/>
      <c r="AO416" s="22"/>
    </row>
    <row r="417" ht="14.2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55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  <c r="AF417" s="22"/>
      <c r="AG417" s="22"/>
      <c r="AH417" s="22"/>
      <c r="AI417" s="22"/>
      <c r="AJ417" s="22"/>
      <c r="AK417" s="22"/>
      <c r="AL417" s="22"/>
      <c r="AM417" s="22"/>
      <c r="AN417" s="22"/>
      <c r="AO417" s="22"/>
    </row>
    <row r="418" ht="14.2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55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  <c r="AE418" s="22"/>
      <c r="AF418" s="22"/>
      <c r="AG418" s="22"/>
      <c r="AH418" s="22"/>
      <c r="AI418" s="22"/>
      <c r="AJ418" s="22"/>
      <c r="AK418" s="22"/>
      <c r="AL418" s="22"/>
      <c r="AM418" s="22"/>
      <c r="AN418" s="22"/>
      <c r="AO418" s="22"/>
    </row>
    <row r="419" ht="14.2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55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  <c r="AF419" s="22"/>
      <c r="AG419" s="22"/>
      <c r="AH419" s="22"/>
      <c r="AI419" s="22"/>
      <c r="AJ419" s="22"/>
      <c r="AK419" s="22"/>
      <c r="AL419" s="22"/>
      <c r="AM419" s="22"/>
      <c r="AN419" s="22"/>
      <c r="AO419" s="22"/>
    </row>
    <row r="420" ht="14.2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55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  <c r="AF420" s="22"/>
      <c r="AG420" s="22"/>
      <c r="AH420" s="22"/>
      <c r="AI420" s="22"/>
      <c r="AJ420" s="22"/>
      <c r="AK420" s="22"/>
      <c r="AL420" s="22"/>
      <c r="AM420" s="22"/>
      <c r="AN420" s="22"/>
      <c r="AO420" s="22"/>
    </row>
    <row r="421" ht="14.2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55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  <c r="AF421" s="22"/>
      <c r="AG421" s="22"/>
      <c r="AH421" s="22"/>
      <c r="AI421" s="22"/>
      <c r="AJ421" s="22"/>
      <c r="AK421" s="22"/>
      <c r="AL421" s="22"/>
      <c r="AM421" s="22"/>
      <c r="AN421" s="22"/>
      <c r="AO421" s="22"/>
    </row>
    <row r="422" ht="14.2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55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  <c r="AE422" s="22"/>
      <c r="AF422" s="22"/>
      <c r="AG422" s="22"/>
      <c r="AH422" s="22"/>
      <c r="AI422" s="22"/>
      <c r="AJ422" s="22"/>
      <c r="AK422" s="22"/>
      <c r="AL422" s="22"/>
      <c r="AM422" s="22"/>
      <c r="AN422" s="22"/>
      <c r="AO422" s="22"/>
    </row>
    <row r="423" ht="14.2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55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  <c r="AF423" s="22"/>
      <c r="AG423" s="22"/>
      <c r="AH423" s="22"/>
      <c r="AI423" s="22"/>
      <c r="AJ423" s="22"/>
      <c r="AK423" s="22"/>
      <c r="AL423" s="22"/>
      <c r="AM423" s="22"/>
      <c r="AN423" s="22"/>
      <c r="AO423" s="22"/>
    </row>
    <row r="424" ht="14.2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55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  <c r="AE424" s="22"/>
      <c r="AF424" s="22"/>
      <c r="AG424" s="22"/>
      <c r="AH424" s="22"/>
      <c r="AI424" s="22"/>
      <c r="AJ424" s="22"/>
      <c r="AK424" s="22"/>
      <c r="AL424" s="22"/>
      <c r="AM424" s="22"/>
      <c r="AN424" s="22"/>
      <c r="AO424" s="22"/>
    </row>
    <row r="425" ht="14.2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55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  <c r="AF425" s="22"/>
      <c r="AG425" s="22"/>
      <c r="AH425" s="22"/>
      <c r="AI425" s="22"/>
      <c r="AJ425" s="22"/>
      <c r="AK425" s="22"/>
      <c r="AL425" s="22"/>
      <c r="AM425" s="22"/>
      <c r="AN425" s="22"/>
      <c r="AO425" s="22"/>
    </row>
    <row r="426" ht="14.2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55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22"/>
      <c r="AF426" s="22"/>
      <c r="AG426" s="22"/>
      <c r="AH426" s="22"/>
      <c r="AI426" s="22"/>
      <c r="AJ426" s="22"/>
      <c r="AK426" s="22"/>
      <c r="AL426" s="22"/>
      <c r="AM426" s="22"/>
      <c r="AN426" s="22"/>
      <c r="AO426" s="22"/>
    </row>
    <row r="427" ht="14.2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55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  <c r="AF427" s="22"/>
      <c r="AG427" s="22"/>
      <c r="AH427" s="22"/>
      <c r="AI427" s="22"/>
      <c r="AJ427" s="22"/>
      <c r="AK427" s="22"/>
      <c r="AL427" s="22"/>
      <c r="AM427" s="22"/>
      <c r="AN427" s="22"/>
      <c r="AO427" s="22"/>
    </row>
    <row r="428" ht="14.2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55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  <c r="AF428" s="22"/>
      <c r="AG428" s="22"/>
      <c r="AH428" s="22"/>
      <c r="AI428" s="22"/>
      <c r="AJ428" s="22"/>
      <c r="AK428" s="22"/>
      <c r="AL428" s="22"/>
      <c r="AM428" s="22"/>
      <c r="AN428" s="22"/>
      <c r="AO428" s="22"/>
    </row>
    <row r="429" ht="14.2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55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22"/>
      <c r="AF429" s="22"/>
      <c r="AG429" s="22"/>
      <c r="AH429" s="22"/>
      <c r="AI429" s="22"/>
      <c r="AJ429" s="22"/>
      <c r="AK429" s="22"/>
      <c r="AL429" s="22"/>
      <c r="AM429" s="22"/>
      <c r="AN429" s="22"/>
      <c r="AO429" s="22"/>
    </row>
    <row r="430" ht="14.2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55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  <c r="AE430" s="22"/>
      <c r="AF430" s="22"/>
      <c r="AG430" s="22"/>
      <c r="AH430" s="22"/>
      <c r="AI430" s="22"/>
      <c r="AJ430" s="22"/>
      <c r="AK430" s="22"/>
      <c r="AL430" s="22"/>
      <c r="AM430" s="22"/>
      <c r="AN430" s="22"/>
      <c r="AO430" s="22"/>
    </row>
    <row r="431" ht="14.2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55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  <c r="AF431" s="22"/>
      <c r="AG431" s="22"/>
      <c r="AH431" s="22"/>
      <c r="AI431" s="22"/>
      <c r="AJ431" s="22"/>
      <c r="AK431" s="22"/>
      <c r="AL431" s="22"/>
      <c r="AM431" s="22"/>
      <c r="AN431" s="22"/>
      <c r="AO431" s="22"/>
    </row>
    <row r="432" ht="14.2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55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  <c r="AF432" s="22"/>
      <c r="AG432" s="22"/>
      <c r="AH432" s="22"/>
      <c r="AI432" s="22"/>
      <c r="AJ432" s="22"/>
      <c r="AK432" s="22"/>
      <c r="AL432" s="22"/>
      <c r="AM432" s="22"/>
      <c r="AN432" s="22"/>
      <c r="AO432" s="22"/>
    </row>
    <row r="433" ht="14.2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55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  <c r="AE433" s="22"/>
      <c r="AF433" s="22"/>
      <c r="AG433" s="22"/>
      <c r="AH433" s="22"/>
      <c r="AI433" s="22"/>
      <c r="AJ433" s="22"/>
      <c r="AK433" s="22"/>
      <c r="AL433" s="22"/>
      <c r="AM433" s="22"/>
      <c r="AN433" s="22"/>
      <c r="AO433" s="22"/>
    </row>
    <row r="434" ht="14.2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55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  <c r="AF434" s="22"/>
      <c r="AG434" s="22"/>
      <c r="AH434" s="22"/>
      <c r="AI434" s="22"/>
      <c r="AJ434" s="22"/>
      <c r="AK434" s="22"/>
      <c r="AL434" s="22"/>
      <c r="AM434" s="22"/>
      <c r="AN434" s="22"/>
      <c r="AO434" s="22"/>
    </row>
    <row r="435" ht="14.2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55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  <c r="AF435" s="22"/>
      <c r="AG435" s="22"/>
      <c r="AH435" s="22"/>
      <c r="AI435" s="22"/>
      <c r="AJ435" s="22"/>
      <c r="AK435" s="22"/>
      <c r="AL435" s="22"/>
      <c r="AM435" s="22"/>
      <c r="AN435" s="22"/>
      <c r="AO435" s="22"/>
    </row>
    <row r="436" ht="14.2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55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  <c r="AF436" s="22"/>
      <c r="AG436" s="22"/>
      <c r="AH436" s="22"/>
      <c r="AI436" s="22"/>
      <c r="AJ436" s="22"/>
      <c r="AK436" s="22"/>
      <c r="AL436" s="22"/>
      <c r="AM436" s="22"/>
      <c r="AN436" s="22"/>
      <c r="AO436" s="22"/>
    </row>
    <row r="437" ht="14.2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55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  <c r="AF437" s="22"/>
      <c r="AG437" s="22"/>
      <c r="AH437" s="22"/>
      <c r="AI437" s="22"/>
      <c r="AJ437" s="22"/>
      <c r="AK437" s="22"/>
      <c r="AL437" s="22"/>
      <c r="AM437" s="22"/>
      <c r="AN437" s="22"/>
      <c r="AO437" s="22"/>
    </row>
    <row r="438" ht="14.2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55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  <c r="AF438" s="22"/>
      <c r="AG438" s="22"/>
      <c r="AH438" s="22"/>
      <c r="AI438" s="22"/>
      <c r="AJ438" s="22"/>
      <c r="AK438" s="22"/>
      <c r="AL438" s="22"/>
      <c r="AM438" s="22"/>
      <c r="AN438" s="22"/>
      <c r="AO438" s="22"/>
    </row>
    <row r="439" ht="14.2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55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  <c r="AF439" s="22"/>
      <c r="AG439" s="22"/>
      <c r="AH439" s="22"/>
      <c r="AI439" s="22"/>
      <c r="AJ439" s="22"/>
      <c r="AK439" s="22"/>
      <c r="AL439" s="22"/>
      <c r="AM439" s="22"/>
      <c r="AN439" s="22"/>
      <c r="AO439" s="22"/>
    </row>
    <row r="440" ht="14.2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55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  <c r="AF440" s="22"/>
      <c r="AG440" s="22"/>
      <c r="AH440" s="22"/>
      <c r="AI440" s="22"/>
      <c r="AJ440" s="22"/>
      <c r="AK440" s="22"/>
      <c r="AL440" s="22"/>
      <c r="AM440" s="22"/>
      <c r="AN440" s="22"/>
      <c r="AO440" s="22"/>
    </row>
    <row r="441" ht="14.2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55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  <c r="AF441" s="22"/>
      <c r="AG441" s="22"/>
      <c r="AH441" s="22"/>
      <c r="AI441" s="22"/>
      <c r="AJ441" s="22"/>
      <c r="AK441" s="22"/>
      <c r="AL441" s="22"/>
      <c r="AM441" s="22"/>
      <c r="AN441" s="22"/>
      <c r="AO441" s="22"/>
    </row>
    <row r="442" ht="14.2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55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  <c r="AF442" s="22"/>
      <c r="AG442" s="22"/>
      <c r="AH442" s="22"/>
      <c r="AI442" s="22"/>
      <c r="AJ442" s="22"/>
      <c r="AK442" s="22"/>
      <c r="AL442" s="22"/>
      <c r="AM442" s="22"/>
      <c r="AN442" s="22"/>
      <c r="AO442" s="22"/>
    </row>
    <row r="443" ht="14.2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55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  <c r="AF443" s="22"/>
      <c r="AG443" s="22"/>
      <c r="AH443" s="22"/>
      <c r="AI443" s="22"/>
      <c r="AJ443" s="22"/>
      <c r="AK443" s="22"/>
      <c r="AL443" s="22"/>
      <c r="AM443" s="22"/>
      <c r="AN443" s="22"/>
      <c r="AO443" s="22"/>
    </row>
    <row r="444" ht="14.2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55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  <c r="AF444" s="22"/>
      <c r="AG444" s="22"/>
      <c r="AH444" s="22"/>
      <c r="AI444" s="22"/>
      <c r="AJ444" s="22"/>
      <c r="AK444" s="22"/>
      <c r="AL444" s="22"/>
      <c r="AM444" s="22"/>
      <c r="AN444" s="22"/>
      <c r="AO444" s="22"/>
    </row>
    <row r="445" ht="14.2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55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  <c r="AF445" s="22"/>
      <c r="AG445" s="22"/>
      <c r="AH445" s="22"/>
      <c r="AI445" s="22"/>
      <c r="AJ445" s="22"/>
      <c r="AK445" s="22"/>
      <c r="AL445" s="22"/>
      <c r="AM445" s="22"/>
      <c r="AN445" s="22"/>
      <c r="AO445" s="22"/>
    </row>
    <row r="446" ht="14.2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55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  <c r="AF446" s="22"/>
      <c r="AG446" s="22"/>
      <c r="AH446" s="22"/>
      <c r="AI446" s="22"/>
      <c r="AJ446" s="22"/>
      <c r="AK446" s="22"/>
      <c r="AL446" s="22"/>
      <c r="AM446" s="22"/>
      <c r="AN446" s="22"/>
      <c r="AO446" s="22"/>
    </row>
    <row r="447" ht="14.2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55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  <c r="AF447" s="22"/>
      <c r="AG447" s="22"/>
      <c r="AH447" s="22"/>
      <c r="AI447" s="22"/>
      <c r="AJ447" s="22"/>
      <c r="AK447" s="22"/>
      <c r="AL447" s="22"/>
      <c r="AM447" s="22"/>
      <c r="AN447" s="22"/>
      <c r="AO447" s="22"/>
    </row>
    <row r="448" ht="14.2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55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  <c r="AF448" s="22"/>
      <c r="AG448" s="22"/>
      <c r="AH448" s="22"/>
      <c r="AI448" s="22"/>
      <c r="AJ448" s="22"/>
      <c r="AK448" s="22"/>
      <c r="AL448" s="22"/>
      <c r="AM448" s="22"/>
      <c r="AN448" s="22"/>
      <c r="AO448" s="22"/>
    </row>
    <row r="449" ht="14.2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55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  <c r="AF449" s="22"/>
      <c r="AG449" s="22"/>
      <c r="AH449" s="22"/>
      <c r="AI449" s="22"/>
      <c r="AJ449" s="22"/>
      <c r="AK449" s="22"/>
      <c r="AL449" s="22"/>
      <c r="AM449" s="22"/>
      <c r="AN449" s="22"/>
      <c r="AO449" s="22"/>
    </row>
    <row r="450" ht="14.2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55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  <c r="AF450" s="22"/>
      <c r="AG450" s="22"/>
      <c r="AH450" s="22"/>
      <c r="AI450" s="22"/>
      <c r="AJ450" s="22"/>
      <c r="AK450" s="22"/>
      <c r="AL450" s="22"/>
      <c r="AM450" s="22"/>
      <c r="AN450" s="22"/>
      <c r="AO450" s="22"/>
    </row>
    <row r="451" ht="14.2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55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  <c r="AF451" s="22"/>
      <c r="AG451" s="22"/>
      <c r="AH451" s="22"/>
      <c r="AI451" s="22"/>
      <c r="AJ451" s="22"/>
      <c r="AK451" s="22"/>
      <c r="AL451" s="22"/>
      <c r="AM451" s="22"/>
      <c r="AN451" s="22"/>
      <c r="AO451" s="22"/>
    </row>
    <row r="452" ht="14.2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55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  <c r="AF452" s="22"/>
      <c r="AG452" s="22"/>
      <c r="AH452" s="22"/>
      <c r="AI452" s="22"/>
      <c r="AJ452" s="22"/>
      <c r="AK452" s="22"/>
      <c r="AL452" s="22"/>
      <c r="AM452" s="22"/>
      <c r="AN452" s="22"/>
      <c r="AO452" s="22"/>
    </row>
    <row r="453" ht="14.2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55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  <c r="AF453" s="22"/>
      <c r="AG453" s="22"/>
      <c r="AH453" s="22"/>
      <c r="AI453" s="22"/>
      <c r="AJ453" s="22"/>
      <c r="AK453" s="22"/>
      <c r="AL453" s="22"/>
      <c r="AM453" s="22"/>
      <c r="AN453" s="22"/>
      <c r="AO453" s="22"/>
    </row>
    <row r="454" ht="14.2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55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  <c r="AF454" s="22"/>
      <c r="AG454" s="22"/>
      <c r="AH454" s="22"/>
      <c r="AI454" s="22"/>
      <c r="AJ454" s="22"/>
      <c r="AK454" s="22"/>
      <c r="AL454" s="22"/>
      <c r="AM454" s="22"/>
      <c r="AN454" s="22"/>
      <c r="AO454" s="22"/>
    </row>
    <row r="455" ht="14.2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55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  <c r="AF455" s="22"/>
      <c r="AG455" s="22"/>
      <c r="AH455" s="22"/>
      <c r="AI455" s="22"/>
      <c r="AJ455" s="22"/>
      <c r="AK455" s="22"/>
      <c r="AL455" s="22"/>
      <c r="AM455" s="22"/>
      <c r="AN455" s="22"/>
      <c r="AO455" s="22"/>
    </row>
    <row r="456" ht="14.2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55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  <c r="AF456" s="22"/>
      <c r="AG456" s="22"/>
      <c r="AH456" s="22"/>
      <c r="AI456" s="22"/>
      <c r="AJ456" s="22"/>
      <c r="AK456" s="22"/>
      <c r="AL456" s="22"/>
      <c r="AM456" s="22"/>
      <c r="AN456" s="22"/>
      <c r="AO456" s="22"/>
    </row>
    <row r="457" ht="14.2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55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  <c r="AF457" s="22"/>
      <c r="AG457" s="22"/>
      <c r="AH457" s="22"/>
      <c r="AI457" s="22"/>
      <c r="AJ457" s="22"/>
      <c r="AK457" s="22"/>
      <c r="AL457" s="22"/>
      <c r="AM457" s="22"/>
      <c r="AN457" s="22"/>
      <c r="AO457" s="22"/>
    </row>
    <row r="458" ht="14.2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55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  <c r="AF458" s="22"/>
      <c r="AG458" s="22"/>
      <c r="AH458" s="22"/>
      <c r="AI458" s="22"/>
      <c r="AJ458" s="22"/>
      <c r="AK458" s="22"/>
      <c r="AL458" s="22"/>
      <c r="AM458" s="22"/>
      <c r="AN458" s="22"/>
      <c r="AO458" s="22"/>
    </row>
    <row r="459" ht="14.2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55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  <c r="AF459" s="22"/>
      <c r="AG459" s="22"/>
      <c r="AH459" s="22"/>
      <c r="AI459" s="22"/>
      <c r="AJ459" s="22"/>
      <c r="AK459" s="22"/>
      <c r="AL459" s="22"/>
      <c r="AM459" s="22"/>
      <c r="AN459" s="22"/>
      <c r="AO459" s="22"/>
    </row>
    <row r="460" ht="14.2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55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  <c r="AF460" s="22"/>
      <c r="AG460" s="22"/>
      <c r="AH460" s="22"/>
      <c r="AI460" s="22"/>
      <c r="AJ460" s="22"/>
      <c r="AK460" s="22"/>
      <c r="AL460" s="22"/>
      <c r="AM460" s="22"/>
      <c r="AN460" s="22"/>
      <c r="AO460" s="22"/>
    </row>
    <row r="461" ht="14.2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55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  <c r="AF461" s="22"/>
      <c r="AG461" s="22"/>
      <c r="AH461" s="22"/>
      <c r="AI461" s="22"/>
      <c r="AJ461" s="22"/>
      <c r="AK461" s="22"/>
      <c r="AL461" s="22"/>
      <c r="AM461" s="22"/>
      <c r="AN461" s="22"/>
      <c r="AO461" s="22"/>
    </row>
    <row r="462" ht="14.2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55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  <c r="AF462" s="22"/>
      <c r="AG462" s="22"/>
      <c r="AH462" s="22"/>
      <c r="AI462" s="22"/>
      <c r="AJ462" s="22"/>
      <c r="AK462" s="22"/>
      <c r="AL462" s="22"/>
      <c r="AM462" s="22"/>
      <c r="AN462" s="22"/>
      <c r="AO462" s="22"/>
    </row>
    <row r="463" ht="14.2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55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  <c r="AF463" s="22"/>
      <c r="AG463" s="22"/>
      <c r="AH463" s="22"/>
      <c r="AI463" s="22"/>
      <c r="AJ463" s="22"/>
      <c r="AK463" s="22"/>
      <c r="AL463" s="22"/>
      <c r="AM463" s="22"/>
      <c r="AN463" s="22"/>
      <c r="AO463" s="22"/>
    </row>
    <row r="464" ht="14.2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55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  <c r="AF464" s="22"/>
      <c r="AG464" s="22"/>
      <c r="AH464" s="22"/>
      <c r="AI464" s="22"/>
      <c r="AJ464" s="22"/>
      <c r="AK464" s="22"/>
      <c r="AL464" s="22"/>
      <c r="AM464" s="22"/>
      <c r="AN464" s="22"/>
      <c r="AO464" s="22"/>
    </row>
    <row r="465" ht="14.2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55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  <c r="AF465" s="22"/>
      <c r="AG465" s="22"/>
      <c r="AH465" s="22"/>
      <c r="AI465" s="22"/>
      <c r="AJ465" s="22"/>
      <c r="AK465" s="22"/>
      <c r="AL465" s="22"/>
      <c r="AM465" s="22"/>
      <c r="AN465" s="22"/>
      <c r="AO465" s="22"/>
    </row>
    <row r="466" ht="14.2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55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  <c r="AF466" s="22"/>
      <c r="AG466" s="22"/>
      <c r="AH466" s="22"/>
      <c r="AI466" s="22"/>
      <c r="AJ466" s="22"/>
      <c r="AK466" s="22"/>
      <c r="AL466" s="22"/>
      <c r="AM466" s="22"/>
      <c r="AN466" s="22"/>
      <c r="AO466" s="22"/>
    </row>
    <row r="467" ht="14.2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55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  <c r="AF467" s="22"/>
      <c r="AG467" s="22"/>
      <c r="AH467" s="22"/>
      <c r="AI467" s="22"/>
      <c r="AJ467" s="22"/>
      <c r="AK467" s="22"/>
      <c r="AL467" s="22"/>
      <c r="AM467" s="22"/>
      <c r="AN467" s="22"/>
      <c r="AO467" s="22"/>
    </row>
    <row r="468" ht="14.2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55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  <c r="AF468" s="22"/>
      <c r="AG468" s="22"/>
      <c r="AH468" s="22"/>
      <c r="AI468" s="22"/>
      <c r="AJ468" s="22"/>
      <c r="AK468" s="22"/>
      <c r="AL468" s="22"/>
      <c r="AM468" s="22"/>
      <c r="AN468" s="22"/>
      <c r="AO468" s="22"/>
    </row>
    <row r="469" ht="14.2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55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  <c r="AF469" s="22"/>
      <c r="AG469" s="22"/>
      <c r="AH469" s="22"/>
      <c r="AI469" s="22"/>
      <c r="AJ469" s="22"/>
      <c r="AK469" s="22"/>
      <c r="AL469" s="22"/>
      <c r="AM469" s="22"/>
      <c r="AN469" s="22"/>
      <c r="AO469" s="22"/>
    </row>
    <row r="470" ht="14.2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55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  <c r="AF470" s="22"/>
      <c r="AG470" s="22"/>
      <c r="AH470" s="22"/>
      <c r="AI470" s="22"/>
      <c r="AJ470" s="22"/>
      <c r="AK470" s="22"/>
      <c r="AL470" s="22"/>
      <c r="AM470" s="22"/>
      <c r="AN470" s="22"/>
      <c r="AO470" s="22"/>
    </row>
    <row r="471" ht="14.2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55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  <c r="AF471" s="22"/>
      <c r="AG471" s="22"/>
      <c r="AH471" s="22"/>
      <c r="AI471" s="22"/>
      <c r="AJ471" s="22"/>
      <c r="AK471" s="22"/>
      <c r="AL471" s="22"/>
      <c r="AM471" s="22"/>
      <c r="AN471" s="22"/>
      <c r="AO471" s="22"/>
    </row>
    <row r="472" ht="14.2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55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  <c r="AF472" s="22"/>
      <c r="AG472" s="22"/>
      <c r="AH472" s="22"/>
      <c r="AI472" s="22"/>
      <c r="AJ472" s="22"/>
      <c r="AK472" s="22"/>
      <c r="AL472" s="22"/>
      <c r="AM472" s="22"/>
      <c r="AN472" s="22"/>
      <c r="AO472" s="22"/>
    </row>
    <row r="473" ht="14.2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55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  <c r="AF473" s="22"/>
      <c r="AG473" s="22"/>
      <c r="AH473" s="22"/>
      <c r="AI473" s="22"/>
      <c r="AJ473" s="22"/>
      <c r="AK473" s="22"/>
      <c r="AL473" s="22"/>
      <c r="AM473" s="22"/>
      <c r="AN473" s="22"/>
      <c r="AO473" s="22"/>
    </row>
    <row r="474" ht="14.2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55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  <c r="AF474" s="22"/>
      <c r="AG474" s="22"/>
      <c r="AH474" s="22"/>
      <c r="AI474" s="22"/>
      <c r="AJ474" s="22"/>
      <c r="AK474" s="22"/>
      <c r="AL474" s="22"/>
      <c r="AM474" s="22"/>
      <c r="AN474" s="22"/>
      <c r="AO474" s="22"/>
    </row>
    <row r="475" ht="14.2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55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  <c r="AF475" s="22"/>
      <c r="AG475" s="22"/>
      <c r="AH475" s="22"/>
      <c r="AI475" s="22"/>
      <c r="AJ475" s="22"/>
      <c r="AK475" s="22"/>
      <c r="AL475" s="22"/>
      <c r="AM475" s="22"/>
      <c r="AN475" s="22"/>
      <c r="AO475" s="22"/>
    </row>
    <row r="476" ht="14.2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55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  <c r="AF476" s="22"/>
      <c r="AG476" s="22"/>
      <c r="AH476" s="22"/>
      <c r="AI476" s="22"/>
      <c r="AJ476" s="22"/>
      <c r="AK476" s="22"/>
      <c r="AL476" s="22"/>
      <c r="AM476" s="22"/>
      <c r="AN476" s="22"/>
      <c r="AO476" s="22"/>
    </row>
    <row r="477" ht="14.2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55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  <c r="AF477" s="22"/>
      <c r="AG477" s="22"/>
      <c r="AH477" s="22"/>
      <c r="AI477" s="22"/>
      <c r="AJ477" s="22"/>
      <c r="AK477" s="22"/>
      <c r="AL477" s="22"/>
      <c r="AM477" s="22"/>
      <c r="AN477" s="22"/>
      <c r="AO477" s="22"/>
    </row>
    <row r="478" ht="14.2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55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  <c r="AF478" s="22"/>
      <c r="AG478" s="22"/>
      <c r="AH478" s="22"/>
      <c r="AI478" s="22"/>
      <c r="AJ478" s="22"/>
      <c r="AK478" s="22"/>
      <c r="AL478" s="22"/>
      <c r="AM478" s="22"/>
      <c r="AN478" s="22"/>
      <c r="AO478" s="22"/>
    </row>
    <row r="479" ht="14.2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55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  <c r="AF479" s="22"/>
      <c r="AG479" s="22"/>
      <c r="AH479" s="22"/>
      <c r="AI479" s="22"/>
      <c r="AJ479" s="22"/>
      <c r="AK479" s="22"/>
      <c r="AL479" s="22"/>
      <c r="AM479" s="22"/>
      <c r="AN479" s="22"/>
      <c r="AO479" s="22"/>
    </row>
    <row r="480" ht="14.2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55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  <c r="AF480" s="22"/>
      <c r="AG480" s="22"/>
      <c r="AH480" s="22"/>
      <c r="AI480" s="22"/>
      <c r="AJ480" s="22"/>
      <c r="AK480" s="22"/>
      <c r="AL480" s="22"/>
      <c r="AM480" s="22"/>
      <c r="AN480" s="22"/>
      <c r="AO480" s="22"/>
    </row>
    <row r="481" ht="14.2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55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  <c r="AF481" s="22"/>
      <c r="AG481" s="22"/>
      <c r="AH481" s="22"/>
      <c r="AI481" s="22"/>
      <c r="AJ481" s="22"/>
      <c r="AK481" s="22"/>
      <c r="AL481" s="22"/>
      <c r="AM481" s="22"/>
      <c r="AN481" s="22"/>
      <c r="AO481" s="22"/>
    </row>
    <row r="482" ht="14.2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55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  <c r="AF482" s="22"/>
      <c r="AG482" s="22"/>
      <c r="AH482" s="22"/>
      <c r="AI482" s="22"/>
      <c r="AJ482" s="22"/>
      <c r="AK482" s="22"/>
      <c r="AL482" s="22"/>
      <c r="AM482" s="22"/>
      <c r="AN482" s="22"/>
      <c r="AO482" s="22"/>
    </row>
    <row r="483" ht="14.2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55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  <c r="AF483" s="22"/>
      <c r="AG483" s="22"/>
      <c r="AH483" s="22"/>
      <c r="AI483" s="22"/>
      <c r="AJ483" s="22"/>
      <c r="AK483" s="22"/>
      <c r="AL483" s="22"/>
      <c r="AM483" s="22"/>
      <c r="AN483" s="22"/>
      <c r="AO483" s="22"/>
    </row>
    <row r="484" ht="14.2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55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  <c r="AF484" s="22"/>
      <c r="AG484" s="22"/>
      <c r="AH484" s="22"/>
      <c r="AI484" s="22"/>
      <c r="AJ484" s="22"/>
      <c r="AK484" s="22"/>
      <c r="AL484" s="22"/>
      <c r="AM484" s="22"/>
      <c r="AN484" s="22"/>
      <c r="AO484" s="22"/>
    </row>
    <row r="485" ht="14.2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55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  <c r="AF485" s="22"/>
      <c r="AG485" s="22"/>
      <c r="AH485" s="22"/>
      <c r="AI485" s="22"/>
      <c r="AJ485" s="22"/>
      <c r="AK485" s="22"/>
      <c r="AL485" s="22"/>
      <c r="AM485" s="22"/>
      <c r="AN485" s="22"/>
      <c r="AO485" s="22"/>
    </row>
    <row r="486" ht="14.2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55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  <c r="AF486" s="22"/>
      <c r="AG486" s="22"/>
      <c r="AH486" s="22"/>
      <c r="AI486" s="22"/>
      <c r="AJ486" s="22"/>
      <c r="AK486" s="22"/>
      <c r="AL486" s="22"/>
      <c r="AM486" s="22"/>
      <c r="AN486" s="22"/>
      <c r="AO486" s="22"/>
    </row>
    <row r="487" ht="14.2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55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  <c r="AF487" s="22"/>
      <c r="AG487" s="22"/>
      <c r="AH487" s="22"/>
      <c r="AI487" s="22"/>
      <c r="AJ487" s="22"/>
      <c r="AK487" s="22"/>
      <c r="AL487" s="22"/>
      <c r="AM487" s="22"/>
      <c r="AN487" s="22"/>
      <c r="AO487" s="22"/>
    </row>
    <row r="488" ht="14.2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55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  <c r="AF488" s="22"/>
      <c r="AG488" s="22"/>
      <c r="AH488" s="22"/>
      <c r="AI488" s="22"/>
      <c r="AJ488" s="22"/>
      <c r="AK488" s="22"/>
      <c r="AL488" s="22"/>
      <c r="AM488" s="22"/>
      <c r="AN488" s="22"/>
      <c r="AO488" s="22"/>
    </row>
    <row r="489" ht="14.2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55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  <c r="AF489" s="22"/>
      <c r="AG489" s="22"/>
      <c r="AH489" s="22"/>
      <c r="AI489" s="22"/>
      <c r="AJ489" s="22"/>
      <c r="AK489" s="22"/>
      <c r="AL489" s="22"/>
      <c r="AM489" s="22"/>
      <c r="AN489" s="22"/>
      <c r="AO489" s="22"/>
    </row>
    <row r="490" ht="14.2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55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  <c r="AF490" s="22"/>
      <c r="AG490" s="22"/>
      <c r="AH490" s="22"/>
      <c r="AI490" s="22"/>
      <c r="AJ490" s="22"/>
      <c r="AK490" s="22"/>
      <c r="AL490" s="22"/>
      <c r="AM490" s="22"/>
      <c r="AN490" s="22"/>
      <c r="AO490" s="22"/>
    </row>
    <row r="491" ht="14.2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55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  <c r="AF491" s="22"/>
      <c r="AG491" s="22"/>
      <c r="AH491" s="22"/>
      <c r="AI491" s="22"/>
      <c r="AJ491" s="22"/>
      <c r="AK491" s="22"/>
      <c r="AL491" s="22"/>
      <c r="AM491" s="22"/>
      <c r="AN491" s="22"/>
      <c r="AO491" s="22"/>
    </row>
    <row r="492" ht="14.2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55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  <c r="AF492" s="22"/>
      <c r="AG492" s="22"/>
      <c r="AH492" s="22"/>
      <c r="AI492" s="22"/>
      <c r="AJ492" s="22"/>
      <c r="AK492" s="22"/>
      <c r="AL492" s="22"/>
      <c r="AM492" s="22"/>
      <c r="AN492" s="22"/>
      <c r="AO492" s="22"/>
    </row>
    <row r="493" ht="14.2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55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  <c r="AF493" s="22"/>
      <c r="AG493" s="22"/>
      <c r="AH493" s="22"/>
      <c r="AI493" s="22"/>
      <c r="AJ493" s="22"/>
      <c r="AK493" s="22"/>
      <c r="AL493" s="22"/>
      <c r="AM493" s="22"/>
      <c r="AN493" s="22"/>
      <c r="AO493" s="22"/>
    </row>
    <row r="494" ht="14.2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55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  <c r="AF494" s="22"/>
      <c r="AG494" s="22"/>
      <c r="AH494" s="22"/>
      <c r="AI494" s="22"/>
      <c r="AJ494" s="22"/>
      <c r="AK494" s="22"/>
      <c r="AL494" s="22"/>
      <c r="AM494" s="22"/>
      <c r="AN494" s="22"/>
      <c r="AO494" s="22"/>
    </row>
    <row r="495" ht="14.2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55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  <c r="AF495" s="22"/>
      <c r="AG495" s="22"/>
      <c r="AH495" s="22"/>
      <c r="AI495" s="22"/>
      <c r="AJ495" s="22"/>
      <c r="AK495" s="22"/>
      <c r="AL495" s="22"/>
      <c r="AM495" s="22"/>
      <c r="AN495" s="22"/>
      <c r="AO495" s="22"/>
    </row>
    <row r="496" ht="14.2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55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  <c r="AF496" s="22"/>
      <c r="AG496" s="22"/>
      <c r="AH496" s="22"/>
      <c r="AI496" s="22"/>
      <c r="AJ496" s="22"/>
      <c r="AK496" s="22"/>
      <c r="AL496" s="22"/>
      <c r="AM496" s="22"/>
      <c r="AN496" s="22"/>
      <c r="AO496" s="22"/>
    </row>
    <row r="497" ht="14.2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55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  <c r="AF497" s="22"/>
      <c r="AG497" s="22"/>
      <c r="AH497" s="22"/>
      <c r="AI497" s="22"/>
      <c r="AJ497" s="22"/>
      <c r="AK497" s="22"/>
      <c r="AL497" s="22"/>
      <c r="AM497" s="22"/>
      <c r="AN497" s="22"/>
      <c r="AO497" s="22"/>
    </row>
    <row r="498" ht="14.2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55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  <c r="AF498" s="22"/>
      <c r="AG498" s="22"/>
      <c r="AH498" s="22"/>
      <c r="AI498" s="22"/>
      <c r="AJ498" s="22"/>
      <c r="AK498" s="22"/>
      <c r="AL498" s="22"/>
      <c r="AM498" s="22"/>
      <c r="AN498" s="22"/>
      <c r="AO498" s="22"/>
    </row>
    <row r="499" ht="14.2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55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  <c r="AF499" s="22"/>
      <c r="AG499" s="22"/>
      <c r="AH499" s="22"/>
      <c r="AI499" s="22"/>
      <c r="AJ499" s="22"/>
      <c r="AK499" s="22"/>
      <c r="AL499" s="22"/>
      <c r="AM499" s="22"/>
      <c r="AN499" s="22"/>
      <c r="AO499" s="22"/>
    </row>
    <row r="500" ht="14.2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55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  <c r="AF500" s="22"/>
      <c r="AG500" s="22"/>
      <c r="AH500" s="22"/>
      <c r="AI500" s="22"/>
      <c r="AJ500" s="22"/>
      <c r="AK500" s="22"/>
      <c r="AL500" s="22"/>
      <c r="AM500" s="22"/>
      <c r="AN500" s="22"/>
      <c r="AO500" s="22"/>
    </row>
    <row r="501" ht="14.2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55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  <c r="AF501" s="22"/>
      <c r="AG501" s="22"/>
      <c r="AH501" s="22"/>
      <c r="AI501" s="22"/>
      <c r="AJ501" s="22"/>
      <c r="AK501" s="22"/>
      <c r="AL501" s="22"/>
      <c r="AM501" s="22"/>
      <c r="AN501" s="22"/>
      <c r="AO501" s="22"/>
    </row>
    <row r="502" ht="14.2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55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  <c r="AE502" s="22"/>
      <c r="AF502" s="22"/>
      <c r="AG502" s="22"/>
      <c r="AH502" s="22"/>
      <c r="AI502" s="22"/>
      <c r="AJ502" s="22"/>
      <c r="AK502" s="22"/>
      <c r="AL502" s="22"/>
      <c r="AM502" s="22"/>
      <c r="AN502" s="22"/>
      <c r="AO502" s="22"/>
    </row>
    <row r="503" ht="14.25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55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  <c r="AF503" s="22"/>
      <c r="AG503" s="22"/>
      <c r="AH503" s="22"/>
      <c r="AI503" s="22"/>
      <c r="AJ503" s="22"/>
      <c r="AK503" s="22"/>
      <c r="AL503" s="22"/>
      <c r="AM503" s="22"/>
      <c r="AN503" s="22"/>
      <c r="AO503" s="22"/>
    </row>
    <row r="504" ht="14.25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55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  <c r="AF504" s="22"/>
      <c r="AG504" s="22"/>
      <c r="AH504" s="22"/>
      <c r="AI504" s="22"/>
      <c r="AJ504" s="22"/>
      <c r="AK504" s="22"/>
      <c r="AL504" s="22"/>
      <c r="AM504" s="22"/>
      <c r="AN504" s="22"/>
      <c r="AO504" s="22"/>
    </row>
    <row r="505" ht="14.25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55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  <c r="AF505" s="22"/>
      <c r="AG505" s="22"/>
      <c r="AH505" s="22"/>
      <c r="AI505" s="22"/>
      <c r="AJ505" s="22"/>
      <c r="AK505" s="22"/>
      <c r="AL505" s="22"/>
      <c r="AM505" s="22"/>
      <c r="AN505" s="22"/>
      <c r="AO505" s="22"/>
    </row>
    <row r="506" ht="14.2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55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  <c r="AF506" s="22"/>
      <c r="AG506" s="22"/>
      <c r="AH506" s="22"/>
      <c r="AI506" s="22"/>
      <c r="AJ506" s="22"/>
      <c r="AK506" s="22"/>
      <c r="AL506" s="22"/>
      <c r="AM506" s="22"/>
      <c r="AN506" s="22"/>
      <c r="AO506" s="22"/>
    </row>
    <row r="507" ht="14.2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55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  <c r="AF507" s="22"/>
      <c r="AG507" s="22"/>
      <c r="AH507" s="22"/>
      <c r="AI507" s="22"/>
      <c r="AJ507" s="22"/>
      <c r="AK507" s="22"/>
      <c r="AL507" s="22"/>
      <c r="AM507" s="22"/>
      <c r="AN507" s="22"/>
      <c r="AO507" s="22"/>
    </row>
    <row r="508" ht="14.2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55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  <c r="AF508" s="22"/>
      <c r="AG508" s="22"/>
      <c r="AH508" s="22"/>
      <c r="AI508" s="22"/>
      <c r="AJ508" s="22"/>
      <c r="AK508" s="22"/>
      <c r="AL508" s="22"/>
      <c r="AM508" s="22"/>
      <c r="AN508" s="22"/>
      <c r="AO508" s="22"/>
    </row>
    <row r="509" ht="14.2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55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  <c r="AF509" s="22"/>
      <c r="AG509" s="22"/>
      <c r="AH509" s="22"/>
      <c r="AI509" s="22"/>
      <c r="AJ509" s="22"/>
      <c r="AK509" s="22"/>
      <c r="AL509" s="22"/>
      <c r="AM509" s="22"/>
      <c r="AN509" s="22"/>
      <c r="AO509" s="22"/>
    </row>
    <row r="510" ht="14.2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55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  <c r="AF510" s="22"/>
      <c r="AG510" s="22"/>
      <c r="AH510" s="22"/>
      <c r="AI510" s="22"/>
      <c r="AJ510" s="22"/>
      <c r="AK510" s="22"/>
      <c r="AL510" s="22"/>
      <c r="AM510" s="22"/>
      <c r="AN510" s="22"/>
      <c r="AO510" s="22"/>
    </row>
    <row r="511" ht="14.25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55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  <c r="AF511" s="22"/>
      <c r="AG511" s="22"/>
      <c r="AH511" s="22"/>
      <c r="AI511" s="22"/>
      <c r="AJ511" s="22"/>
      <c r="AK511" s="22"/>
      <c r="AL511" s="22"/>
      <c r="AM511" s="22"/>
      <c r="AN511" s="22"/>
      <c r="AO511" s="22"/>
    </row>
    <row r="512" ht="14.2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55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  <c r="AE512" s="22"/>
      <c r="AF512" s="22"/>
      <c r="AG512" s="22"/>
      <c r="AH512" s="22"/>
      <c r="AI512" s="22"/>
      <c r="AJ512" s="22"/>
      <c r="AK512" s="22"/>
      <c r="AL512" s="22"/>
      <c r="AM512" s="22"/>
      <c r="AN512" s="22"/>
      <c r="AO512" s="22"/>
    </row>
    <row r="513" ht="14.2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55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  <c r="AE513" s="22"/>
      <c r="AF513" s="22"/>
      <c r="AG513" s="22"/>
      <c r="AH513" s="22"/>
      <c r="AI513" s="22"/>
      <c r="AJ513" s="22"/>
      <c r="AK513" s="22"/>
      <c r="AL513" s="22"/>
      <c r="AM513" s="22"/>
      <c r="AN513" s="22"/>
      <c r="AO513" s="22"/>
    </row>
    <row r="514" ht="14.2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55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  <c r="AE514" s="22"/>
      <c r="AF514" s="22"/>
      <c r="AG514" s="22"/>
      <c r="AH514" s="22"/>
      <c r="AI514" s="22"/>
      <c r="AJ514" s="22"/>
      <c r="AK514" s="22"/>
      <c r="AL514" s="22"/>
      <c r="AM514" s="22"/>
      <c r="AN514" s="22"/>
      <c r="AO514" s="22"/>
    </row>
    <row r="515" ht="14.25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55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  <c r="AF515" s="22"/>
      <c r="AG515" s="22"/>
      <c r="AH515" s="22"/>
      <c r="AI515" s="22"/>
      <c r="AJ515" s="22"/>
      <c r="AK515" s="22"/>
      <c r="AL515" s="22"/>
      <c r="AM515" s="22"/>
      <c r="AN515" s="22"/>
      <c r="AO515" s="22"/>
    </row>
    <row r="516" ht="14.2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55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  <c r="AF516" s="22"/>
      <c r="AG516" s="22"/>
      <c r="AH516" s="22"/>
      <c r="AI516" s="22"/>
      <c r="AJ516" s="22"/>
      <c r="AK516" s="22"/>
      <c r="AL516" s="22"/>
      <c r="AM516" s="22"/>
      <c r="AN516" s="22"/>
      <c r="AO516" s="22"/>
    </row>
    <row r="517" ht="14.25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55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  <c r="AF517" s="22"/>
      <c r="AG517" s="22"/>
      <c r="AH517" s="22"/>
      <c r="AI517" s="22"/>
      <c r="AJ517" s="22"/>
      <c r="AK517" s="22"/>
      <c r="AL517" s="22"/>
      <c r="AM517" s="22"/>
      <c r="AN517" s="22"/>
      <c r="AO517" s="22"/>
    </row>
    <row r="518" ht="14.2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55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  <c r="AF518" s="22"/>
      <c r="AG518" s="22"/>
      <c r="AH518" s="22"/>
      <c r="AI518" s="22"/>
      <c r="AJ518" s="22"/>
      <c r="AK518" s="22"/>
      <c r="AL518" s="22"/>
      <c r="AM518" s="22"/>
      <c r="AN518" s="22"/>
      <c r="AO518" s="22"/>
    </row>
    <row r="519" ht="14.25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55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  <c r="AF519" s="22"/>
      <c r="AG519" s="22"/>
      <c r="AH519" s="22"/>
      <c r="AI519" s="22"/>
      <c r="AJ519" s="22"/>
      <c r="AK519" s="22"/>
      <c r="AL519" s="22"/>
      <c r="AM519" s="22"/>
      <c r="AN519" s="22"/>
      <c r="AO519" s="22"/>
    </row>
    <row r="520" ht="14.2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55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  <c r="AF520" s="22"/>
      <c r="AG520" s="22"/>
      <c r="AH520" s="22"/>
      <c r="AI520" s="22"/>
      <c r="AJ520" s="22"/>
      <c r="AK520" s="22"/>
      <c r="AL520" s="22"/>
      <c r="AM520" s="22"/>
      <c r="AN520" s="22"/>
      <c r="AO520" s="22"/>
    </row>
    <row r="521" ht="14.25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55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  <c r="AF521" s="22"/>
      <c r="AG521" s="22"/>
      <c r="AH521" s="22"/>
      <c r="AI521" s="22"/>
      <c r="AJ521" s="22"/>
      <c r="AK521" s="22"/>
      <c r="AL521" s="22"/>
      <c r="AM521" s="22"/>
      <c r="AN521" s="22"/>
      <c r="AO521" s="22"/>
    </row>
    <row r="522" ht="14.2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55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  <c r="AF522" s="22"/>
      <c r="AG522" s="22"/>
      <c r="AH522" s="22"/>
      <c r="AI522" s="22"/>
      <c r="AJ522" s="22"/>
      <c r="AK522" s="22"/>
      <c r="AL522" s="22"/>
      <c r="AM522" s="22"/>
      <c r="AN522" s="22"/>
      <c r="AO522" s="22"/>
    </row>
    <row r="523" ht="14.2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55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  <c r="AF523" s="22"/>
      <c r="AG523" s="22"/>
      <c r="AH523" s="22"/>
      <c r="AI523" s="22"/>
      <c r="AJ523" s="22"/>
      <c r="AK523" s="22"/>
      <c r="AL523" s="22"/>
      <c r="AM523" s="22"/>
      <c r="AN523" s="22"/>
      <c r="AO523" s="22"/>
    </row>
    <row r="524" ht="14.2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55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  <c r="AF524" s="22"/>
      <c r="AG524" s="22"/>
      <c r="AH524" s="22"/>
      <c r="AI524" s="22"/>
      <c r="AJ524" s="22"/>
      <c r="AK524" s="22"/>
      <c r="AL524" s="22"/>
      <c r="AM524" s="22"/>
      <c r="AN524" s="22"/>
      <c r="AO524" s="22"/>
    </row>
    <row r="525" ht="14.2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55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  <c r="AF525" s="22"/>
      <c r="AG525" s="22"/>
      <c r="AH525" s="22"/>
      <c r="AI525" s="22"/>
      <c r="AJ525" s="22"/>
      <c r="AK525" s="22"/>
      <c r="AL525" s="22"/>
      <c r="AM525" s="22"/>
      <c r="AN525" s="22"/>
      <c r="AO525" s="22"/>
    </row>
    <row r="526" ht="14.2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55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  <c r="AF526" s="22"/>
      <c r="AG526" s="22"/>
      <c r="AH526" s="22"/>
      <c r="AI526" s="22"/>
      <c r="AJ526" s="22"/>
      <c r="AK526" s="22"/>
      <c r="AL526" s="22"/>
      <c r="AM526" s="22"/>
      <c r="AN526" s="22"/>
      <c r="AO526" s="22"/>
    </row>
    <row r="527" ht="14.2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55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  <c r="AF527" s="22"/>
      <c r="AG527" s="22"/>
      <c r="AH527" s="22"/>
      <c r="AI527" s="22"/>
      <c r="AJ527" s="22"/>
      <c r="AK527" s="22"/>
      <c r="AL527" s="22"/>
      <c r="AM527" s="22"/>
      <c r="AN527" s="22"/>
      <c r="AO527" s="22"/>
    </row>
    <row r="528" ht="14.2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55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  <c r="AF528" s="22"/>
      <c r="AG528" s="22"/>
      <c r="AH528" s="22"/>
      <c r="AI528" s="22"/>
      <c r="AJ528" s="22"/>
      <c r="AK528" s="22"/>
      <c r="AL528" s="22"/>
      <c r="AM528" s="22"/>
      <c r="AN528" s="22"/>
      <c r="AO528" s="22"/>
    </row>
    <row r="529" ht="14.2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55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  <c r="AF529" s="22"/>
      <c r="AG529" s="22"/>
      <c r="AH529" s="22"/>
      <c r="AI529" s="22"/>
      <c r="AJ529" s="22"/>
      <c r="AK529" s="22"/>
      <c r="AL529" s="22"/>
      <c r="AM529" s="22"/>
      <c r="AN529" s="22"/>
      <c r="AO529" s="22"/>
    </row>
    <row r="530" ht="14.2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55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  <c r="AF530" s="22"/>
      <c r="AG530" s="22"/>
      <c r="AH530" s="22"/>
      <c r="AI530" s="22"/>
      <c r="AJ530" s="22"/>
      <c r="AK530" s="22"/>
      <c r="AL530" s="22"/>
      <c r="AM530" s="22"/>
      <c r="AN530" s="22"/>
      <c r="AO530" s="22"/>
    </row>
    <row r="531" ht="14.25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55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  <c r="AF531" s="22"/>
      <c r="AG531" s="22"/>
      <c r="AH531" s="22"/>
      <c r="AI531" s="22"/>
      <c r="AJ531" s="22"/>
      <c r="AK531" s="22"/>
      <c r="AL531" s="22"/>
      <c r="AM531" s="22"/>
      <c r="AN531" s="22"/>
      <c r="AO531" s="22"/>
    </row>
    <row r="532" ht="14.2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55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  <c r="AF532" s="22"/>
      <c r="AG532" s="22"/>
      <c r="AH532" s="22"/>
      <c r="AI532" s="22"/>
      <c r="AJ532" s="22"/>
      <c r="AK532" s="22"/>
      <c r="AL532" s="22"/>
      <c r="AM532" s="22"/>
      <c r="AN532" s="22"/>
      <c r="AO532" s="22"/>
    </row>
    <row r="533" ht="14.25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55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  <c r="AF533" s="22"/>
      <c r="AG533" s="22"/>
      <c r="AH533" s="22"/>
      <c r="AI533" s="22"/>
      <c r="AJ533" s="22"/>
      <c r="AK533" s="22"/>
      <c r="AL533" s="22"/>
      <c r="AM533" s="22"/>
      <c r="AN533" s="22"/>
      <c r="AO533" s="22"/>
    </row>
    <row r="534" ht="14.2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55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  <c r="AF534" s="22"/>
      <c r="AG534" s="22"/>
      <c r="AH534" s="22"/>
      <c r="AI534" s="22"/>
      <c r="AJ534" s="22"/>
      <c r="AK534" s="22"/>
      <c r="AL534" s="22"/>
      <c r="AM534" s="22"/>
      <c r="AN534" s="22"/>
      <c r="AO534" s="22"/>
    </row>
    <row r="535" ht="14.25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55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  <c r="AF535" s="22"/>
      <c r="AG535" s="22"/>
      <c r="AH535" s="22"/>
      <c r="AI535" s="22"/>
      <c r="AJ535" s="22"/>
      <c r="AK535" s="22"/>
      <c r="AL535" s="22"/>
      <c r="AM535" s="22"/>
      <c r="AN535" s="22"/>
      <c r="AO535" s="22"/>
    </row>
    <row r="536" ht="14.2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55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  <c r="AF536" s="22"/>
      <c r="AG536" s="22"/>
      <c r="AH536" s="22"/>
      <c r="AI536" s="22"/>
      <c r="AJ536" s="22"/>
      <c r="AK536" s="22"/>
      <c r="AL536" s="22"/>
      <c r="AM536" s="22"/>
      <c r="AN536" s="22"/>
      <c r="AO536" s="22"/>
    </row>
    <row r="537" ht="14.2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55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  <c r="AF537" s="22"/>
      <c r="AG537" s="22"/>
      <c r="AH537" s="22"/>
      <c r="AI537" s="22"/>
      <c r="AJ537" s="22"/>
      <c r="AK537" s="22"/>
      <c r="AL537" s="22"/>
      <c r="AM537" s="22"/>
      <c r="AN537" s="22"/>
      <c r="AO537" s="22"/>
    </row>
    <row r="538" ht="14.2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55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  <c r="AF538" s="22"/>
      <c r="AG538" s="22"/>
      <c r="AH538" s="22"/>
      <c r="AI538" s="22"/>
      <c r="AJ538" s="22"/>
      <c r="AK538" s="22"/>
      <c r="AL538" s="22"/>
      <c r="AM538" s="22"/>
      <c r="AN538" s="22"/>
      <c r="AO538" s="22"/>
    </row>
    <row r="539" ht="14.2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55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  <c r="AF539" s="22"/>
      <c r="AG539" s="22"/>
      <c r="AH539" s="22"/>
      <c r="AI539" s="22"/>
      <c r="AJ539" s="22"/>
      <c r="AK539" s="22"/>
      <c r="AL539" s="22"/>
      <c r="AM539" s="22"/>
      <c r="AN539" s="22"/>
      <c r="AO539" s="22"/>
    </row>
    <row r="540" ht="14.2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55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  <c r="AF540" s="22"/>
      <c r="AG540" s="22"/>
      <c r="AH540" s="22"/>
      <c r="AI540" s="22"/>
      <c r="AJ540" s="22"/>
      <c r="AK540" s="22"/>
      <c r="AL540" s="22"/>
      <c r="AM540" s="22"/>
      <c r="AN540" s="22"/>
      <c r="AO540" s="22"/>
    </row>
    <row r="541" ht="14.25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55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  <c r="AF541" s="22"/>
      <c r="AG541" s="22"/>
      <c r="AH541" s="22"/>
      <c r="AI541" s="22"/>
      <c r="AJ541" s="22"/>
      <c r="AK541" s="22"/>
      <c r="AL541" s="22"/>
      <c r="AM541" s="22"/>
      <c r="AN541" s="22"/>
      <c r="AO541" s="22"/>
    </row>
    <row r="542" ht="14.2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55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  <c r="AF542" s="22"/>
      <c r="AG542" s="22"/>
      <c r="AH542" s="22"/>
      <c r="AI542" s="22"/>
      <c r="AJ542" s="22"/>
      <c r="AK542" s="22"/>
      <c r="AL542" s="22"/>
      <c r="AM542" s="22"/>
      <c r="AN542" s="22"/>
      <c r="AO542" s="22"/>
    </row>
    <row r="543" ht="14.25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55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  <c r="AF543" s="22"/>
      <c r="AG543" s="22"/>
      <c r="AH543" s="22"/>
      <c r="AI543" s="22"/>
      <c r="AJ543" s="22"/>
      <c r="AK543" s="22"/>
      <c r="AL543" s="22"/>
      <c r="AM543" s="22"/>
      <c r="AN543" s="22"/>
      <c r="AO543" s="22"/>
    </row>
    <row r="544" ht="14.2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55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  <c r="AF544" s="22"/>
      <c r="AG544" s="22"/>
      <c r="AH544" s="22"/>
      <c r="AI544" s="22"/>
      <c r="AJ544" s="22"/>
      <c r="AK544" s="22"/>
      <c r="AL544" s="22"/>
      <c r="AM544" s="22"/>
      <c r="AN544" s="22"/>
      <c r="AO544" s="22"/>
    </row>
    <row r="545" ht="14.25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55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  <c r="AF545" s="22"/>
      <c r="AG545" s="22"/>
      <c r="AH545" s="22"/>
      <c r="AI545" s="22"/>
      <c r="AJ545" s="22"/>
      <c r="AK545" s="22"/>
      <c r="AL545" s="22"/>
      <c r="AM545" s="22"/>
      <c r="AN545" s="22"/>
      <c r="AO545" s="22"/>
    </row>
    <row r="546" ht="14.2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55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  <c r="AF546" s="22"/>
      <c r="AG546" s="22"/>
      <c r="AH546" s="22"/>
      <c r="AI546" s="22"/>
      <c r="AJ546" s="22"/>
      <c r="AK546" s="22"/>
      <c r="AL546" s="22"/>
      <c r="AM546" s="22"/>
      <c r="AN546" s="22"/>
      <c r="AO546" s="22"/>
    </row>
    <row r="547" ht="14.25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55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  <c r="AF547" s="22"/>
      <c r="AG547" s="22"/>
      <c r="AH547" s="22"/>
      <c r="AI547" s="22"/>
      <c r="AJ547" s="22"/>
      <c r="AK547" s="22"/>
      <c r="AL547" s="22"/>
      <c r="AM547" s="22"/>
      <c r="AN547" s="22"/>
      <c r="AO547" s="22"/>
    </row>
    <row r="548" ht="14.2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55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  <c r="AF548" s="22"/>
      <c r="AG548" s="22"/>
      <c r="AH548" s="22"/>
      <c r="AI548" s="22"/>
      <c r="AJ548" s="22"/>
      <c r="AK548" s="22"/>
      <c r="AL548" s="22"/>
      <c r="AM548" s="22"/>
      <c r="AN548" s="22"/>
      <c r="AO548" s="22"/>
    </row>
    <row r="549" ht="14.25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55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  <c r="AF549" s="22"/>
      <c r="AG549" s="22"/>
      <c r="AH549" s="22"/>
      <c r="AI549" s="22"/>
      <c r="AJ549" s="22"/>
      <c r="AK549" s="22"/>
      <c r="AL549" s="22"/>
      <c r="AM549" s="22"/>
      <c r="AN549" s="22"/>
      <c r="AO549" s="22"/>
    </row>
    <row r="550" ht="14.2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55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  <c r="AF550" s="22"/>
      <c r="AG550" s="22"/>
      <c r="AH550" s="22"/>
      <c r="AI550" s="22"/>
      <c r="AJ550" s="22"/>
      <c r="AK550" s="22"/>
      <c r="AL550" s="22"/>
      <c r="AM550" s="22"/>
      <c r="AN550" s="22"/>
      <c r="AO550" s="22"/>
    </row>
    <row r="551" ht="14.25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55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  <c r="AF551" s="22"/>
      <c r="AG551" s="22"/>
      <c r="AH551" s="22"/>
      <c r="AI551" s="22"/>
      <c r="AJ551" s="22"/>
      <c r="AK551" s="22"/>
      <c r="AL551" s="22"/>
      <c r="AM551" s="22"/>
      <c r="AN551" s="22"/>
      <c r="AO551" s="22"/>
    </row>
    <row r="552" ht="14.2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55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  <c r="AF552" s="22"/>
      <c r="AG552" s="22"/>
      <c r="AH552" s="22"/>
      <c r="AI552" s="22"/>
      <c r="AJ552" s="22"/>
      <c r="AK552" s="22"/>
      <c r="AL552" s="22"/>
      <c r="AM552" s="22"/>
      <c r="AN552" s="22"/>
      <c r="AO552" s="22"/>
    </row>
    <row r="553" ht="14.2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55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  <c r="AF553" s="22"/>
      <c r="AG553" s="22"/>
      <c r="AH553" s="22"/>
      <c r="AI553" s="22"/>
      <c r="AJ553" s="22"/>
      <c r="AK553" s="22"/>
      <c r="AL553" s="22"/>
      <c r="AM553" s="22"/>
      <c r="AN553" s="22"/>
      <c r="AO553" s="22"/>
    </row>
    <row r="554" ht="14.2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55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  <c r="AF554" s="22"/>
      <c r="AG554" s="22"/>
      <c r="AH554" s="22"/>
      <c r="AI554" s="22"/>
      <c r="AJ554" s="22"/>
      <c r="AK554" s="22"/>
      <c r="AL554" s="22"/>
      <c r="AM554" s="22"/>
      <c r="AN554" s="22"/>
      <c r="AO554" s="22"/>
    </row>
    <row r="555" ht="14.2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55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  <c r="AF555" s="22"/>
      <c r="AG555" s="22"/>
      <c r="AH555" s="22"/>
      <c r="AI555" s="22"/>
      <c r="AJ555" s="22"/>
      <c r="AK555" s="22"/>
      <c r="AL555" s="22"/>
      <c r="AM555" s="22"/>
      <c r="AN555" s="22"/>
      <c r="AO555" s="22"/>
    </row>
    <row r="556" ht="14.2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55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  <c r="AF556" s="22"/>
      <c r="AG556" s="22"/>
      <c r="AH556" s="22"/>
      <c r="AI556" s="22"/>
      <c r="AJ556" s="22"/>
      <c r="AK556" s="22"/>
      <c r="AL556" s="22"/>
      <c r="AM556" s="22"/>
      <c r="AN556" s="22"/>
      <c r="AO556" s="22"/>
    </row>
    <row r="557" ht="14.2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55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  <c r="AF557" s="22"/>
      <c r="AG557" s="22"/>
      <c r="AH557" s="22"/>
      <c r="AI557" s="22"/>
      <c r="AJ557" s="22"/>
      <c r="AK557" s="22"/>
      <c r="AL557" s="22"/>
      <c r="AM557" s="22"/>
      <c r="AN557" s="22"/>
      <c r="AO557" s="22"/>
    </row>
    <row r="558" ht="14.2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55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  <c r="AF558" s="22"/>
      <c r="AG558" s="22"/>
      <c r="AH558" s="22"/>
      <c r="AI558" s="22"/>
      <c r="AJ558" s="22"/>
      <c r="AK558" s="22"/>
      <c r="AL558" s="22"/>
      <c r="AM558" s="22"/>
      <c r="AN558" s="22"/>
      <c r="AO558" s="22"/>
    </row>
    <row r="559" ht="14.25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55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  <c r="AF559" s="22"/>
      <c r="AG559" s="22"/>
      <c r="AH559" s="22"/>
      <c r="AI559" s="22"/>
      <c r="AJ559" s="22"/>
      <c r="AK559" s="22"/>
      <c r="AL559" s="22"/>
      <c r="AM559" s="22"/>
      <c r="AN559" s="22"/>
      <c r="AO559" s="22"/>
    </row>
    <row r="560" ht="14.2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55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  <c r="AF560" s="22"/>
      <c r="AG560" s="22"/>
      <c r="AH560" s="22"/>
      <c r="AI560" s="22"/>
      <c r="AJ560" s="22"/>
      <c r="AK560" s="22"/>
      <c r="AL560" s="22"/>
      <c r="AM560" s="22"/>
      <c r="AN560" s="22"/>
      <c r="AO560" s="22"/>
    </row>
    <row r="561" ht="14.25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55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  <c r="AF561" s="22"/>
      <c r="AG561" s="22"/>
      <c r="AH561" s="22"/>
      <c r="AI561" s="22"/>
      <c r="AJ561" s="22"/>
      <c r="AK561" s="22"/>
      <c r="AL561" s="22"/>
      <c r="AM561" s="22"/>
      <c r="AN561" s="22"/>
      <c r="AO561" s="22"/>
    </row>
    <row r="562" ht="14.2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55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  <c r="AF562" s="22"/>
      <c r="AG562" s="22"/>
      <c r="AH562" s="22"/>
      <c r="AI562" s="22"/>
      <c r="AJ562" s="22"/>
      <c r="AK562" s="22"/>
      <c r="AL562" s="22"/>
      <c r="AM562" s="22"/>
      <c r="AN562" s="22"/>
      <c r="AO562" s="22"/>
    </row>
    <row r="563" ht="14.25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55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  <c r="AF563" s="22"/>
      <c r="AG563" s="22"/>
      <c r="AH563" s="22"/>
      <c r="AI563" s="22"/>
      <c r="AJ563" s="22"/>
      <c r="AK563" s="22"/>
      <c r="AL563" s="22"/>
      <c r="AM563" s="22"/>
      <c r="AN563" s="22"/>
      <c r="AO563" s="22"/>
    </row>
    <row r="564" ht="14.2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55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  <c r="AF564" s="22"/>
      <c r="AG564" s="22"/>
      <c r="AH564" s="22"/>
      <c r="AI564" s="22"/>
      <c r="AJ564" s="22"/>
      <c r="AK564" s="22"/>
      <c r="AL564" s="22"/>
      <c r="AM564" s="22"/>
      <c r="AN564" s="22"/>
      <c r="AO564" s="22"/>
    </row>
    <row r="565" ht="14.25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55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  <c r="AF565" s="22"/>
      <c r="AG565" s="22"/>
      <c r="AH565" s="22"/>
      <c r="AI565" s="22"/>
      <c r="AJ565" s="22"/>
      <c r="AK565" s="22"/>
      <c r="AL565" s="22"/>
      <c r="AM565" s="22"/>
      <c r="AN565" s="22"/>
      <c r="AO565" s="22"/>
    </row>
    <row r="566" ht="14.2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55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  <c r="AF566" s="22"/>
      <c r="AG566" s="22"/>
      <c r="AH566" s="22"/>
      <c r="AI566" s="22"/>
      <c r="AJ566" s="22"/>
      <c r="AK566" s="22"/>
      <c r="AL566" s="22"/>
      <c r="AM566" s="22"/>
      <c r="AN566" s="22"/>
      <c r="AO566" s="22"/>
    </row>
    <row r="567" ht="14.25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55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  <c r="AF567" s="22"/>
      <c r="AG567" s="22"/>
      <c r="AH567" s="22"/>
      <c r="AI567" s="22"/>
      <c r="AJ567" s="22"/>
      <c r="AK567" s="22"/>
      <c r="AL567" s="22"/>
      <c r="AM567" s="22"/>
      <c r="AN567" s="22"/>
      <c r="AO567" s="22"/>
    </row>
    <row r="568" ht="14.2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55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  <c r="AF568" s="22"/>
      <c r="AG568" s="22"/>
      <c r="AH568" s="22"/>
      <c r="AI568" s="22"/>
      <c r="AJ568" s="22"/>
      <c r="AK568" s="22"/>
      <c r="AL568" s="22"/>
      <c r="AM568" s="22"/>
      <c r="AN568" s="22"/>
      <c r="AO568" s="22"/>
    </row>
    <row r="569" ht="14.25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55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  <c r="AF569" s="22"/>
      <c r="AG569" s="22"/>
      <c r="AH569" s="22"/>
      <c r="AI569" s="22"/>
      <c r="AJ569" s="22"/>
      <c r="AK569" s="22"/>
      <c r="AL569" s="22"/>
      <c r="AM569" s="22"/>
      <c r="AN569" s="22"/>
      <c r="AO569" s="22"/>
    </row>
    <row r="570" ht="14.2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55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  <c r="AF570" s="22"/>
      <c r="AG570" s="22"/>
      <c r="AH570" s="22"/>
      <c r="AI570" s="22"/>
      <c r="AJ570" s="22"/>
      <c r="AK570" s="22"/>
      <c r="AL570" s="22"/>
      <c r="AM570" s="22"/>
      <c r="AN570" s="22"/>
      <c r="AO570" s="22"/>
    </row>
    <row r="571" ht="14.25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55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  <c r="AF571" s="22"/>
      <c r="AG571" s="22"/>
      <c r="AH571" s="22"/>
      <c r="AI571" s="22"/>
      <c r="AJ571" s="22"/>
      <c r="AK571" s="22"/>
      <c r="AL571" s="22"/>
      <c r="AM571" s="22"/>
      <c r="AN571" s="22"/>
      <c r="AO571" s="22"/>
    </row>
    <row r="572" ht="14.2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55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  <c r="AF572" s="22"/>
      <c r="AG572" s="22"/>
      <c r="AH572" s="22"/>
      <c r="AI572" s="22"/>
      <c r="AJ572" s="22"/>
      <c r="AK572" s="22"/>
      <c r="AL572" s="22"/>
      <c r="AM572" s="22"/>
      <c r="AN572" s="22"/>
      <c r="AO572" s="22"/>
    </row>
    <row r="573" ht="14.25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55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  <c r="AF573" s="22"/>
      <c r="AG573" s="22"/>
      <c r="AH573" s="22"/>
      <c r="AI573" s="22"/>
      <c r="AJ573" s="22"/>
      <c r="AK573" s="22"/>
      <c r="AL573" s="22"/>
      <c r="AM573" s="22"/>
      <c r="AN573" s="22"/>
      <c r="AO573" s="22"/>
    </row>
    <row r="574" ht="14.2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55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  <c r="AF574" s="22"/>
      <c r="AG574" s="22"/>
      <c r="AH574" s="22"/>
      <c r="AI574" s="22"/>
      <c r="AJ574" s="22"/>
      <c r="AK574" s="22"/>
      <c r="AL574" s="22"/>
      <c r="AM574" s="22"/>
      <c r="AN574" s="22"/>
      <c r="AO574" s="22"/>
    </row>
    <row r="575" ht="14.25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55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  <c r="AF575" s="22"/>
      <c r="AG575" s="22"/>
      <c r="AH575" s="22"/>
      <c r="AI575" s="22"/>
      <c r="AJ575" s="22"/>
      <c r="AK575" s="22"/>
      <c r="AL575" s="22"/>
      <c r="AM575" s="22"/>
      <c r="AN575" s="22"/>
      <c r="AO575" s="22"/>
    </row>
    <row r="576" ht="14.2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55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  <c r="AF576" s="22"/>
      <c r="AG576" s="22"/>
      <c r="AH576" s="22"/>
      <c r="AI576" s="22"/>
      <c r="AJ576" s="22"/>
      <c r="AK576" s="22"/>
      <c r="AL576" s="22"/>
      <c r="AM576" s="22"/>
      <c r="AN576" s="22"/>
      <c r="AO576" s="22"/>
    </row>
    <row r="577" ht="14.25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55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  <c r="AF577" s="22"/>
      <c r="AG577" s="22"/>
      <c r="AH577" s="22"/>
      <c r="AI577" s="22"/>
      <c r="AJ577" s="22"/>
      <c r="AK577" s="22"/>
      <c r="AL577" s="22"/>
      <c r="AM577" s="22"/>
      <c r="AN577" s="22"/>
      <c r="AO577" s="22"/>
    </row>
    <row r="578" ht="14.2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55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  <c r="AF578" s="22"/>
      <c r="AG578" s="22"/>
      <c r="AH578" s="22"/>
      <c r="AI578" s="22"/>
      <c r="AJ578" s="22"/>
      <c r="AK578" s="22"/>
      <c r="AL578" s="22"/>
      <c r="AM578" s="22"/>
      <c r="AN578" s="22"/>
      <c r="AO578" s="22"/>
    </row>
    <row r="579" ht="14.25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55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  <c r="AF579" s="22"/>
      <c r="AG579" s="22"/>
      <c r="AH579" s="22"/>
      <c r="AI579" s="22"/>
      <c r="AJ579" s="22"/>
      <c r="AK579" s="22"/>
      <c r="AL579" s="22"/>
      <c r="AM579" s="22"/>
      <c r="AN579" s="22"/>
      <c r="AO579" s="22"/>
    </row>
    <row r="580" ht="14.2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55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  <c r="AF580" s="22"/>
      <c r="AG580" s="22"/>
      <c r="AH580" s="22"/>
      <c r="AI580" s="22"/>
      <c r="AJ580" s="22"/>
      <c r="AK580" s="22"/>
      <c r="AL580" s="22"/>
      <c r="AM580" s="22"/>
      <c r="AN580" s="22"/>
      <c r="AO580" s="22"/>
    </row>
    <row r="581" ht="14.2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55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  <c r="AF581" s="22"/>
      <c r="AG581" s="22"/>
      <c r="AH581" s="22"/>
      <c r="AI581" s="22"/>
      <c r="AJ581" s="22"/>
      <c r="AK581" s="22"/>
      <c r="AL581" s="22"/>
      <c r="AM581" s="22"/>
      <c r="AN581" s="22"/>
      <c r="AO581" s="22"/>
    </row>
    <row r="582" ht="14.2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55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  <c r="AF582" s="22"/>
      <c r="AG582" s="22"/>
      <c r="AH582" s="22"/>
      <c r="AI582" s="22"/>
      <c r="AJ582" s="22"/>
      <c r="AK582" s="22"/>
      <c r="AL582" s="22"/>
      <c r="AM582" s="22"/>
      <c r="AN582" s="22"/>
      <c r="AO582" s="22"/>
    </row>
    <row r="583" ht="14.2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55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  <c r="AF583" s="22"/>
      <c r="AG583" s="22"/>
      <c r="AH583" s="22"/>
      <c r="AI583" s="22"/>
      <c r="AJ583" s="22"/>
      <c r="AK583" s="22"/>
      <c r="AL583" s="22"/>
      <c r="AM583" s="22"/>
      <c r="AN583" s="22"/>
      <c r="AO583" s="22"/>
    </row>
    <row r="584" ht="14.2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55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  <c r="AF584" s="22"/>
      <c r="AG584" s="22"/>
      <c r="AH584" s="22"/>
      <c r="AI584" s="22"/>
      <c r="AJ584" s="22"/>
      <c r="AK584" s="22"/>
      <c r="AL584" s="22"/>
      <c r="AM584" s="22"/>
      <c r="AN584" s="22"/>
      <c r="AO584" s="22"/>
    </row>
    <row r="585" ht="14.2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55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  <c r="AF585" s="22"/>
      <c r="AG585" s="22"/>
      <c r="AH585" s="22"/>
      <c r="AI585" s="22"/>
      <c r="AJ585" s="22"/>
      <c r="AK585" s="22"/>
      <c r="AL585" s="22"/>
      <c r="AM585" s="22"/>
      <c r="AN585" s="22"/>
      <c r="AO585" s="22"/>
    </row>
    <row r="586" ht="14.2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55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  <c r="AF586" s="22"/>
      <c r="AG586" s="22"/>
      <c r="AH586" s="22"/>
      <c r="AI586" s="22"/>
      <c r="AJ586" s="22"/>
      <c r="AK586" s="22"/>
      <c r="AL586" s="22"/>
      <c r="AM586" s="22"/>
      <c r="AN586" s="22"/>
      <c r="AO586" s="22"/>
    </row>
    <row r="587" ht="14.25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55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  <c r="AF587" s="22"/>
      <c r="AG587" s="22"/>
      <c r="AH587" s="22"/>
      <c r="AI587" s="22"/>
      <c r="AJ587" s="22"/>
      <c r="AK587" s="22"/>
      <c r="AL587" s="22"/>
      <c r="AM587" s="22"/>
      <c r="AN587" s="22"/>
      <c r="AO587" s="22"/>
    </row>
    <row r="588" ht="14.2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55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  <c r="AF588" s="22"/>
      <c r="AG588" s="22"/>
      <c r="AH588" s="22"/>
      <c r="AI588" s="22"/>
      <c r="AJ588" s="22"/>
      <c r="AK588" s="22"/>
      <c r="AL588" s="22"/>
      <c r="AM588" s="22"/>
      <c r="AN588" s="22"/>
      <c r="AO588" s="22"/>
    </row>
    <row r="589" ht="14.25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55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22"/>
      <c r="AF589" s="22"/>
      <c r="AG589" s="22"/>
      <c r="AH589" s="22"/>
      <c r="AI589" s="22"/>
      <c r="AJ589" s="22"/>
      <c r="AK589" s="22"/>
      <c r="AL589" s="22"/>
      <c r="AM589" s="22"/>
      <c r="AN589" s="22"/>
      <c r="AO589" s="22"/>
    </row>
    <row r="590" ht="14.2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55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  <c r="AE590" s="22"/>
      <c r="AF590" s="22"/>
      <c r="AG590" s="22"/>
      <c r="AH590" s="22"/>
      <c r="AI590" s="22"/>
      <c r="AJ590" s="22"/>
      <c r="AK590" s="22"/>
      <c r="AL590" s="22"/>
      <c r="AM590" s="22"/>
      <c r="AN590" s="22"/>
      <c r="AO590" s="22"/>
    </row>
    <row r="591" ht="14.25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55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22"/>
      <c r="AF591" s="22"/>
      <c r="AG591" s="22"/>
      <c r="AH591" s="22"/>
      <c r="AI591" s="22"/>
      <c r="AJ591" s="22"/>
      <c r="AK591" s="22"/>
      <c r="AL591" s="22"/>
      <c r="AM591" s="22"/>
      <c r="AN591" s="22"/>
      <c r="AO591" s="22"/>
    </row>
    <row r="592" ht="14.2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55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  <c r="AE592" s="22"/>
      <c r="AF592" s="22"/>
      <c r="AG592" s="22"/>
      <c r="AH592" s="22"/>
      <c r="AI592" s="22"/>
      <c r="AJ592" s="22"/>
      <c r="AK592" s="22"/>
      <c r="AL592" s="22"/>
      <c r="AM592" s="22"/>
      <c r="AN592" s="22"/>
      <c r="AO592" s="22"/>
    </row>
    <row r="593" ht="14.25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55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  <c r="AF593" s="22"/>
      <c r="AG593" s="22"/>
      <c r="AH593" s="22"/>
      <c r="AI593" s="22"/>
      <c r="AJ593" s="22"/>
      <c r="AK593" s="22"/>
      <c r="AL593" s="22"/>
      <c r="AM593" s="22"/>
      <c r="AN593" s="22"/>
      <c r="AO593" s="22"/>
    </row>
    <row r="594" ht="14.2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55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  <c r="AE594" s="22"/>
      <c r="AF594" s="22"/>
      <c r="AG594" s="22"/>
      <c r="AH594" s="22"/>
      <c r="AI594" s="22"/>
      <c r="AJ594" s="22"/>
      <c r="AK594" s="22"/>
      <c r="AL594" s="22"/>
      <c r="AM594" s="22"/>
      <c r="AN594" s="22"/>
      <c r="AO594" s="22"/>
    </row>
    <row r="595" ht="14.25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55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  <c r="AF595" s="22"/>
      <c r="AG595" s="22"/>
      <c r="AH595" s="22"/>
      <c r="AI595" s="22"/>
      <c r="AJ595" s="22"/>
      <c r="AK595" s="22"/>
      <c r="AL595" s="22"/>
      <c r="AM595" s="22"/>
      <c r="AN595" s="22"/>
      <c r="AO595" s="22"/>
    </row>
    <row r="596" ht="14.2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55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  <c r="AF596" s="22"/>
      <c r="AG596" s="22"/>
      <c r="AH596" s="22"/>
      <c r="AI596" s="22"/>
      <c r="AJ596" s="22"/>
      <c r="AK596" s="22"/>
      <c r="AL596" s="22"/>
      <c r="AM596" s="22"/>
      <c r="AN596" s="22"/>
      <c r="AO596" s="22"/>
    </row>
    <row r="597" ht="14.25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55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  <c r="AF597" s="22"/>
      <c r="AG597" s="22"/>
      <c r="AH597" s="22"/>
      <c r="AI597" s="22"/>
      <c r="AJ597" s="22"/>
      <c r="AK597" s="22"/>
      <c r="AL597" s="22"/>
      <c r="AM597" s="22"/>
      <c r="AN597" s="22"/>
      <c r="AO597" s="22"/>
    </row>
    <row r="598" ht="14.2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55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  <c r="AE598" s="22"/>
      <c r="AF598" s="22"/>
      <c r="AG598" s="22"/>
      <c r="AH598" s="22"/>
      <c r="AI598" s="22"/>
      <c r="AJ598" s="22"/>
      <c r="AK598" s="22"/>
      <c r="AL598" s="22"/>
      <c r="AM598" s="22"/>
      <c r="AN598" s="22"/>
      <c r="AO598" s="22"/>
    </row>
    <row r="599" ht="14.2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55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  <c r="AF599" s="22"/>
      <c r="AG599" s="22"/>
      <c r="AH599" s="22"/>
      <c r="AI599" s="22"/>
      <c r="AJ599" s="22"/>
      <c r="AK599" s="22"/>
      <c r="AL599" s="22"/>
      <c r="AM599" s="22"/>
      <c r="AN599" s="22"/>
      <c r="AO599" s="22"/>
    </row>
    <row r="600" ht="14.2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55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  <c r="AF600" s="22"/>
      <c r="AG600" s="22"/>
      <c r="AH600" s="22"/>
      <c r="AI600" s="22"/>
      <c r="AJ600" s="22"/>
      <c r="AK600" s="22"/>
      <c r="AL600" s="22"/>
      <c r="AM600" s="22"/>
      <c r="AN600" s="22"/>
      <c r="AO600" s="22"/>
    </row>
    <row r="601" ht="14.25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55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  <c r="AF601" s="22"/>
      <c r="AG601" s="22"/>
      <c r="AH601" s="22"/>
      <c r="AI601" s="22"/>
      <c r="AJ601" s="22"/>
      <c r="AK601" s="22"/>
      <c r="AL601" s="22"/>
      <c r="AM601" s="22"/>
      <c r="AN601" s="22"/>
      <c r="AO601" s="22"/>
    </row>
    <row r="602" ht="14.2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55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22"/>
      <c r="AF602" s="22"/>
      <c r="AG602" s="22"/>
      <c r="AH602" s="22"/>
      <c r="AI602" s="22"/>
      <c r="AJ602" s="22"/>
      <c r="AK602" s="22"/>
      <c r="AL602" s="22"/>
      <c r="AM602" s="22"/>
      <c r="AN602" s="22"/>
      <c r="AO602" s="22"/>
    </row>
    <row r="603" ht="14.25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55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  <c r="AF603" s="22"/>
      <c r="AG603" s="22"/>
      <c r="AH603" s="22"/>
      <c r="AI603" s="22"/>
      <c r="AJ603" s="22"/>
      <c r="AK603" s="22"/>
      <c r="AL603" s="22"/>
      <c r="AM603" s="22"/>
      <c r="AN603" s="22"/>
      <c r="AO603" s="22"/>
    </row>
    <row r="604" ht="14.2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55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  <c r="AF604" s="22"/>
      <c r="AG604" s="22"/>
      <c r="AH604" s="22"/>
      <c r="AI604" s="22"/>
      <c r="AJ604" s="22"/>
      <c r="AK604" s="22"/>
      <c r="AL604" s="22"/>
      <c r="AM604" s="22"/>
      <c r="AN604" s="22"/>
      <c r="AO604" s="22"/>
    </row>
    <row r="605" ht="14.25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55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  <c r="AF605" s="22"/>
      <c r="AG605" s="22"/>
      <c r="AH605" s="22"/>
      <c r="AI605" s="22"/>
      <c r="AJ605" s="22"/>
      <c r="AK605" s="22"/>
      <c r="AL605" s="22"/>
      <c r="AM605" s="22"/>
      <c r="AN605" s="22"/>
      <c r="AO605" s="22"/>
    </row>
    <row r="606" ht="14.2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55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  <c r="AF606" s="22"/>
      <c r="AG606" s="22"/>
      <c r="AH606" s="22"/>
      <c r="AI606" s="22"/>
      <c r="AJ606" s="22"/>
      <c r="AK606" s="22"/>
      <c r="AL606" s="22"/>
      <c r="AM606" s="22"/>
      <c r="AN606" s="22"/>
      <c r="AO606" s="22"/>
    </row>
    <row r="607" ht="14.2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55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  <c r="AF607" s="22"/>
      <c r="AG607" s="22"/>
      <c r="AH607" s="22"/>
      <c r="AI607" s="22"/>
      <c r="AJ607" s="22"/>
      <c r="AK607" s="22"/>
      <c r="AL607" s="22"/>
      <c r="AM607" s="22"/>
      <c r="AN607" s="22"/>
      <c r="AO607" s="22"/>
    </row>
    <row r="608" ht="14.2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55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  <c r="AF608" s="22"/>
      <c r="AG608" s="22"/>
      <c r="AH608" s="22"/>
      <c r="AI608" s="22"/>
      <c r="AJ608" s="22"/>
      <c r="AK608" s="22"/>
      <c r="AL608" s="22"/>
      <c r="AM608" s="22"/>
      <c r="AN608" s="22"/>
      <c r="AO608" s="22"/>
    </row>
    <row r="609" ht="14.2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55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  <c r="AF609" s="22"/>
      <c r="AG609" s="22"/>
      <c r="AH609" s="22"/>
      <c r="AI609" s="22"/>
      <c r="AJ609" s="22"/>
      <c r="AK609" s="22"/>
      <c r="AL609" s="22"/>
      <c r="AM609" s="22"/>
      <c r="AN609" s="22"/>
      <c r="AO609" s="22"/>
    </row>
    <row r="610" ht="14.2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55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  <c r="AF610" s="22"/>
      <c r="AG610" s="22"/>
      <c r="AH610" s="22"/>
      <c r="AI610" s="22"/>
      <c r="AJ610" s="22"/>
      <c r="AK610" s="22"/>
      <c r="AL610" s="22"/>
      <c r="AM610" s="22"/>
      <c r="AN610" s="22"/>
      <c r="AO610" s="22"/>
    </row>
    <row r="611" ht="14.2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55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22"/>
      <c r="AF611" s="22"/>
      <c r="AG611" s="22"/>
      <c r="AH611" s="22"/>
      <c r="AI611" s="22"/>
      <c r="AJ611" s="22"/>
      <c r="AK611" s="22"/>
      <c r="AL611" s="22"/>
      <c r="AM611" s="22"/>
      <c r="AN611" s="22"/>
      <c r="AO611" s="22"/>
    </row>
    <row r="612" ht="14.2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55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22"/>
      <c r="AF612" s="22"/>
      <c r="AG612" s="22"/>
      <c r="AH612" s="22"/>
      <c r="AI612" s="22"/>
      <c r="AJ612" s="22"/>
      <c r="AK612" s="22"/>
      <c r="AL612" s="22"/>
      <c r="AM612" s="22"/>
      <c r="AN612" s="22"/>
      <c r="AO612" s="22"/>
    </row>
    <row r="613" ht="14.2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55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2"/>
      <c r="AF613" s="22"/>
      <c r="AG613" s="22"/>
      <c r="AH613" s="22"/>
      <c r="AI613" s="22"/>
      <c r="AJ613" s="22"/>
      <c r="AK613" s="22"/>
      <c r="AL613" s="22"/>
      <c r="AM613" s="22"/>
      <c r="AN613" s="22"/>
      <c r="AO613" s="22"/>
    </row>
    <row r="614" ht="14.2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55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  <c r="AE614" s="22"/>
      <c r="AF614" s="22"/>
      <c r="AG614" s="22"/>
      <c r="AH614" s="22"/>
      <c r="AI614" s="22"/>
      <c r="AJ614" s="22"/>
      <c r="AK614" s="22"/>
      <c r="AL614" s="22"/>
      <c r="AM614" s="22"/>
      <c r="AN614" s="22"/>
      <c r="AO614" s="22"/>
    </row>
    <row r="615" ht="14.2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55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  <c r="AF615" s="22"/>
      <c r="AG615" s="22"/>
      <c r="AH615" s="22"/>
      <c r="AI615" s="22"/>
      <c r="AJ615" s="22"/>
      <c r="AK615" s="22"/>
      <c r="AL615" s="22"/>
      <c r="AM615" s="22"/>
      <c r="AN615" s="22"/>
      <c r="AO615" s="22"/>
    </row>
    <row r="616" ht="14.2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55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  <c r="AE616" s="22"/>
      <c r="AF616" s="22"/>
      <c r="AG616" s="22"/>
      <c r="AH616" s="22"/>
      <c r="AI616" s="22"/>
      <c r="AJ616" s="22"/>
      <c r="AK616" s="22"/>
      <c r="AL616" s="22"/>
      <c r="AM616" s="22"/>
      <c r="AN616" s="22"/>
      <c r="AO616" s="22"/>
    </row>
    <row r="617" ht="14.2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55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2"/>
      <c r="AF617" s="22"/>
      <c r="AG617" s="22"/>
      <c r="AH617" s="22"/>
      <c r="AI617" s="22"/>
      <c r="AJ617" s="22"/>
      <c r="AK617" s="22"/>
      <c r="AL617" s="22"/>
      <c r="AM617" s="22"/>
      <c r="AN617" s="22"/>
      <c r="AO617" s="22"/>
    </row>
    <row r="618" ht="14.2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55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  <c r="AE618" s="22"/>
      <c r="AF618" s="22"/>
      <c r="AG618" s="22"/>
      <c r="AH618" s="22"/>
      <c r="AI618" s="22"/>
      <c r="AJ618" s="22"/>
      <c r="AK618" s="22"/>
      <c r="AL618" s="22"/>
      <c r="AM618" s="22"/>
      <c r="AN618" s="22"/>
      <c r="AO618" s="22"/>
    </row>
    <row r="619" ht="14.2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55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  <c r="AE619" s="22"/>
      <c r="AF619" s="22"/>
      <c r="AG619" s="22"/>
      <c r="AH619" s="22"/>
      <c r="AI619" s="22"/>
      <c r="AJ619" s="22"/>
      <c r="AK619" s="22"/>
      <c r="AL619" s="22"/>
      <c r="AM619" s="22"/>
      <c r="AN619" s="22"/>
      <c r="AO619" s="22"/>
    </row>
    <row r="620" ht="14.2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55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  <c r="AE620" s="22"/>
      <c r="AF620" s="22"/>
      <c r="AG620" s="22"/>
      <c r="AH620" s="22"/>
      <c r="AI620" s="22"/>
      <c r="AJ620" s="22"/>
      <c r="AK620" s="22"/>
      <c r="AL620" s="22"/>
      <c r="AM620" s="22"/>
      <c r="AN620" s="22"/>
      <c r="AO620" s="22"/>
    </row>
    <row r="621" ht="14.2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55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  <c r="AF621" s="22"/>
      <c r="AG621" s="22"/>
      <c r="AH621" s="22"/>
      <c r="AI621" s="22"/>
      <c r="AJ621" s="22"/>
      <c r="AK621" s="22"/>
      <c r="AL621" s="22"/>
      <c r="AM621" s="22"/>
      <c r="AN621" s="22"/>
      <c r="AO621" s="22"/>
    </row>
    <row r="622" ht="14.2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55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  <c r="AF622" s="22"/>
      <c r="AG622" s="22"/>
      <c r="AH622" s="22"/>
      <c r="AI622" s="22"/>
      <c r="AJ622" s="22"/>
      <c r="AK622" s="22"/>
      <c r="AL622" s="22"/>
      <c r="AM622" s="22"/>
      <c r="AN622" s="22"/>
      <c r="AO622" s="22"/>
    </row>
    <row r="623" ht="14.2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55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  <c r="AF623" s="22"/>
      <c r="AG623" s="22"/>
      <c r="AH623" s="22"/>
      <c r="AI623" s="22"/>
      <c r="AJ623" s="22"/>
      <c r="AK623" s="22"/>
      <c r="AL623" s="22"/>
      <c r="AM623" s="22"/>
      <c r="AN623" s="22"/>
      <c r="AO623" s="22"/>
    </row>
    <row r="624" ht="14.2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55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  <c r="AE624" s="22"/>
      <c r="AF624" s="22"/>
      <c r="AG624" s="22"/>
      <c r="AH624" s="22"/>
      <c r="AI624" s="22"/>
      <c r="AJ624" s="22"/>
      <c r="AK624" s="22"/>
      <c r="AL624" s="22"/>
      <c r="AM624" s="22"/>
      <c r="AN624" s="22"/>
      <c r="AO624" s="22"/>
    </row>
    <row r="625" ht="14.2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55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22"/>
      <c r="AF625" s="22"/>
      <c r="AG625" s="22"/>
      <c r="AH625" s="22"/>
      <c r="AI625" s="22"/>
      <c r="AJ625" s="22"/>
      <c r="AK625" s="22"/>
      <c r="AL625" s="22"/>
      <c r="AM625" s="22"/>
      <c r="AN625" s="22"/>
      <c r="AO625" s="22"/>
    </row>
    <row r="626" ht="14.2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55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  <c r="AE626" s="22"/>
      <c r="AF626" s="22"/>
      <c r="AG626" s="22"/>
      <c r="AH626" s="22"/>
      <c r="AI626" s="22"/>
      <c r="AJ626" s="22"/>
      <c r="AK626" s="22"/>
      <c r="AL626" s="22"/>
      <c r="AM626" s="22"/>
      <c r="AN626" s="22"/>
      <c r="AO626" s="22"/>
    </row>
    <row r="627" ht="14.2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55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  <c r="AE627" s="22"/>
      <c r="AF627" s="22"/>
      <c r="AG627" s="22"/>
      <c r="AH627" s="22"/>
      <c r="AI627" s="22"/>
      <c r="AJ627" s="22"/>
      <c r="AK627" s="22"/>
      <c r="AL627" s="22"/>
      <c r="AM627" s="22"/>
      <c r="AN627" s="22"/>
      <c r="AO627" s="22"/>
    </row>
    <row r="628" ht="14.2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55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  <c r="AE628" s="22"/>
      <c r="AF628" s="22"/>
      <c r="AG628" s="22"/>
      <c r="AH628" s="22"/>
      <c r="AI628" s="22"/>
      <c r="AJ628" s="22"/>
      <c r="AK628" s="22"/>
      <c r="AL628" s="22"/>
      <c r="AM628" s="22"/>
      <c r="AN628" s="22"/>
      <c r="AO628" s="22"/>
    </row>
    <row r="629" ht="14.2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55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  <c r="AE629" s="22"/>
      <c r="AF629" s="22"/>
      <c r="AG629" s="22"/>
      <c r="AH629" s="22"/>
      <c r="AI629" s="22"/>
      <c r="AJ629" s="22"/>
      <c r="AK629" s="22"/>
      <c r="AL629" s="22"/>
      <c r="AM629" s="22"/>
      <c r="AN629" s="22"/>
      <c r="AO629" s="22"/>
    </row>
    <row r="630" ht="14.2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55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  <c r="AE630" s="22"/>
      <c r="AF630" s="22"/>
      <c r="AG630" s="22"/>
      <c r="AH630" s="22"/>
      <c r="AI630" s="22"/>
      <c r="AJ630" s="22"/>
      <c r="AK630" s="22"/>
      <c r="AL630" s="22"/>
      <c r="AM630" s="22"/>
      <c r="AN630" s="22"/>
      <c r="AO630" s="22"/>
    </row>
    <row r="631" ht="14.2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55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  <c r="AE631" s="22"/>
      <c r="AF631" s="22"/>
      <c r="AG631" s="22"/>
      <c r="AH631" s="22"/>
      <c r="AI631" s="22"/>
      <c r="AJ631" s="22"/>
      <c r="AK631" s="22"/>
      <c r="AL631" s="22"/>
      <c r="AM631" s="22"/>
      <c r="AN631" s="22"/>
      <c r="AO631" s="22"/>
    </row>
    <row r="632" ht="14.2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55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  <c r="AE632" s="22"/>
      <c r="AF632" s="22"/>
      <c r="AG632" s="22"/>
      <c r="AH632" s="22"/>
      <c r="AI632" s="22"/>
      <c r="AJ632" s="22"/>
      <c r="AK632" s="22"/>
      <c r="AL632" s="22"/>
      <c r="AM632" s="22"/>
      <c r="AN632" s="22"/>
      <c r="AO632" s="22"/>
    </row>
    <row r="633" ht="14.2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55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  <c r="AE633" s="22"/>
      <c r="AF633" s="22"/>
      <c r="AG633" s="22"/>
      <c r="AH633" s="22"/>
      <c r="AI633" s="22"/>
      <c r="AJ633" s="22"/>
      <c r="AK633" s="22"/>
      <c r="AL633" s="22"/>
      <c r="AM633" s="22"/>
      <c r="AN633" s="22"/>
      <c r="AO633" s="22"/>
    </row>
    <row r="634" ht="14.2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55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  <c r="AE634" s="22"/>
      <c r="AF634" s="22"/>
      <c r="AG634" s="22"/>
      <c r="AH634" s="22"/>
      <c r="AI634" s="22"/>
      <c r="AJ634" s="22"/>
      <c r="AK634" s="22"/>
      <c r="AL634" s="22"/>
      <c r="AM634" s="22"/>
      <c r="AN634" s="22"/>
      <c r="AO634" s="22"/>
    </row>
    <row r="635" ht="14.2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55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  <c r="AE635" s="22"/>
      <c r="AF635" s="22"/>
      <c r="AG635" s="22"/>
      <c r="AH635" s="22"/>
      <c r="AI635" s="22"/>
      <c r="AJ635" s="22"/>
      <c r="AK635" s="22"/>
      <c r="AL635" s="22"/>
      <c r="AM635" s="22"/>
      <c r="AN635" s="22"/>
      <c r="AO635" s="22"/>
    </row>
    <row r="636" ht="14.2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55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  <c r="AE636" s="22"/>
      <c r="AF636" s="22"/>
      <c r="AG636" s="22"/>
      <c r="AH636" s="22"/>
      <c r="AI636" s="22"/>
      <c r="AJ636" s="22"/>
      <c r="AK636" s="22"/>
      <c r="AL636" s="22"/>
      <c r="AM636" s="22"/>
      <c r="AN636" s="22"/>
      <c r="AO636" s="22"/>
    </row>
    <row r="637" ht="14.2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55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  <c r="AE637" s="22"/>
      <c r="AF637" s="22"/>
      <c r="AG637" s="22"/>
      <c r="AH637" s="22"/>
      <c r="AI637" s="22"/>
      <c r="AJ637" s="22"/>
      <c r="AK637" s="22"/>
      <c r="AL637" s="22"/>
      <c r="AM637" s="22"/>
      <c r="AN637" s="22"/>
      <c r="AO637" s="22"/>
    </row>
    <row r="638" ht="14.2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55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  <c r="AE638" s="22"/>
      <c r="AF638" s="22"/>
      <c r="AG638" s="22"/>
      <c r="AH638" s="22"/>
      <c r="AI638" s="22"/>
      <c r="AJ638" s="22"/>
      <c r="AK638" s="22"/>
      <c r="AL638" s="22"/>
      <c r="AM638" s="22"/>
      <c r="AN638" s="22"/>
      <c r="AO638" s="22"/>
    </row>
    <row r="639" ht="14.2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55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  <c r="AE639" s="22"/>
      <c r="AF639" s="22"/>
      <c r="AG639" s="22"/>
      <c r="AH639" s="22"/>
      <c r="AI639" s="22"/>
      <c r="AJ639" s="22"/>
      <c r="AK639" s="22"/>
      <c r="AL639" s="22"/>
      <c r="AM639" s="22"/>
      <c r="AN639" s="22"/>
      <c r="AO639" s="22"/>
    </row>
    <row r="640" ht="14.2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55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  <c r="AE640" s="22"/>
      <c r="AF640" s="22"/>
      <c r="AG640" s="22"/>
      <c r="AH640" s="22"/>
      <c r="AI640" s="22"/>
      <c r="AJ640" s="22"/>
      <c r="AK640" s="22"/>
      <c r="AL640" s="22"/>
      <c r="AM640" s="22"/>
      <c r="AN640" s="22"/>
      <c r="AO640" s="22"/>
    </row>
    <row r="641" ht="14.2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55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  <c r="AE641" s="22"/>
      <c r="AF641" s="22"/>
      <c r="AG641" s="22"/>
      <c r="AH641" s="22"/>
      <c r="AI641" s="22"/>
      <c r="AJ641" s="22"/>
      <c r="AK641" s="22"/>
      <c r="AL641" s="22"/>
      <c r="AM641" s="22"/>
      <c r="AN641" s="22"/>
      <c r="AO641" s="22"/>
    </row>
    <row r="642" ht="14.2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55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  <c r="AE642" s="22"/>
      <c r="AF642" s="22"/>
      <c r="AG642" s="22"/>
      <c r="AH642" s="22"/>
      <c r="AI642" s="22"/>
      <c r="AJ642" s="22"/>
      <c r="AK642" s="22"/>
      <c r="AL642" s="22"/>
      <c r="AM642" s="22"/>
      <c r="AN642" s="22"/>
      <c r="AO642" s="22"/>
    </row>
    <row r="643" ht="14.2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55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  <c r="AF643" s="22"/>
      <c r="AG643" s="22"/>
      <c r="AH643" s="22"/>
      <c r="AI643" s="22"/>
      <c r="AJ643" s="22"/>
      <c r="AK643" s="22"/>
      <c r="AL643" s="22"/>
      <c r="AM643" s="22"/>
      <c r="AN643" s="22"/>
      <c r="AO643" s="22"/>
    </row>
    <row r="644" ht="14.2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55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  <c r="AE644" s="22"/>
      <c r="AF644" s="22"/>
      <c r="AG644" s="22"/>
      <c r="AH644" s="22"/>
      <c r="AI644" s="22"/>
      <c r="AJ644" s="22"/>
      <c r="AK644" s="22"/>
      <c r="AL644" s="22"/>
      <c r="AM644" s="22"/>
      <c r="AN644" s="22"/>
      <c r="AO644" s="22"/>
    </row>
    <row r="645" ht="14.2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55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  <c r="AE645" s="22"/>
      <c r="AF645" s="22"/>
      <c r="AG645" s="22"/>
      <c r="AH645" s="22"/>
      <c r="AI645" s="22"/>
      <c r="AJ645" s="22"/>
      <c r="AK645" s="22"/>
      <c r="AL645" s="22"/>
      <c r="AM645" s="22"/>
      <c r="AN645" s="22"/>
      <c r="AO645" s="22"/>
    </row>
    <row r="646" ht="14.2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55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  <c r="AE646" s="22"/>
      <c r="AF646" s="22"/>
      <c r="AG646" s="22"/>
      <c r="AH646" s="22"/>
      <c r="AI646" s="22"/>
      <c r="AJ646" s="22"/>
      <c r="AK646" s="22"/>
      <c r="AL646" s="22"/>
      <c r="AM646" s="22"/>
      <c r="AN646" s="22"/>
      <c r="AO646" s="22"/>
    </row>
    <row r="647" ht="14.2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55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22"/>
      <c r="AF647" s="22"/>
      <c r="AG647" s="22"/>
      <c r="AH647" s="22"/>
      <c r="AI647" s="22"/>
      <c r="AJ647" s="22"/>
      <c r="AK647" s="22"/>
      <c r="AL647" s="22"/>
      <c r="AM647" s="22"/>
      <c r="AN647" s="22"/>
      <c r="AO647" s="22"/>
    </row>
    <row r="648" ht="14.2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55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  <c r="AE648" s="22"/>
      <c r="AF648" s="22"/>
      <c r="AG648" s="22"/>
      <c r="AH648" s="22"/>
      <c r="AI648" s="22"/>
      <c r="AJ648" s="22"/>
      <c r="AK648" s="22"/>
      <c r="AL648" s="22"/>
      <c r="AM648" s="22"/>
      <c r="AN648" s="22"/>
      <c r="AO648" s="22"/>
    </row>
    <row r="649" ht="14.2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55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  <c r="AE649" s="22"/>
      <c r="AF649" s="22"/>
      <c r="AG649" s="22"/>
      <c r="AH649" s="22"/>
      <c r="AI649" s="22"/>
      <c r="AJ649" s="22"/>
      <c r="AK649" s="22"/>
      <c r="AL649" s="22"/>
      <c r="AM649" s="22"/>
      <c r="AN649" s="22"/>
      <c r="AO649" s="22"/>
    </row>
    <row r="650" ht="14.2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55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  <c r="AE650" s="22"/>
      <c r="AF650" s="22"/>
      <c r="AG650" s="22"/>
      <c r="AH650" s="22"/>
      <c r="AI650" s="22"/>
      <c r="AJ650" s="22"/>
      <c r="AK650" s="22"/>
      <c r="AL650" s="22"/>
      <c r="AM650" s="22"/>
      <c r="AN650" s="22"/>
      <c r="AO650" s="22"/>
    </row>
    <row r="651" ht="14.2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55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  <c r="AE651" s="22"/>
      <c r="AF651" s="22"/>
      <c r="AG651" s="22"/>
      <c r="AH651" s="22"/>
      <c r="AI651" s="22"/>
      <c r="AJ651" s="22"/>
      <c r="AK651" s="22"/>
      <c r="AL651" s="22"/>
      <c r="AM651" s="22"/>
      <c r="AN651" s="22"/>
      <c r="AO651" s="22"/>
    </row>
    <row r="652" ht="14.2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55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  <c r="AE652" s="22"/>
      <c r="AF652" s="22"/>
      <c r="AG652" s="22"/>
      <c r="AH652" s="22"/>
      <c r="AI652" s="22"/>
      <c r="AJ652" s="22"/>
      <c r="AK652" s="22"/>
      <c r="AL652" s="22"/>
      <c r="AM652" s="22"/>
      <c r="AN652" s="22"/>
      <c r="AO652" s="22"/>
    </row>
    <row r="653" ht="14.2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55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  <c r="AE653" s="22"/>
      <c r="AF653" s="22"/>
      <c r="AG653" s="22"/>
      <c r="AH653" s="22"/>
      <c r="AI653" s="22"/>
      <c r="AJ653" s="22"/>
      <c r="AK653" s="22"/>
      <c r="AL653" s="22"/>
      <c r="AM653" s="22"/>
      <c r="AN653" s="22"/>
      <c r="AO653" s="22"/>
    </row>
    <row r="654" ht="14.2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55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  <c r="AE654" s="22"/>
      <c r="AF654" s="22"/>
      <c r="AG654" s="22"/>
      <c r="AH654" s="22"/>
      <c r="AI654" s="22"/>
      <c r="AJ654" s="22"/>
      <c r="AK654" s="22"/>
      <c r="AL654" s="22"/>
      <c r="AM654" s="22"/>
      <c r="AN654" s="22"/>
      <c r="AO654" s="22"/>
    </row>
    <row r="655" ht="14.2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55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  <c r="AE655" s="22"/>
      <c r="AF655" s="22"/>
      <c r="AG655" s="22"/>
      <c r="AH655" s="22"/>
      <c r="AI655" s="22"/>
      <c r="AJ655" s="22"/>
      <c r="AK655" s="22"/>
      <c r="AL655" s="22"/>
      <c r="AM655" s="22"/>
      <c r="AN655" s="22"/>
      <c r="AO655" s="22"/>
    </row>
    <row r="656" ht="14.2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55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  <c r="AE656" s="22"/>
      <c r="AF656" s="22"/>
      <c r="AG656" s="22"/>
      <c r="AH656" s="22"/>
      <c r="AI656" s="22"/>
      <c r="AJ656" s="22"/>
      <c r="AK656" s="22"/>
      <c r="AL656" s="22"/>
      <c r="AM656" s="22"/>
      <c r="AN656" s="22"/>
      <c r="AO656" s="22"/>
    </row>
    <row r="657" ht="14.2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55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  <c r="AE657" s="22"/>
      <c r="AF657" s="22"/>
      <c r="AG657" s="22"/>
      <c r="AH657" s="22"/>
      <c r="AI657" s="22"/>
      <c r="AJ657" s="22"/>
      <c r="AK657" s="22"/>
      <c r="AL657" s="22"/>
      <c r="AM657" s="22"/>
      <c r="AN657" s="22"/>
      <c r="AO657" s="22"/>
    </row>
    <row r="658" ht="14.2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55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  <c r="AE658" s="22"/>
      <c r="AF658" s="22"/>
      <c r="AG658" s="22"/>
      <c r="AH658" s="22"/>
      <c r="AI658" s="22"/>
      <c r="AJ658" s="22"/>
      <c r="AK658" s="22"/>
      <c r="AL658" s="22"/>
      <c r="AM658" s="22"/>
      <c r="AN658" s="22"/>
      <c r="AO658" s="22"/>
    </row>
    <row r="659" ht="14.2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55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  <c r="AE659" s="22"/>
      <c r="AF659" s="22"/>
      <c r="AG659" s="22"/>
      <c r="AH659" s="22"/>
      <c r="AI659" s="22"/>
      <c r="AJ659" s="22"/>
      <c r="AK659" s="22"/>
      <c r="AL659" s="22"/>
      <c r="AM659" s="22"/>
      <c r="AN659" s="22"/>
      <c r="AO659" s="22"/>
    </row>
    <row r="660" ht="14.2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55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  <c r="AE660" s="22"/>
      <c r="AF660" s="22"/>
      <c r="AG660" s="22"/>
      <c r="AH660" s="22"/>
      <c r="AI660" s="22"/>
      <c r="AJ660" s="22"/>
      <c r="AK660" s="22"/>
      <c r="AL660" s="22"/>
      <c r="AM660" s="22"/>
      <c r="AN660" s="22"/>
      <c r="AO660" s="22"/>
    </row>
    <row r="661" ht="14.2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55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  <c r="AE661" s="22"/>
      <c r="AF661" s="22"/>
      <c r="AG661" s="22"/>
      <c r="AH661" s="22"/>
      <c r="AI661" s="22"/>
      <c r="AJ661" s="22"/>
      <c r="AK661" s="22"/>
      <c r="AL661" s="22"/>
      <c r="AM661" s="22"/>
      <c r="AN661" s="22"/>
      <c r="AO661" s="22"/>
    </row>
    <row r="662" ht="14.2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55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  <c r="AE662" s="22"/>
      <c r="AF662" s="22"/>
      <c r="AG662" s="22"/>
      <c r="AH662" s="22"/>
      <c r="AI662" s="22"/>
      <c r="AJ662" s="22"/>
      <c r="AK662" s="22"/>
      <c r="AL662" s="22"/>
      <c r="AM662" s="22"/>
      <c r="AN662" s="22"/>
      <c r="AO662" s="22"/>
    </row>
    <row r="663" ht="14.2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55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  <c r="AE663" s="22"/>
      <c r="AF663" s="22"/>
      <c r="AG663" s="22"/>
      <c r="AH663" s="22"/>
      <c r="AI663" s="22"/>
      <c r="AJ663" s="22"/>
      <c r="AK663" s="22"/>
      <c r="AL663" s="22"/>
      <c r="AM663" s="22"/>
      <c r="AN663" s="22"/>
      <c r="AO663" s="22"/>
    </row>
    <row r="664" ht="14.2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55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  <c r="AE664" s="22"/>
      <c r="AF664" s="22"/>
      <c r="AG664" s="22"/>
      <c r="AH664" s="22"/>
      <c r="AI664" s="22"/>
      <c r="AJ664" s="22"/>
      <c r="AK664" s="22"/>
      <c r="AL664" s="22"/>
      <c r="AM664" s="22"/>
      <c r="AN664" s="22"/>
      <c r="AO664" s="22"/>
    </row>
    <row r="665" ht="14.2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55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  <c r="AE665" s="22"/>
      <c r="AF665" s="22"/>
      <c r="AG665" s="22"/>
      <c r="AH665" s="22"/>
      <c r="AI665" s="22"/>
      <c r="AJ665" s="22"/>
      <c r="AK665" s="22"/>
      <c r="AL665" s="22"/>
      <c r="AM665" s="22"/>
      <c r="AN665" s="22"/>
      <c r="AO665" s="22"/>
    </row>
    <row r="666" ht="14.2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55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  <c r="AE666" s="22"/>
      <c r="AF666" s="22"/>
      <c r="AG666" s="22"/>
      <c r="AH666" s="22"/>
      <c r="AI666" s="22"/>
      <c r="AJ666" s="22"/>
      <c r="AK666" s="22"/>
      <c r="AL666" s="22"/>
      <c r="AM666" s="22"/>
      <c r="AN666" s="22"/>
      <c r="AO666" s="22"/>
    </row>
    <row r="667" ht="14.2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55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  <c r="AE667" s="22"/>
      <c r="AF667" s="22"/>
      <c r="AG667" s="22"/>
      <c r="AH667" s="22"/>
      <c r="AI667" s="22"/>
      <c r="AJ667" s="22"/>
      <c r="AK667" s="22"/>
      <c r="AL667" s="22"/>
      <c r="AM667" s="22"/>
      <c r="AN667" s="22"/>
      <c r="AO667" s="22"/>
    </row>
    <row r="668" ht="14.2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55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  <c r="AE668" s="22"/>
      <c r="AF668" s="22"/>
      <c r="AG668" s="22"/>
      <c r="AH668" s="22"/>
      <c r="AI668" s="22"/>
      <c r="AJ668" s="22"/>
      <c r="AK668" s="22"/>
      <c r="AL668" s="22"/>
      <c r="AM668" s="22"/>
      <c r="AN668" s="22"/>
      <c r="AO668" s="22"/>
    </row>
    <row r="669" ht="14.2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55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  <c r="AE669" s="22"/>
      <c r="AF669" s="22"/>
      <c r="AG669" s="22"/>
      <c r="AH669" s="22"/>
      <c r="AI669" s="22"/>
      <c r="AJ669" s="22"/>
      <c r="AK669" s="22"/>
      <c r="AL669" s="22"/>
      <c r="AM669" s="22"/>
      <c r="AN669" s="22"/>
      <c r="AO669" s="22"/>
    </row>
    <row r="670" ht="14.2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55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  <c r="AE670" s="22"/>
      <c r="AF670" s="22"/>
      <c r="AG670" s="22"/>
      <c r="AH670" s="22"/>
      <c r="AI670" s="22"/>
      <c r="AJ670" s="22"/>
      <c r="AK670" s="22"/>
      <c r="AL670" s="22"/>
      <c r="AM670" s="22"/>
      <c r="AN670" s="22"/>
      <c r="AO670" s="22"/>
    </row>
    <row r="671" ht="14.2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55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  <c r="AE671" s="22"/>
      <c r="AF671" s="22"/>
      <c r="AG671" s="22"/>
      <c r="AH671" s="22"/>
      <c r="AI671" s="22"/>
      <c r="AJ671" s="22"/>
      <c r="AK671" s="22"/>
      <c r="AL671" s="22"/>
      <c r="AM671" s="22"/>
      <c r="AN671" s="22"/>
      <c r="AO671" s="22"/>
    </row>
    <row r="672" ht="14.2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55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  <c r="AE672" s="22"/>
      <c r="AF672" s="22"/>
      <c r="AG672" s="22"/>
      <c r="AH672" s="22"/>
      <c r="AI672" s="22"/>
      <c r="AJ672" s="22"/>
      <c r="AK672" s="22"/>
      <c r="AL672" s="22"/>
      <c r="AM672" s="22"/>
      <c r="AN672" s="22"/>
      <c r="AO672" s="22"/>
    </row>
    <row r="673" ht="14.2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55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  <c r="AE673" s="22"/>
      <c r="AF673" s="22"/>
      <c r="AG673" s="22"/>
      <c r="AH673" s="22"/>
      <c r="AI673" s="22"/>
      <c r="AJ673" s="22"/>
      <c r="AK673" s="22"/>
      <c r="AL673" s="22"/>
      <c r="AM673" s="22"/>
      <c r="AN673" s="22"/>
      <c r="AO673" s="22"/>
    </row>
    <row r="674" ht="14.2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55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  <c r="AE674" s="22"/>
      <c r="AF674" s="22"/>
      <c r="AG674" s="22"/>
      <c r="AH674" s="22"/>
      <c r="AI674" s="22"/>
      <c r="AJ674" s="22"/>
      <c r="AK674" s="22"/>
      <c r="AL674" s="22"/>
      <c r="AM674" s="22"/>
      <c r="AN674" s="22"/>
      <c r="AO674" s="22"/>
    </row>
    <row r="675" ht="14.2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55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  <c r="AD675" s="22"/>
      <c r="AE675" s="22"/>
      <c r="AF675" s="22"/>
      <c r="AG675" s="22"/>
      <c r="AH675" s="22"/>
      <c r="AI675" s="22"/>
      <c r="AJ675" s="22"/>
      <c r="AK675" s="22"/>
      <c r="AL675" s="22"/>
      <c r="AM675" s="22"/>
      <c r="AN675" s="22"/>
      <c r="AO675" s="22"/>
    </row>
    <row r="676" ht="14.2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55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  <c r="AD676" s="22"/>
      <c r="AE676" s="22"/>
      <c r="AF676" s="22"/>
      <c r="AG676" s="22"/>
      <c r="AH676" s="22"/>
      <c r="AI676" s="22"/>
      <c r="AJ676" s="22"/>
      <c r="AK676" s="22"/>
      <c r="AL676" s="22"/>
      <c r="AM676" s="22"/>
      <c r="AN676" s="22"/>
      <c r="AO676" s="22"/>
    </row>
    <row r="677" ht="14.2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55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  <c r="AE677" s="22"/>
      <c r="AF677" s="22"/>
      <c r="AG677" s="22"/>
      <c r="AH677" s="22"/>
      <c r="AI677" s="22"/>
      <c r="AJ677" s="22"/>
      <c r="AK677" s="22"/>
      <c r="AL677" s="22"/>
      <c r="AM677" s="22"/>
      <c r="AN677" s="22"/>
      <c r="AO677" s="22"/>
    </row>
    <row r="678" ht="14.2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55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  <c r="AD678" s="22"/>
      <c r="AE678" s="22"/>
      <c r="AF678" s="22"/>
      <c r="AG678" s="22"/>
      <c r="AH678" s="22"/>
      <c r="AI678" s="22"/>
      <c r="AJ678" s="22"/>
      <c r="AK678" s="22"/>
      <c r="AL678" s="22"/>
      <c r="AM678" s="22"/>
      <c r="AN678" s="22"/>
      <c r="AO678" s="22"/>
    </row>
    <row r="679" ht="14.2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55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  <c r="AD679" s="22"/>
      <c r="AE679" s="22"/>
      <c r="AF679" s="22"/>
      <c r="AG679" s="22"/>
      <c r="AH679" s="22"/>
      <c r="AI679" s="22"/>
      <c r="AJ679" s="22"/>
      <c r="AK679" s="22"/>
      <c r="AL679" s="22"/>
      <c r="AM679" s="22"/>
      <c r="AN679" s="22"/>
      <c r="AO679" s="22"/>
    </row>
    <row r="680" ht="14.2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55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  <c r="AD680" s="22"/>
      <c r="AE680" s="22"/>
      <c r="AF680" s="22"/>
      <c r="AG680" s="22"/>
      <c r="AH680" s="22"/>
      <c r="AI680" s="22"/>
      <c r="AJ680" s="22"/>
      <c r="AK680" s="22"/>
      <c r="AL680" s="22"/>
      <c r="AM680" s="22"/>
      <c r="AN680" s="22"/>
      <c r="AO680" s="22"/>
    </row>
    <row r="681" ht="14.2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55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  <c r="AD681" s="22"/>
      <c r="AE681" s="22"/>
      <c r="AF681" s="22"/>
      <c r="AG681" s="22"/>
      <c r="AH681" s="22"/>
      <c r="AI681" s="22"/>
      <c r="AJ681" s="22"/>
      <c r="AK681" s="22"/>
      <c r="AL681" s="22"/>
      <c r="AM681" s="22"/>
      <c r="AN681" s="22"/>
      <c r="AO681" s="22"/>
    </row>
    <row r="682" ht="14.2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55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  <c r="AD682" s="22"/>
      <c r="AE682" s="22"/>
      <c r="AF682" s="22"/>
      <c r="AG682" s="22"/>
      <c r="AH682" s="22"/>
      <c r="AI682" s="22"/>
      <c r="AJ682" s="22"/>
      <c r="AK682" s="22"/>
      <c r="AL682" s="22"/>
      <c r="AM682" s="22"/>
      <c r="AN682" s="22"/>
      <c r="AO682" s="22"/>
    </row>
    <row r="683" ht="14.2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55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  <c r="AD683" s="22"/>
      <c r="AE683" s="22"/>
      <c r="AF683" s="22"/>
      <c r="AG683" s="22"/>
      <c r="AH683" s="22"/>
      <c r="AI683" s="22"/>
      <c r="AJ683" s="22"/>
      <c r="AK683" s="22"/>
      <c r="AL683" s="22"/>
      <c r="AM683" s="22"/>
      <c r="AN683" s="22"/>
      <c r="AO683" s="22"/>
    </row>
    <row r="684" ht="14.2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55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  <c r="AD684" s="22"/>
      <c r="AE684" s="22"/>
      <c r="AF684" s="22"/>
      <c r="AG684" s="22"/>
      <c r="AH684" s="22"/>
      <c r="AI684" s="22"/>
      <c r="AJ684" s="22"/>
      <c r="AK684" s="22"/>
      <c r="AL684" s="22"/>
      <c r="AM684" s="22"/>
      <c r="AN684" s="22"/>
      <c r="AO684" s="22"/>
    </row>
    <row r="685" ht="14.2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55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  <c r="AD685" s="22"/>
      <c r="AE685" s="22"/>
      <c r="AF685" s="22"/>
      <c r="AG685" s="22"/>
      <c r="AH685" s="22"/>
      <c r="AI685" s="22"/>
      <c r="AJ685" s="22"/>
      <c r="AK685" s="22"/>
      <c r="AL685" s="22"/>
      <c r="AM685" s="22"/>
      <c r="AN685" s="22"/>
      <c r="AO685" s="22"/>
    </row>
    <row r="686" ht="14.2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55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  <c r="AD686" s="22"/>
      <c r="AE686" s="22"/>
      <c r="AF686" s="22"/>
      <c r="AG686" s="22"/>
      <c r="AH686" s="22"/>
      <c r="AI686" s="22"/>
      <c r="AJ686" s="22"/>
      <c r="AK686" s="22"/>
      <c r="AL686" s="22"/>
      <c r="AM686" s="22"/>
      <c r="AN686" s="22"/>
      <c r="AO686" s="22"/>
    </row>
    <row r="687" ht="14.2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55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  <c r="AD687" s="22"/>
      <c r="AE687" s="22"/>
      <c r="AF687" s="22"/>
      <c r="AG687" s="22"/>
      <c r="AH687" s="22"/>
      <c r="AI687" s="22"/>
      <c r="AJ687" s="22"/>
      <c r="AK687" s="22"/>
      <c r="AL687" s="22"/>
      <c r="AM687" s="22"/>
      <c r="AN687" s="22"/>
      <c r="AO687" s="22"/>
    </row>
    <row r="688" ht="14.2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55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  <c r="AD688" s="22"/>
      <c r="AE688" s="22"/>
      <c r="AF688" s="22"/>
      <c r="AG688" s="22"/>
      <c r="AH688" s="22"/>
      <c r="AI688" s="22"/>
      <c r="AJ688" s="22"/>
      <c r="AK688" s="22"/>
      <c r="AL688" s="22"/>
      <c r="AM688" s="22"/>
      <c r="AN688" s="22"/>
      <c r="AO688" s="22"/>
    </row>
    <row r="689" ht="14.2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55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  <c r="AD689" s="22"/>
      <c r="AE689" s="22"/>
      <c r="AF689" s="22"/>
      <c r="AG689" s="22"/>
      <c r="AH689" s="22"/>
      <c r="AI689" s="22"/>
      <c r="AJ689" s="22"/>
      <c r="AK689" s="22"/>
      <c r="AL689" s="22"/>
      <c r="AM689" s="22"/>
      <c r="AN689" s="22"/>
      <c r="AO689" s="22"/>
    </row>
    <row r="690" ht="14.2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55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  <c r="AD690" s="22"/>
      <c r="AE690" s="22"/>
      <c r="AF690" s="22"/>
      <c r="AG690" s="22"/>
      <c r="AH690" s="22"/>
      <c r="AI690" s="22"/>
      <c r="AJ690" s="22"/>
      <c r="AK690" s="22"/>
      <c r="AL690" s="22"/>
      <c r="AM690" s="22"/>
      <c r="AN690" s="22"/>
      <c r="AO690" s="22"/>
    </row>
    <row r="691" ht="14.2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55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  <c r="AD691" s="22"/>
      <c r="AE691" s="22"/>
      <c r="AF691" s="22"/>
      <c r="AG691" s="22"/>
      <c r="AH691" s="22"/>
      <c r="AI691" s="22"/>
      <c r="AJ691" s="22"/>
      <c r="AK691" s="22"/>
      <c r="AL691" s="22"/>
      <c r="AM691" s="22"/>
      <c r="AN691" s="22"/>
      <c r="AO691" s="22"/>
    </row>
    <row r="692" ht="14.2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55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  <c r="AD692" s="22"/>
      <c r="AE692" s="22"/>
      <c r="AF692" s="22"/>
      <c r="AG692" s="22"/>
      <c r="AH692" s="22"/>
      <c r="AI692" s="22"/>
      <c r="AJ692" s="22"/>
      <c r="AK692" s="22"/>
      <c r="AL692" s="22"/>
      <c r="AM692" s="22"/>
      <c r="AN692" s="22"/>
      <c r="AO692" s="22"/>
    </row>
    <row r="693" ht="14.2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55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  <c r="AD693" s="22"/>
      <c r="AE693" s="22"/>
      <c r="AF693" s="22"/>
      <c r="AG693" s="22"/>
      <c r="AH693" s="22"/>
      <c r="AI693" s="22"/>
      <c r="AJ693" s="22"/>
      <c r="AK693" s="22"/>
      <c r="AL693" s="22"/>
      <c r="AM693" s="22"/>
      <c r="AN693" s="22"/>
      <c r="AO693" s="22"/>
    </row>
    <row r="694" ht="14.2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55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  <c r="AD694" s="22"/>
      <c r="AE694" s="22"/>
      <c r="AF694" s="22"/>
      <c r="AG694" s="22"/>
      <c r="AH694" s="22"/>
      <c r="AI694" s="22"/>
      <c r="AJ694" s="22"/>
      <c r="AK694" s="22"/>
      <c r="AL694" s="22"/>
      <c r="AM694" s="22"/>
      <c r="AN694" s="22"/>
      <c r="AO694" s="22"/>
    </row>
    <row r="695" ht="14.2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55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  <c r="AD695" s="22"/>
      <c r="AE695" s="22"/>
      <c r="AF695" s="22"/>
      <c r="AG695" s="22"/>
      <c r="AH695" s="22"/>
      <c r="AI695" s="22"/>
      <c r="AJ695" s="22"/>
      <c r="AK695" s="22"/>
      <c r="AL695" s="22"/>
      <c r="AM695" s="22"/>
      <c r="AN695" s="22"/>
      <c r="AO695" s="22"/>
    </row>
    <row r="696" ht="14.2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55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  <c r="AD696" s="22"/>
      <c r="AE696" s="22"/>
      <c r="AF696" s="22"/>
      <c r="AG696" s="22"/>
      <c r="AH696" s="22"/>
      <c r="AI696" s="22"/>
      <c r="AJ696" s="22"/>
      <c r="AK696" s="22"/>
      <c r="AL696" s="22"/>
      <c r="AM696" s="22"/>
      <c r="AN696" s="22"/>
      <c r="AO696" s="22"/>
    </row>
    <row r="697" ht="14.2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55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  <c r="AD697" s="22"/>
      <c r="AE697" s="22"/>
      <c r="AF697" s="22"/>
      <c r="AG697" s="22"/>
      <c r="AH697" s="22"/>
      <c r="AI697" s="22"/>
      <c r="AJ697" s="22"/>
      <c r="AK697" s="22"/>
      <c r="AL697" s="22"/>
      <c r="AM697" s="22"/>
      <c r="AN697" s="22"/>
      <c r="AO697" s="22"/>
    </row>
    <row r="698" ht="14.2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55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  <c r="AD698" s="22"/>
      <c r="AE698" s="22"/>
      <c r="AF698" s="22"/>
      <c r="AG698" s="22"/>
      <c r="AH698" s="22"/>
      <c r="AI698" s="22"/>
      <c r="AJ698" s="22"/>
      <c r="AK698" s="22"/>
      <c r="AL698" s="22"/>
      <c r="AM698" s="22"/>
      <c r="AN698" s="22"/>
      <c r="AO698" s="22"/>
    </row>
    <row r="699" ht="14.2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55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  <c r="AD699" s="22"/>
      <c r="AE699" s="22"/>
      <c r="AF699" s="22"/>
      <c r="AG699" s="22"/>
      <c r="AH699" s="22"/>
      <c r="AI699" s="22"/>
      <c r="AJ699" s="22"/>
      <c r="AK699" s="22"/>
      <c r="AL699" s="22"/>
      <c r="AM699" s="22"/>
      <c r="AN699" s="22"/>
      <c r="AO699" s="22"/>
    </row>
    <row r="700" ht="14.2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55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  <c r="AD700" s="22"/>
      <c r="AE700" s="22"/>
      <c r="AF700" s="22"/>
      <c r="AG700" s="22"/>
      <c r="AH700" s="22"/>
      <c r="AI700" s="22"/>
      <c r="AJ700" s="22"/>
      <c r="AK700" s="22"/>
      <c r="AL700" s="22"/>
      <c r="AM700" s="22"/>
      <c r="AN700" s="22"/>
      <c r="AO700" s="22"/>
    </row>
    <row r="701" ht="14.2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55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  <c r="AD701" s="22"/>
      <c r="AE701" s="22"/>
      <c r="AF701" s="22"/>
      <c r="AG701" s="22"/>
      <c r="AH701" s="22"/>
      <c r="AI701" s="22"/>
      <c r="AJ701" s="22"/>
      <c r="AK701" s="22"/>
      <c r="AL701" s="22"/>
      <c r="AM701" s="22"/>
      <c r="AN701" s="22"/>
      <c r="AO701" s="22"/>
    </row>
    <row r="702" ht="14.2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55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  <c r="AD702" s="22"/>
      <c r="AE702" s="22"/>
      <c r="AF702" s="22"/>
      <c r="AG702" s="22"/>
      <c r="AH702" s="22"/>
      <c r="AI702" s="22"/>
      <c r="AJ702" s="22"/>
      <c r="AK702" s="22"/>
      <c r="AL702" s="22"/>
      <c r="AM702" s="22"/>
      <c r="AN702" s="22"/>
      <c r="AO702" s="22"/>
    </row>
    <row r="703" ht="14.2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55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  <c r="AD703" s="22"/>
      <c r="AE703" s="22"/>
      <c r="AF703" s="22"/>
      <c r="AG703" s="22"/>
      <c r="AH703" s="22"/>
      <c r="AI703" s="22"/>
      <c r="AJ703" s="22"/>
      <c r="AK703" s="22"/>
      <c r="AL703" s="22"/>
      <c r="AM703" s="22"/>
      <c r="AN703" s="22"/>
      <c r="AO703" s="22"/>
    </row>
    <row r="704" ht="14.2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55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  <c r="AD704" s="22"/>
      <c r="AE704" s="22"/>
      <c r="AF704" s="22"/>
      <c r="AG704" s="22"/>
      <c r="AH704" s="22"/>
      <c r="AI704" s="22"/>
      <c r="AJ704" s="22"/>
      <c r="AK704" s="22"/>
      <c r="AL704" s="22"/>
      <c r="AM704" s="22"/>
      <c r="AN704" s="22"/>
      <c r="AO704" s="22"/>
    </row>
    <row r="705" ht="14.2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55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  <c r="AD705" s="22"/>
      <c r="AE705" s="22"/>
      <c r="AF705" s="22"/>
      <c r="AG705" s="22"/>
      <c r="AH705" s="22"/>
      <c r="AI705" s="22"/>
      <c r="AJ705" s="22"/>
      <c r="AK705" s="22"/>
      <c r="AL705" s="22"/>
      <c r="AM705" s="22"/>
      <c r="AN705" s="22"/>
      <c r="AO705" s="22"/>
    </row>
    <row r="706" ht="14.2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55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  <c r="AD706" s="22"/>
      <c r="AE706" s="22"/>
      <c r="AF706" s="22"/>
      <c r="AG706" s="22"/>
      <c r="AH706" s="22"/>
      <c r="AI706" s="22"/>
      <c r="AJ706" s="22"/>
      <c r="AK706" s="22"/>
      <c r="AL706" s="22"/>
      <c r="AM706" s="22"/>
      <c r="AN706" s="22"/>
      <c r="AO706" s="22"/>
    </row>
    <row r="707" ht="14.2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55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  <c r="AD707" s="22"/>
      <c r="AE707" s="22"/>
      <c r="AF707" s="22"/>
      <c r="AG707" s="22"/>
      <c r="AH707" s="22"/>
      <c r="AI707" s="22"/>
      <c r="AJ707" s="22"/>
      <c r="AK707" s="22"/>
      <c r="AL707" s="22"/>
      <c r="AM707" s="22"/>
      <c r="AN707" s="22"/>
      <c r="AO707" s="22"/>
    </row>
    <row r="708" ht="14.2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55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  <c r="AD708" s="22"/>
      <c r="AE708" s="22"/>
      <c r="AF708" s="22"/>
      <c r="AG708" s="22"/>
      <c r="AH708" s="22"/>
      <c r="AI708" s="22"/>
      <c r="AJ708" s="22"/>
      <c r="AK708" s="22"/>
      <c r="AL708" s="22"/>
      <c r="AM708" s="22"/>
      <c r="AN708" s="22"/>
      <c r="AO708" s="22"/>
    </row>
    <row r="709" ht="14.2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55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  <c r="AD709" s="22"/>
      <c r="AE709" s="22"/>
      <c r="AF709" s="22"/>
      <c r="AG709" s="22"/>
      <c r="AH709" s="22"/>
      <c r="AI709" s="22"/>
      <c r="AJ709" s="22"/>
      <c r="AK709" s="22"/>
      <c r="AL709" s="22"/>
      <c r="AM709" s="22"/>
      <c r="AN709" s="22"/>
      <c r="AO709" s="22"/>
    </row>
    <row r="710" ht="14.2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55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  <c r="AD710" s="22"/>
      <c r="AE710" s="22"/>
      <c r="AF710" s="22"/>
      <c r="AG710" s="22"/>
      <c r="AH710" s="22"/>
      <c r="AI710" s="22"/>
      <c r="AJ710" s="22"/>
      <c r="AK710" s="22"/>
      <c r="AL710" s="22"/>
      <c r="AM710" s="22"/>
      <c r="AN710" s="22"/>
      <c r="AO710" s="22"/>
    </row>
    <row r="711" ht="14.2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55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  <c r="AD711" s="22"/>
      <c r="AE711" s="22"/>
      <c r="AF711" s="22"/>
      <c r="AG711" s="22"/>
      <c r="AH711" s="22"/>
      <c r="AI711" s="22"/>
      <c r="AJ711" s="22"/>
      <c r="AK711" s="22"/>
      <c r="AL711" s="22"/>
      <c r="AM711" s="22"/>
      <c r="AN711" s="22"/>
      <c r="AO711" s="22"/>
    </row>
    <row r="712" ht="14.2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55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  <c r="AD712" s="22"/>
      <c r="AE712" s="22"/>
      <c r="AF712" s="22"/>
      <c r="AG712" s="22"/>
      <c r="AH712" s="22"/>
      <c r="AI712" s="22"/>
      <c r="AJ712" s="22"/>
      <c r="AK712" s="22"/>
      <c r="AL712" s="22"/>
      <c r="AM712" s="22"/>
      <c r="AN712" s="22"/>
      <c r="AO712" s="22"/>
    </row>
    <row r="713" ht="14.2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55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  <c r="AE713" s="22"/>
      <c r="AF713" s="22"/>
      <c r="AG713" s="22"/>
      <c r="AH713" s="22"/>
      <c r="AI713" s="22"/>
      <c r="AJ713" s="22"/>
      <c r="AK713" s="22"/>
      <c r="AL713" s="22"/>
      <c r="AM713" s="22"/>
      <c r="AN713" s="22"/>
      <c r="AO713" s="22"/>
    </row>
    <row r="714" ht="14.2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55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  <c r="AD714" s="22"/>
      <c r="AE714" s="22"/>
      <c r="AF714" s="22"/>
      <c r="AG714" s="22"/>
      <c r="AH714" s="22"/>
      <c r="AI714" s="22"/>
      <c r="AJ714" s="22"/>
      <c r="AK714" s="22"/>
      <c r="AL714" s="22"/>
      <c r="AM714" s="22"/>
      <c r="AN714" s="22"/>
      <c r="AO714" s="22"/>
    </row>
    <row r="715" ht="14.2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55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  <c r="AD715" s="22"/>
      <c r="AE715" s="22"/>
      <c r="AF715" s="22"/>
      <c r="AG715" s="22"/>
      <c r="AH715" s="22"/>
      <c r="AI715" s="22"/>
      <c r="AJ715" s="22"/>
      <c r="AK715" s="22"/>
      <c r="AL715" s="22"/>
      <c r="AM715" s="22"/>
      <c r="AN715" s="22"/>
      <c r="AO715" s="22"/>
    </row>
    <row r="716" ht="14.2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55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  <c r="AD716" s="22"/>
      <c r="AE716" s="22"/>
      <c r="AF716" s="22"/>
      <c r="AG716" s="22"/>
      <c r="AH716" s="22"/>
      <c r="AI716" s="22"/>
      <c r="AJ716" s="22"/>
      <c r="AK716" s="22"/>
      <c r="AL716" s="22"/>
      <c r="AM716" s="22"/>
      <c r="AN716" s="22"/>
      <c r="AO716" s="22"/>
    </row>
    <row r="717" ht="14.2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55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  <c r="AD717" s="22"/>
      <c r="AE717" s="22"/>
      <c r="AF717" s="22"/>
      <c r="AG717" s="22"/>
      <c r="AH717" s="22"/>
      <c r="AI717" s="22"/>
      <c r="AJ717" s="22"/>
      <c r="AK717" s="22"/>
      <c r="AL717" s="22"/>
      <c r="AM717" s="22"/>
      <c r="AN717" s="22"/>
      <c r="AO717" s="22"/>
    </row>
    <row r="718" ht="14.2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55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  <c r="AD718" s="22"/>
      <c r="AE718" s="22"/>
      <c r="AF718" s="22"/>
      <c r="AG718" s="22"/>
      <c r="AH718" s="22"/>
      <c r="AI718" s="22"/>
      <c r="AJ718" s="22"/>
      <c r="AK718" s="22"/>
      <c r="AL718" s="22"/>
      <c r="AM718" s="22"/>
      <c r="AN718" s="22"/>
      <c r="AO718" s="22"/>
    </row>
    <row r="719" ht="14.2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55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  <c r="AD719" s="22"/>
      <c r="AE719" s="22"/>
      <c r="AF719" s="22"/>
      <c r="AG719" s="22"/>
      <c r="AH719" s="22"/>
      <c r="AI719" s="22"/>
      <c r="AJ719" s="22"/>
      <c r="AK719" s="22"/>
      <c r="AL719" s="22"/>
      <c r="AM719" s="22"/>
      <c r="AN719" s="22"/>
      <c r="AO719" s="22"/>
    </row>
    <row r="720" ht="14.2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55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  <c r="AD720" s="22"/>
      <c r="AE720" s="22"/>
      <c r="AF720" s="22"/>
      <c r="AG720" s="22"/>
      <c r="AH720" s="22"/>
      <c r="AI720" s="22"/>
      <c r="AJ720" s="22"/>
      <c r="AK720" s="22"/>
      <c r="AL720" s="22"/>
      <c r="AM720" s="22"/>
      <c r="AN720" s="22"/>
      <c r="AO720" s="22"/>
    </row>
    <row r="721" ht="14.2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55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  <c r="AD721" s="22"/>
      <c r="AE721" s="22"/>
      <c r="AF721" s="22"/>
      <c r="AG721" s="22"/>
      <c r="AH721" s="22"/>
      <c r="AI721" s="22"/>
      <c r="AJ721" s="22"/>
      <c r="AK721" s="22"/>
      <c r="AL721" s="22"/>
      <c r="AM721" s="22"/>
      <c r="AN721" s="22"/>
      <c r="AO721" s="22"/>
    </row>
    <row r="722" ht="14.2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55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  <c r="AD722" s="22"/>
      <c r="AE722" s="22"/>
      <c r="AF722" s="22"/>
      <c r="AG722" s="22"/>
      <c r="AH722" s="22"/>
      <c r="AI722" s="22"/>
      <c r="AJ722" s="22"/>
      <c r="AK722" s="22"/>
      <c r="AL722" s="22"/>
      <c r="AM722" s="22"/>
      <c r="AN722" s="22"/>
      <c r="AO722" s="22"/>
    </row>
    <row r="723" ht="14.2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55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  <c r="AD723" s="22"/>
      <c r="AE723" s="22"/>
      <c r="AF723" s="22"/>
      <c r="AG723" s="22"/>
      <c r="AH723" s="22"/>
      <c r="AI723" s="22"/>
      <c r="AJ723" s="22"/>
      <c r="AK723" s="22"/>
      <c r="AL723" s="22"/>
      <c r="AM723" s="22"/>
      <c r="AN723" s="22"/>
      <c r="AO723" s="22"/>
    </row>
    <row r="724" ht="14.2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55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  <c r="AD724" s="22"/>
      <c r="AE724" s="22"/>
      <c r="AF724" s="22"/>
      <c r="AG724" s="22"/>
      <c r="AH724" s="22"/>
      <c r="AI724" s="22"/>
      <c r="AJ724" s="22"/>
      <c r="AK724" s="22"/>
      <c r="AL724" s="22"/>
      <c r="AM724" s="22"/>
      <c r="AN724" s="22"/>
      <c r="AO724" s="22"/>
    </row>
    <row r="725" ht="14.2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55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  <c r="AD725" s="22"/>
      <c r="AE725" s="22"/>
      <c r="AF725" s="22"/>
      <c r="AG725" s="22"/>
      <c r="AH725" s="22"/>
      <c r="AI725" s="22"/>
      <c r="AJ725" s="22"/>
      <c r="AK725" s="22"/>
      <c r="AL725" s="22"/>
      <c r="AM725" s="22"/>
      <c r="AN725" s="22"/>
      <c r="AO725" s="22"/>
    </row>
    <row r="726" ht="14.2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55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  <c r="AD726" s="22"/>
      <c r="AE726" s="22"/>
      <c r="AF726" s="22"/>
      <c r="AG726" s="22"/>
      <c r="AH726" s="22"/>
      <c r="AI726" s="22"/>
      <c r="AJ726" s="22"/>
      <c r="AK726" s="22"/>
      <c r="AL726" s="22"/>
      <c r="AM726" s="22"/>
      <c r="AN726" s="22"/>
      <c r="AO726" s="22"/>
    </row>
    <row r="727" ht="14.2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55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  <c r="AD727" s="22"/>
      <c r="AE727" s="22"/>
      <c r="AF727" s="22"/>
      <c r="AG727" s="22"/>
      <c r="AH727" s="22"/>
      <c r="AI727" s="22"/>
      <c r="AJ727" s="22"/>
      <c r="AK727" s="22"/>
      <c r="AL727" s="22"/>
      <c r="AM727" s="22"/>
      <c r="AN727" s="22"/>
      <c r="AO727" s="22"/>
    </row>
    <row r="728" ht="14.2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55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  <c r="AD728" s="22"/>
      <c r="AE728" s="22"/>
      <c r="AF728" s="22"/>
      <c r="AG728" s="22"/>
      <c r="AH728" s="22"/>
      <c r="AI728" s="22"/>
      <c r="AJ728" s="22"/>
      <c r="AK728" s="22"/>
      <c r="AL728" s="22"/>
      <c r="AM728" s="22"/>
      <c r="AN728" s="22"/>
      <c r="AO728" s="22"/>
    </row>
    <row r="729" ht="14.2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55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  <c r="AD729" s="22"/>
      <c r="AE729" s="22"/>
      <c r="AF729" s="22"/>
      <c r="AG729" s="22"/>
      <c r="AH729" s="22"/>
      <c r="AI729" s="22"/>
      <c r="AJ729" s="22"/>
      <c r="AK729" s="22"/>
      <c r="AL729" s="22"/>
      <c r="AM729" s="22"/>
      <c r="AN729" s="22"/>
      <c r="AO729" s="22"/>
    </row>
    <row r="730" ht="14.2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55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  <c r="AD730" s="22"/>
      <c r="AE730" s="22"/>
      <c r="AF730" s="22"/>
      <c r="AG730" s="22"/>
      <c r="AH730" s="22"/>
      <c r="AI730" s="22"/>
      <c r="AJ730" s="22"/>
      <c r="AK730" s="22"/>
      <c r="AL730" s="22"/>
      <c r="AM730" s="22"/>
      <c r="AN730" s="22"/>
      <c r="AO730" s="22"/>
    </row>
    <row r="731" ht="14.2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55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  <c r="AD731" s="22"/>
      <c r="AE731" s="22"/>
      <c r="AF731" s="22"/>
      <c r="AG731" s="22"/>
      <c r="AH731" s="22"/>
      <c r="AI731" s="22"/>
      <c r="AJ731" s="22"/>
      <c r="AK731" s="22"/>
      <c r="AL731" s="22"/>
      <c r="AM731" s="22"/>
      <c r="AN731" s="22"/>
      <c r="AO731" s="22"/>
    </row>
    <row r="732" ht="14.2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55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  <c r="AD732" s="22"/>
      <c r="AE732" s="22"/>
      <c r="AF732" s="22"/>
      <c r="AG732" s="22"/>
      <c r="AH732" s="22"/>
      <c r="AI732" s="22"/>
      <c r="AJ732" s="22"/>
      <c r="AK732" s="22"/>
      <c r="AL732" s="22"/>
      <c r="AM732" s="22"/>
      <c r="AN732" s="22"/>
      <c r="AO732" s="22"/>
    </row>
    <row r="733" ht="14.2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55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  <c r="AD733" s="22"/>
      <c r="AE733" s="22"/>
      <c r="AF733" s="22"/>
      <c r="AG733" s="22"/>
      <c r="AH733" s="22"/>
      <c r="AI733" s="22"/>
      <c r="AJ733" s="22"/>
      <c r="AK733" s="22"/>
      <c r="AL733" s="22"/>
      <c r="AM733" s="22"/>
      <c r="AN733" s="22"/>
      <c r="AO733" s="22"/>
    </row>
    <row r="734" ht="14.2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55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  <c r="AD734" s="22"/>
      <c r="AE734" s="22"/>
      <c r="AF734" s="22"/>
      <c r="AG734" s="22"/>
      <c r="AH734" s="22"/>
      <c r="AI734" s="22"/>
      <c r="AJ734" s="22"/>
      <c r="AK734" s="22"/>
      <c r="AL734" s="22"/>
      <c r="AM734" s="22"/>
      <c r="AN734" s="22"/>
      <c r="AO734" s="22"/>
    </row>
    <row r="735" ht="14.2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55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  <c r="AD735" s="22"/>
      <c r="AE735" s="22"/>
      <c r="AF735" s="22"/>
      <c r="AG735" s="22"/>
      <c r="AH735" s="22"/>
      <c r="AI735" s="22"/>
      <c r="AJ735" s="22"/>
      <c r="AK735" s="22"/>
      <c r="AL735" s="22"/>
      <c r="AM735" s="22"/>
      <c r="AN735" s="22"/>
      <c r="AO735" s="22"/>
    </row>
    <row r="736" ht="14.2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55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  <c r="AD736" s="22"/>
      <c r="AE736" s="22"/>
      <c r="AF736" s="22"/>
      <c r="AG736" s="22"/>
      <c r="AH736" s="22"/>
      <c r="AI736" s="22"/>
      <c r="AJ736" s="22"/>
      <c r="AK736" s="22"/>
      <c r="AL736" s="22"/>
      <c r="AM736" s="22"/>
      <c r="AN736" s="22"/>
      <c r="AO736" s="22"/>
    </row>
    <row r="737" ht="14.2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55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  <c r="AD737" s="22"/>
      <c r="AE737" s="22"/>
      <c r="AF737" s="22"/>
      <c r="AG737" s="22"/>
      <c r="AH737" s="22"/>
      <c r="AI737" s="22"/>
      <c r="AJ737" s="22"/>
      <c r="AK737" s="22"/>
      <c r="AL737" s="22"/>
      <c r="AM737" s="22"/>
      <c r="AN737" s="22"/>
      <c r="AO737" s="22"/>
    </row>
    <row r="738" ht="14.2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55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  <c r="AD738" s="22"/>
      <c r="AE738" s="22"/>
      <c r="AF738" s="22"/>
      <c r="AG738" s="22"/>
      <c r="AH738" s="22"/>
      <c r="AI738" s="22"/>
      <c r="AJ738" s="22"/>
      <c r="AK738" s="22"/>
      <c r="AL738" s="22"/>
      <c r="AM738" s="22"/>
      <c r="AN738" s="22"/>
      <c r="AO738" s="22"/>
    </row>
    <row r="739" ht="14.2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55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  <c r="AD739" s="22"/>
      <c r="AE739" s="22"/>
      <c r="AF739" s="22"/>
      <c r="AG739" s="22"/>
      <c r="AH739" s="22"/>
      <c r="AI739" s="22"/>
      <c r="AJ739" s="22"/>
      <c r="AK739" s="22"/>
      <c r="AL739" s="22"/>
      <c r="AM739" s="22"/>
      <c r="AN739" s="22"/>
      <c r="AO739" s="22"/>
    </row>
    <row r="740" ht="14.2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55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  <c r="AD740" s="22"/>
      <c r="AE740" s="22"/>
      <c r="AF740" s="22"/>
      <c r="AG740" s="22"/>
      <c r="AH740" s="22"/>
      <c r="AI740" s="22"/>
      <c r="AJ740" s="22"/>
      <c r="AK740" s="22"/>
      <c r="AL740" s="22"/>
      <c r="AM740" s="22"/>
      <c r="AN740" s="22"/>
      <c r="AO740" s="22"/>
    </row>
    <row r="741" ht="14.2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55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  <c r="AD741" s="22"/>
      <c r="AE741" s="22"/>
      <c r="AF741" s="22"/>
      <c r="AG741" s="22"/>
      <c r="AH741" s="22"/>
      <c r="AI741" s="22"/>
      <c r="AJ741" s="22"/>
      <c r="AK741" s="22"/>
      <c r="AL741" s="22"/>
      <c r="AM741" s="22"/>
      <c r="AN741" s="22"/>
      <c r="AO741" s="22"/>
    </row>
    <row r="742" ht="14.2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55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  <c r="AD742" s="22"/>
      <c r="AE742" s="22"/>
      <c r="AF742" s="22"/>
      <c r="AG742" s="22"/>
      <c r="AH742" s="22"/>
      <c r="AI742" s="22"/>
      <c r="AJ742" s="22"/>
      <c r="AK742" s="22"/>
      <c r="AL742" s="22"/>
      <c r="AM742" s="22"/>
      <c r="AN742" s="22"/>
      <c r="AO742" s="22"/>
    </row>
    <row r="743" ht="14.2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55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  <c r="AD743" s="22"/>
      <c r="AE743" s="22"/>
      <c r="AF743" s="22"/>
      <c r="AG743" s="22"/>
      <c r="AH743" s="22"/>
      <c r="AI743" s="22"/>
      <c r="AJ743" s="22"/>
      <c r="AK743" s="22"/>
      <c r="AL743" s="22"/>
      <c r="AM743" s="22"/>
      <c r="AN743" s="22"/>
      <c r="AO743" s="22"/>
    </row>
    <row r="744" ht="14.2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55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  <c r="AD744" s="22"/>
      <c r="AE744" s="22"/>
      <c r="AF744" s="22"/>
      <c r="AG744" s="22"/>
      <c r="AH744" s="22"/>
      <c r="AI744" s="22"/>
      <c r="AJ744" s="22"/>
      <c r="AK744" s="22"/>
      <c r="AL744" s="22"/>
      <c r="AM744" s="22"/>
      <c r="AN744" s="22"/>
      <c r="AO744" s="22"/>
    </row>
    <row r="745" ht="14.2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55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  <c r="AE745" s="22"/>
      <c r="AF745" s="22"/>
      <c r="AG745" s="22"/>
      <c r="AH745" s="22"/>
      <c r="AI745" s="22"/>
      <c r="AJ745" s="22"/>
      <c r="AK745" s="22"/>
      <c r="AL745" s="22"/>
      <c r="AM745" s="22"/>
      <c r="AN745" s="22"/>
      <c r="AO745" s="22"/>
    </row>
    <row r="746" ht="14.2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55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  <c r="AD746" s="22"/>
      <c r="AE746" s="22"/>
      <c r="AF746" s="22"/>
      <c r="AG746" s="22"/>
      <c r="AH746" s="22"/>
      <c r="AI746" s="22"/>
      <c r="AJ746" s="22"/>
      <c r="AK746" s="22"/>
      <c r="AL746" s="22"/>
      <c r="AM746" s="22"/>
      <c r="AN746" s="22"/>
      <c r="AO746" s="22"/>
    </row>
    <row r="747" ht="14.2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55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  <c r="AE747" s="22"/>
      <c r="AF747" s="22"/>
      <c r="AG747" s="22"/>
      <c r="AH747" s="22"/>
      <c r="AI747" s="22"/>
      <c r="AJ747" s="22"/>
      <c r="AK747" s="22"/>
      <c r="AL747" s="22"/>
      <c r="AM747" s="22"/>
      <c r="AN747" s="22"/>
      <c r="AO747" s="22"/>
    </row>
    <row r="748" ht="14.2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55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  <c r="AD748" s="22"/>
      <c r="AE748" s="22"/>
      <c r="AF748" s="22"/>
      <c r="AG748" s="22"/>
      <c r="AH748" s="22"/>
      <c r="AI748" s="22"/>
      <c r="AJ748" s="22"/>
      <c r="AK748" s="22"/>
      <c r="AL748" s="22"/>
      <c r="AM748" s="22"/>
      <c r="AN748" s="22"/>
      <c r="AO748" s="22"/>
    </row>
    <row r="749" ht="14.2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55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  <c r="AE749" s="22"/>
      <c r="AF749" s="22"/>
      <c r="AG749" s="22"/>
      <c r="AH749" s="22"/>
      <c r="AI749" s="22"/>
      <c r="AJ749" s="22"/>
      <c r="AK749" s="22"/>
      <c r="AL749" s="22"/>
      <c r="AM749" s="22"/>
      <c r="AN749" s="22"/>
      <c r="AO749" s="22"/>
    </row>
    <row r="750" ht="14.2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55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  <c r="AE750" s="22"/>
      <c r="AF750" s="22"/>
      <c r="AG750" s="22"/>
      <c r="AH750" s="22"/>
      <c r="AI750" s="22"/>
      <c r="AJ750" s="22"/>
      <c r="AK750" s="22"/>
      <c r="AL750" s="22"/>
      <c r="AM750" s="22"/>
      <c r="AN750" s="22"/>
      <c r="AO750" s="22"/>
    </row>
    <row r="751" ht="14.2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55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  <c r="AE751" s="22"/>
      <c r="AF751" s="22"/>
      <c r="AG751" s="22"/>
      <c r="AH751" s="22"/>
      <c r="AI751" s="22"/>
      <c r="AJ751" s="22"/>
      <c r="AK751" s="22"/>
      <c r="AL751" s="22"/>
      <c r="AM751" s="22"/>
      <c r="AN751" s="22"/>
      <c r="AO751" s="22"/>
    </row>
    <row r="752" ht="14.2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55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  <c r="AD752" s="22"/>
      <c r="AE752" s="22"/>
      <c r="AF752" s="22"/>
      <c r="AG752" s="22"/>
      <c r="AH752" s="22"/>
      <c r="AI752" s="22"/>
      <c r="AJ752" s="22"/>
      <c r="AK752" s="22"/>
      <c r="AL752" s="22"/>
      <c r="AM752" s="22"/>
      <c r="AN752" s="22"/>
      <c r="AO752" s="22"/>
    </row>
    <row r="753" ht="14.2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55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  <c r="AD753" s="22"/>
      <c r="AE753" s="22"/>
      <c r="AF753" s="22"/>
      <c r="AG753" s="22"/>
      <c r="AH753" s="22"/>
      <c r="AI753" s="22"/>
      <c r="AJ753" s="22"/>
      <c r="AK753" s="22"/>
      <c r="AL753" s="22"/>
      <c r="AM753" s="22"/>
      <c r="AN753" s="22"/>
      <c r="AO753" s="22"/>
    </row>
    <row r="754" ht="14.2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55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  <c r="AD754" s="22"/>
      <c r="AE754" s="22"/>
      <c r="AF754" s="22"/>
      <c r="AG754" s="22"/>
      <c r="AH754" s="22"/>
      <c r="AI754" s="22"/>
      <c r="AJ754" s="22"/>
      <c r="AK754" s="22"/>
      <c r="AL754" s="22"/>
      <c r="AM754" s="22"/>
      <c r="AN754" s="22"/>
      <c r="AO754" s="22"/>
    </row>
    <row r="755" ht="14.2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55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  <c r="AD755" s="22"/>
      <c r="AE755" s="22"/>
      <c r="AF755" s="22"/>
      <c r="AG755" s="22"/>
      <c r="AH755" s="22"/>
      <c r="AI755" s="22"/>
      <c r="AJ755" s="22"/>
      <c r="AK755" s="22"/>
      <c r="AL755" s="22"/>
      <c r="AM755" s="22"/>
      <c r="AN755" s="22"/>
      <c r="AO755" s="22"/>
    </row>
    <row r="756" ht="14.2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55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  <c r="AD756" s="22"/>
      <c r="AE756" s="22"/>
      <c r="AF756" s="22"/>
      <c r="AG756" s="22"/>
      <c r="AH756" s="22"/>
      <c r="AI756" s="22"/>
      <c r="AJ756" s="22"/>
      <c r="AK756" s="22"/>
      <c r="AL756" s="22"/>
      <c r="AM756" s="22"/>
      <c r="AN756" s="22"/>
      <c r="AO756" s="22"/>
    </row>
    <row r="757" ht="14.2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55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  <c r="AD757" s="22"/>
      <c r="AE757" s="22"/>
      <c r="AF757" s="22"/>
      <c r="AG757" s="22"/>
      <c r="AH757" s="22"/>
      <c r="AI757" s="22"/>
      <c r="AJ757" s="22"/>
      <c r="AK757" s="22"/>
      <c r="AL757" s="22"/>
      <c r="AM757" s="22"/>
      <c r="AN757" s="22"/>
      <c r="AO757" s="22"/>
    </row>
    <row r="758" ht="14.2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55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  <c r="AD758" s="22"/>
      <c r="AE758" s="22"/>
      <c r="AF758" s="22"/>
      <c r="AG758" s="22"/>
      <c r="AH758" s="22"/>
      <c r="AI758" s="22"/>
      <c r="AJ758" s="22"/>
      <c r="AK758" s="22"/>
      <c r="AL758" s="22"/>
      <c r="AM758" s="22"/>
      <c r="AN758" s="22"/>
      <c r="AO758" s="22"/>
    </row>
    <row r="759" ht="14.2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55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  <c r="AD759" s="22"/>
      <c r="AE759" s="22"/>
      <c r="AF759" s="22"/>
      <c r="AG759" s="22"/>
      <c r="AH759" s="22"/>
      <c r="AI759" s="22"/>
      <c r="AJ759" s="22"/>
      <c r="AK759" s="22"/>
      <c r="AL759" s="22"/>
      <c r="AM759" s="22"/>
      <c r="AN759" s="22"/>
      <c r="AO759" s="22"/>
    </row>
    <row r="760" ht="14.2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55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  <c r="AD760" s="22"/>
      <c r="AE760" s="22"/>
      <c r="AF760" s="22"/>
      <c r="AG760" s="22"/>
      <c r="AH760" s="22"/>
      <c r="AI760" s="22"/>
      <c r="AJ760" s="22"/>
      <c r="AK760" s="22"/>
      <c r="AL760" s="22"/>
      <c r="AM760" s="22"/>
      <c r="AN760" s="22"/>
      <c r="AO760" s="22"/>
    </row>
    <row r="761" ht="14.2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55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  <c r="AD761" s="22"/>
      <c r="AE761" s="22"/>
      <c r="AF761" s="22"/>
      <c r="AG761" s="22"/>
      <c r="AH761" s="22"/>
      <c r="AI761" s="22"/>
      <c r="AJ761" s="22"/>
      <c r="AK761" s="22"/>
      <c r="AL761" s="22"/>
      <c r="AM761" s="22"/>
      <c r="AN761" s="22"/>
      <c r="AO761" s="22"/>
    </row>
    <row r="762" ht="14.2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55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  <c r="AD762" s="22"/>
      <c r="AE762" s="22"/>
      <c r="AF762" s="22"/>
      <c r="AG762" s="22"/>
      <c r="AH762" s="22"/>
      <c r="AI762" s="22"/>
      <c r="AJ762" s="22"/>
      <c r="AK762" s="22"/>
      <c r="AL762" s="22"/>
      <c r="AM762" s="22"/>
      <c r="AN762" s="22"/>
      <c r="AO762" s="22"/>
    </row>
    <row r="763" ht="14.2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55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  <c r="AD763" s="22"/>
      <c r="AE763" s="22"/>
      <c r="AF763" s="22"/>
      <c r="AG763" s="22"/>
      <c r="AH763" s="22"/>
      <c r="AI763" s="22"/>
      <c r="AJ763" s="22"/>
      <c r="AK763" s="22"/>
      <c r="AL763" s="22"/>
      <c r="AM763" s="22"/>
      <c r="AN763" s="22"/>
      <c r="AO763" s="22"/>
    </row>
    <row r="764" ht="14.2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55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  <c r="AD764" s="22"/>
      <c r="AE764" s="22"/>
      <c r="AF764" s="22"/>
      <c r="AG764" s="22"/>
      <c r="AH764" s="22"/>
      <c r="AI764" s="22"/>
      <c r="AJ764" s="22"/>
      <c r="AK764" s="22"/>
      <c r="AL764" s="22"/>
      <c r="AM764" s="22"/>
      <c r="AN764" s="22"/>
      <c r="AO764" s="22"/>
    </row>
    <row r="765" ht="14.2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55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  <c r="AD765" s="22"/>
      <c r="AE765" s="22"/>
      <c r="AF765" s="22"/>
      <c r="AG765" s="22"/>
      <c r="AH765" s="22"/>
      <c r="AI765" s="22"/>
      <c r="AJ765" s="22"/>
      <c r="AK765" s="22"/>
      <c r="AL765" s="22"/>
      <c r="AM765" s="22"/>
      <c r="AN765" s="22"/>
      <c r="AO765" s="22"/>
    </row>
    <row r="766" ht="14.2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55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  <c r="AD766" s="22"/>
      <c r="AE766" s="22"/>
      <c r="AF766" s="22"/>
      <c r="AG766" s="22"/>
      <c r="AH766" s="22"/>
      <c r="AI766" s="22"/>
      <c r="AJ766" s="22"/>
      <c r="AK766" s="22"/>
      <c r="AL766" s="22"/>
      <c r="AM766" s="22"/>
      <c r="AN766" s="22"/>
      <c r="AO766" s="22"/>
    </row>
    <row r="767" ht="14.2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55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  <c r="AD767" s="22"/>
      <c r="AE767" s="22"/>
      <c r="AF767" s="22"/>
      <c r="AG767" s="22"/>
      <c r="AH767" s="22"/>
      <c r="AI767" s="22"/>
      <c r="AJ767" s="22"/>
      <c r="AK767" s="22"/>
      <c r="AL767" s="22"/>
      <c r="AM767" s="22"/>
      <c r="AN767" s="22"/>
      <c r="AO767" s="22"/>
    </row>
    <row r="768" ht="14.2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55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  <c r="AD768" s="22"/>
      <c r="AE768" s="22"/>
      <c r="AF768" s="22"/>
      <c r="AG768" s="22"/>
      <c r="AH768" s="22"/>
      <c r="AI768" s="22"/>
      <c r="AJ768" s="22"/>
      <c r="AK768" s="22"/>
      <c r="AL768" s="22"/>
      <c r="AM768" s="22"/>
      <c r="AN768" s="22"/>
      <c r="AO768" s="22"/>
    </row>
    <row r="769" ht="14.2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55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  <c r="AD769" s="22"/>
      <c r="AE769" s="22"/>
      <c r="AF769" s="22"/>
      <c r="AG769" s="22"/>
      <c r="AH769" s="22"/>
      <c r="AI769" s="22"/>
      <c r="AJ769" s="22"/>
      <c r="AK769" s="22"/>
      <c r="AL769" s="22"/>
      <c r="AM769" s="22"/>
      <c r="AN769" s="22"/>
      <c r="AO769" s="22"/>
    </row>
    <row r="770" ht="14.2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55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  <c r="AD770" s="22"/>
      <c r="AE770" s="22"/>
      <c r="AF770" s="22"/>
      <c r="AG770" s="22"/>
      <c r="AH770" s="22"/>
      <c r="AI770" s="22"/>
      <c r="AJ770" s="22"/>
      <c r="AK770" s="22"/>
      <c r="AL770" s="22"/>
      <c r="AM770" s="22"/>
      <c r="AN770" s="22"/>
      <c r="AO770" s="22"/>
    </row>
    <row r="771" ht="14.2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55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  <c r="AD771" s="22"/>
      <c r="AE771" s="22"/>
      <c r="AF771" s="22"/>
      <c r="AG771" s="22"/>
      <c r="AH771" s="22"/>
      <c r="AI771" s="22"/>
      <c r="AJ771" s="22"/>
      <c r="AK771" s="22"/>
      <c r="AL771" s="22"/>
      <c r="AM771" s="22"/>
      <c r="AN771" s="22"/>
      <c r="AO771" s="22"/>
    </row>
    <row r="772" ht="14.2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55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  <c r="AD772" s="22"/>
      <c r="AE772" s="22"/>
      <c r="AF772" s="22"/>
      <c r="AG772" s="22"/>
      <c r="AH772" s="22"/>
      <c r="AI772" s="22"/>
      <c r="AJ772" s="22"/>
      <c r="AK772" s="22"/>
      <c r="AL772" s="22"/>
      <c r="AM772" s="22"/>
      <c r="AN772" s="22"/>
      <c r="AO772" s="22"/>
    </row>
    <row r="773" ht="14.2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55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  <c r="AD773" s="22"/>
      <c r="AE773" s="22"/>
      <c r="AF773" s="22"/>
      <c r="AG773" s="22"/>
      <c r="AH773" s="22"/>
      <c r="AI773" s="22"/>
      <c r="AJ773" s="22"/>
      <c r="AK773" s="22"/>
      <c r="AL773" s="22"/>
      <c r="AM773" s="22"/>
      <c r="AN773" s="22"/>
      <c r="AO773" s="22"/>
    </row>
    <row r="774" ht="14.2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55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  <c r="AD774" s="22"/>
      <c r="AE774" s="22"/>
      <c r="AF774" s="22"/>
      <c r="AG774" s="22"/>
      <c r="AH774" s="22"/>
      <c r="AI774" s="22"/>
      <c r="AJ774" s="22"/>
      <c r="AK774" s="22"/>
      <c r="AL774" s="22"/>
      <c r="AM774" s="22"/>
      <c r="AN774" s="22"/>
      <c r="AO774" s="22"/>
    </row>
    <row r="775" ht="14.2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55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  <c r="AD775" s="22"/>
      <c r="AE775" s="22"/>
      <c r="AF775" s="22"/>
      <c r="AG775" s="22"/>
      <c r="AH775" s="22"/>
      <c r="AI775" s="22"/>
      <c r="AJ775" s="22"/>
      <c r="AK775" s="22"/>
      <c r="AL775" s="22"/>
      <c r="AM775" s="22"/>
      <c r="AN775" s="22"/>
      <c r="AO775" s="22"/>
    </row>
    <row r="776" ht="14.2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55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  <c r="AD776" s="22"/>
      <c r="AE776" s="22"/>
      <c r="AF776" s="22"/>
      <c r="AG776" s="22"/>
      <c r="AH776" s="22"/>
      <c r="AI776" s="22"/>
      <c r="AJ776" s="22"/>
      <c r="AK776" s="22"/>
      <c r="AL776" s="22"/>
      <c r="AM776" s="22"/>
      <c r="AN776" s="22"/>
      <c r="AO776" s="22"/>
    </row>
    <row r="777" ht="14.2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55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  <c r="AD777" s="22"/>
      <c r="AE777" s="22"/>
      <c r="AF777" s="22"/>
      <c r="AG777" s="22"/>
      <c r="AH777" s="22"/>
      <c r="AI777" s="22"/>
      <c r="AJ777" s="22"/>
      <c r="AK777" s="22"/>
      <c r="AL777" s="22"/>
      <c r="AM777" s="22"/>
      <c r="AN777" s="22"/>
      <c r="AO777" s="22"/>
    </row>
    <row r="778" ht="14.2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55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  <c r="AD778" s="22"/>
      <c r="AE778" s="22"/>
      <c r="AF778" s="22"/>
      <c r="AG778" s="22"/>
      <c r="AH778" s="22"/>
      <c r="AI778" s="22"/>
      <c r="AJ778" s="22"/>
      <c r="AK778" s="22"/>
      <c r="AL778" s="22"/>
      <c r="AM778" s="22"/>
      <c r="AN778" s="22"/>
      <c r="AO778" s="22"/>
    </row>
    <row r="779" ht="14.2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55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  <c r="AD779" s="22"/>
      <c r="AE779" s="22"/>
      <c r="AF779" s="22"/>
      <c r="AG779" s="22"/>
      <c r="AH779" s="22"/>
      <c r="AI779" s="22"/>
      <c r="AJ779" s="22"/>
      <c r="AK779" s="22"/>
      <c r="AL779" s="22"/>
      <c r="AM779" s="22"/>
      <c r="AN779" s="22"/>
      <c r="AO779" s="22"/>
    </row>
    <row r="780" ht="14.2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55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  <c r="AD780" s="22"/>
      <c r="AE780" s="22"/>
      <c r="AF780" s="22"/>
      <c r="AG780" s="22"/>
      <c r="AH780" s="22"/>
      <c r="AI780" s="22"/>
      <c r="AJ780" s="22"/>
      <c r="AK780" s="22"/>
      <c r="AL780" s="22"/>
      <c r="AM780" s="22"/>
      <c r="AN780" s="22"/>
      <c r="AO780" s="22"/>
    </row>
    <row r="781" ht="14.2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55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  <c r="AD781" s="22"/>
      <c r="AE781" s="22"/>
      <c r="AF781" s="22"/>
      <c r="AG781" s="22"/>
      <c r="AH781" s="22"/>
      <c r="AI781" s="22"/>
      <c r="AJ781" s="22"/>
      <c r="AK781" s="22"/>
      <c r="AL781" s="22"/>
      <c r="AM781" s="22"/>
      <c r="AN781" s="22"/>
      <c r="AO781" s="22"/>
    </row>
    <row r="782" ht="14.2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55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  <c r="AD782" s="22"/>
      <c r="AE782" s="22"/>
      <c r="AF782" s="22"/>
      <c r="AG782" s="22"/>
      <c r="AH782" s="22"/>
      <c r="AI782" s="22"/>
      <c r="AJ782" s="22"/>
      <c r="AK782" s="22"/>
      <c r="AL782" s="22"/>
      <c r="AM782" s="22"/>
      <c r="AN782" s="22"/>
      <c r="AO782" s="22"/>
    </row>
    <row r="783" ht="14.2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55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  <c r="AD783" s="22"/>
      <c r="AE783" s="22"/>
      <c r="AF783" s="22"/>
      <c r="AG783" s="22"/>
      <c r="AH783" s="22"/>
      <c r="AI783" s="22"/>
      <c r="AJ783" s="22"/>
      <c r="AK783" s="22"/>
      <c r="AL783" s="22"/>
      <c r="AM783" s="22"/>
      <c r="AN783" s="22"/>
      <c r="AO783" s="22"/>
    </row>
    <row r="784" ht="14.2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55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  <c r="AD784" s="22"/>
      <c r="AE784" s="22"/>
      <c r="AF784" s="22"/>
      <c r="AG784" s="22"/>
      <c r="AH784" s="22"/>
      <c r="AI784" s="22"/>
      <c r="AJ784" s="22"/>
      <c r="AK784" s="22"/>
      <c r="AL784" s="22"/>
      <c r="AM784" s="22"/>
      <c r="AN784" s="22"/>
      <c r="AO784" s="22"/>
    </row>
    <row r="785" ht="14.2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55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  <c r="AD785" s="22"/>
      <c r="AE785" s="22"/>
      <c r="AF785" s="22"/>
      <c r="AG785" s="22"/>
      <c r="AH785" s="22"/>
      <c r="AI785" s="22"/>
      <c r="AJ785" s="22"/>
      <c r="AK785" s="22"/>
      <c r="AL785" s="22"/>
      <c r="AM785" s="22"/>
      <c r="AN785" s="22"/>
      <c r="AO785" s="22"/>
    </row>
    <row r="786" ht="14.2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55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  <c r="AD786" s="22"/>
      <c r="AE786" s="22"/>
      <c r="AF786" s="22"/>
      <c r="AG786" s="22"/>
      <c r="AH786" s="22"/>
      <c r="AI786" s="22"/>
      <c r="AJ786" s="22"/>
      <c r="AK786" s="22"/>
      <c r="AL786" s="22"/>
      <c r="AM786" s="22"/>
      <c r="AN786" s="22"/>
      <c r="AO786" s="22"/>
    </row>
    <row r="787" ht="14.2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55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  <c r="AD787" s="22"/>
      <c r="AE787" s="22"/>
      <c r="AF787" s="22"/>
      <c r="AG787" s="22"/>
      <c r="AH787" s="22"/>
      <c r="AI787" s="22"/>
      <c r="AJ787" s="22"/>
      <c r="AK787" s="22"/>
      <c r="AL787" s="22"/>
      <c r="AM787" s="22"/>
      <c r="AN787" s="22"/>
      <c r="AO787" s="22"/>
    </row>
    <row r="788" ht="14.2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55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  <c r="AD788" s="22"/>
      <c r="AE788" s="22"/>
      <c r="AF788" s="22"/>
      <c r="AG788" s="22"/>
      <c r="AH788" s="22"/>
      <c r="AI788" s="22"/>
      <c r="AJ788" s="22"/>
      <c r="AK788" s="22"/>
      <c r="AL788" s="22"/>
      <c r="AM788" s="22"/>
      <c r="AN788" s="22"/>
      <c r="AO788" s="22"/>
    </row>
    <row r="789" ht="14.2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55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  <c r="AD789" s="22"/>
      <c r="AE789" s="22"/>
      <c r="AF789" s="22"/>
      <c r="AG789" s="22"/>
      <c r="AH789" s="22"/>
      <c r="AI789" s="22"/>
      <c r="AJ789" s="22"/>
      <c r="AK789" s="22"/>
      <c r="AL789" s="22"/>
      <c r="AM789" s="22"/>
      <c r="AN789" s="22"/>
      <c r="AO789" s="22"/>
    </row>
    <row r="790" ht="14.2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55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  <c r="AD790" s="22"/>
      <c r="AE790" s="22"/>
      <c r="AF790" s="22"/>
      <c r="AG790" s="22"/>
      <c r="AH790" s="22"/>
      <c r="AI790" s="22"/>
      <c r="AJ790" s="22"/>
      <c r="AK790" s="22"/>
      <c r="AL790" s="22"/>
      <c r="AM790" s="22"/>
      <c r="AN790" s="22"/>
      <c r="AO790" s="22"/>
    </row>
    <row r="791" ht="14.2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55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  <c r="AD791" s="22"/>
      <c r="AE791" s="22"/>
      <c r="AF791" s="22"/>
      <c r="AG791" s="22"/>
      <c r="AH791" s="22"/>
      <c r="AI791" s="22"/>
      <c r="AJ791" s="22"/>
      <c r="AK791" s="22"/>
      <c r="AL791" s="22"/>
      <c r="AM791" s="22"/>
      <c r="AN791" s="22"/>
      <c r="AO791" s="22"/>
    </row>
    <row r="792" ht="14.2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55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  <c r="AD792" s="22"/>
      <c r="AE792" s="22"/>
      <c r="AF792" s="22"/>
      <c r="AG792" s="22"/>
      <c r="AH792" s="22"/>
      <c r="AI792" s="22"/>
      <c r="AJ792" s="22"/>
      <c r="AK792" s="22"/>
      <c r="AL792" s="22"/>
      <c r="AM792" s="22"/>
      <c r="AN792" s="22"/>
      <c r="AO792" s="22"/>
    </row>
    <row r="793" ht="14.2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55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  <c r="AD793" s="22"/>
      <c r="AE793" s="22"/>
      <c r="AF793" s="22"/>
      <c r="AG793" s="22"/>
      <c r="AH793" s="22"/>
      <c r="AI793" s="22"/>
      <c r="AJ793" s="22"/>
      <c r="AK793" s="22"/>
      <c r="AL793" s="22"/>
      <c r="AM793" s="22"/>
      <c r="AN793" s="22"/>
      <c r="AO793" s="22"/>
    </row>
    <row r="794" ht="14.2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55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  <c r="AD794" s="22"/>
      <c r="AE794" s="22"/>
      <c r="AF794" s="22"/>
      <c r="AG794" s="22"/>
      <c r="AH794" s="22"/>
      <c r="AI794" s="22"/>
      <c r="AJ794" s="22"/>
      <c r="AK794" s="22"/>
      <c r="AL794" s="22"/>
      <c r="AM794" s="22"/>
      <c r="AN794" s="22"/>
      <c r="AO794" s="22"/>
    </row>
    <row r="795" ht="14.2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55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  <c r="AD795" s="22"/>
      <c r="AE795" s="22"/>
      <c r="AF795" s="22"/>
      <c r="AG795" s="22"/>
      <c r="AH795" s="22"/>
      <c r="AI795" s="22"/>
      <c r="AJ795" s="22"/>
      <c r="AK795" s="22"/>
      <c r="AL795" s="22"/>
      <c r="AM795" s="22"/>
      <c r="AN795" s="22"/>
      <c r="AO795" s="22"/>
    </row>
    <row r="796" ht="14.2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55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  <c r="AD796" s="22"/>
      <c r="AE796" s="22"/>
      <c r="AF796" s="22"/>
      <c r="AG796" s="22"/>
      <c r="AH796" s="22"/>
      <c r="AI796" s="22"/>
      <c r="AJ796" s="22"/>
      <c r="AK796" s="22"/>
      <c r="AL796" s="22"/>
      <c r="AM796" s="22"/>
      <c r="AN796" s="22"/>
      <c r="AO796" s="22"/>
    </row>
    <row r="797" ht="14.2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55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  <c r="AD797" s="22"/>
      <c r="AE797" s="22"/>
      <c r="AF797" s="22"/>
      <c r="AG797" s="22"/>
      <c r="AH797" s="22"/>
      <c r="AI797" s="22"/>
      <c r="AJ797" s="22"/>
      <c r="AK797" s="22"/>
      <c r="AL797" s="22"/>
      <c r="AM797" s="22"/>
      <c r="AN797" s="22"/>
      <c r="AO797" s="22"/>
    </row>
    <row r="798" ht="14.2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55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  <c r="AD798" s="22"/>
      <c r="AE798" s="22"/>
      <c r="AF798" s="22"/>
      <c r="AG798" s="22"/>
      <c r="AH798" s="22"/>
      <c r="AI798" s="22"/>
      <c r="AJ798" s="22"/>
      <c r="AK798" s="22"/>
      <c r="AL798" s="22"/>
      <c r="AM798" s="22"/>
      <c r="AN798" s="22"/>
      <c r="AO798" s="22"/>
    </row>
    <row r="799" ht="14.2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55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  <c r="AD799" s="22"/>
      <c r="AE799" s="22"/>
      <c r="AF799" s="22"/>
      <c r="AG799" s="22"/>
      <c r="AH799" s="22"/>
      <c r="AI799" s="22"/>
      <c r="AJ799" s="22"/>
      <c r="AK799" s="22"/>
      <c r="AL799" s="22"/>
      <c r="AM799" s="22"/>
      <c r="AN799" s="22"/>
      <c r="AO799" s="22"/>
    </row>
    <row r="800" ht="14.2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55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  <c r="AD800" s="22"/>
      <c r="AE800" s="22"/>
      <c r="AF800" s="22"/>
      <c r="AG800" s="22"/>
      <c r="AH800" s="22"/>
      <c r="AI800" s="22"/>
      <c r="AJ800" s="22"/>
      <c r="AK800" s="22"/>
      <c r="AL800" s="22"/>
      <c r="AM800" s="22"/>
      <c r="AN800" s="22"/>
      <c r="AO800" s="22"/>
    </row>
    <row r="801" ht="14.2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55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  <c r="AD801" s="22"/>
      <c r="AE801" s="22"/>
      <c r="AF801" s="22"/>
      <c r="AG801" s="22"/>
      <c r="AH801" s="22"/>
      <c r="AI801" s="22"/>
      <c r="AJ801" s="22"/>
      <c r="AK801" s="22"/>
      <c r="AL801" s="22"/>
      <c r="AM801" s="22"/>
      <c r="AN801" s="22"/>
      <c r="AO801" s="22"/>
    </row>
    <row r="802" ht="14.2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55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  <c r="AD802" s="22"/>
      <c r="AE802" s="22"/>
      <c r="AF802" s="22"/>
      <c r="AG802" s="22"/>
      <c r="AH802" s="22"/>
      <c r="AI802" s="22"/>
      <c r="AJ802" s="22"/>
      <c r="AK802" s="22"/>
      <c r="AL802" s="22"/>
      <c r="AM802" s="22"/>
      <c r="AN802" s="22"/>
      <c r="AO802" s="22"/>
    </row>
    <row r="803" ht="14.2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55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  <c r="AD803" s="22"/>
      <c r="AE803" s="22"/>
      <c r="AF803" s="22"/>
      <c r="AG803" s="22"/>
      <c r="AH803" s="22"/>
      <c r="AI803" s="22"/>
      <c r="AJ803" s="22"/>
      <c r="AK803" s="22"/>
      <c r="AL803" s="22"/>
      <c r="AM803" s="22"/>
      <c r="AN803" s="22"/>
      <c r="AO803" s="22"/>
    </row>
    <row r="804" ht="14.2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55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  <c r="AD804" s="22"/>
      <c r="AE804" s="22"/>
      <c r="AF804" s="22"/>
      <c r="AG804" s="22"/>
      <c r="AH804" s="22"/>
      <c r="AI804" s="22"/>
      <c r="AJ804" s="22"/>
      <c r="AK804" s="22"/>
      <c r="AL804" s="22"/>
      <c r="AM804" s="22"/>
      <c r="AN804" s="22"/>
      <c r="AO804" s="22"/>
    </row>
    <row r="805" ht="14.2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55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  <c r="AD805" s="22"/>
      <c r="AE805" s="22"/>
      <c r="AF805" s="22"/>
      <c r="AG805" s="22"/>
      <c r="AH805" s="22"/>
      <c r="AI805" s="22"/>
      <c r="AJ805" s="22"/>
      <c r="AK805" s="22"/>
      <c r="AL805" s="22"/>
      <c r="AM805" s="22"/>
      <c r="AN805" s="22"/>
      <c r="AO805" s="22"/>
    </row>
    <row r="806" ht="14.2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55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  <c r="AD806" s="22"/>
      <c r="AE806" s="22"/>
      <c r="AF806" s="22"/>
      <c r="AG806" s="22"/>
      <c r="AH806" s="22"/>
      <c r="AI806" s="22"/>
      <c r="AJ806" s="22"/>
      <c r="AK806" s="22"/>
      <c r="AL806" s="22"/>
      <c r="AM806" s="22"/>
      <c r="AN806" s="22"/>
      <c r="AO806" s="22"/>
    </row>
    <row r="807" ht="14.2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55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  <c r="AD807" s="22"/>
      <c r="AE807" s="22"/>
      <c r="AF807" s="22"/>
      <c r="AG807" s="22"/>
      <c r="AH807" s="22"/>
      <c r="AI807" s="22"/>
      <c r="AJ807" s="22"/>
      <c r="AK807" s="22"/>
      <c r="AL807" s="22"/>
      <c r="AM807" s="22"/>
      <c r="AN807" s="22"/>
      <c r="AO807" s="22"/>
    </row>
    <row r="808" ht="14.2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55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  <c r="AD808" s="22"/>
      <c r="AE808" s="22"/>
      <c r="AF808" s="22"/>
      <c r="AG808" s="22"/>
      <c r="AH808" s="22"/>
      <c r="AI808" s="22"/>
      <c r="AJ808" s="22"/>
      <c r="AK808" s="22"/>
      <c r="AL808" s="22"/>
      <c r="AM808" s="22"/>
      <c r="AN808" s="22"/>
      <c r="AO808" s="22"/>
    </row>
    <row r="809" ht="14.2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55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  <c r="AD809" s="22"/>
      <c r="AE809" s="22"/>
      <c r="AF809" s="22"/>
      <c r="AG809" s="22"/>
      <c r="AH809" s="22"/>
      <c r="AI809" s="22"/>
      <c r="AJ809" s="22"/>
      <c r="AK809" s="22"/>
      <c r="AL809" s="22"/>
      <c r="AM809" s="22"/>
      <c r="AN809" s="22"/>
      <c r="AO809" s="22"/>
    </row>
    <row r="810" ht="14.2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55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  <c r="AD810" s="22"/>
      <c r="AE810" s="22"/>
      <c r="AF810" s="22"/>
      <c r="AG810" s="22"/>
      <c r="AH810" s="22"/>
      <c r="AI810" s="22"/>
      <c r="AJ810" s="22"/>
      <c r="AK810" s="22"/>
      <c r="AL810" s="22"/>
      <c r="AM810" s="22"/>
      <c r="AN810" s="22"/>
      <c r="AO810" s="22"/>
    </row>
    <row r="811" ht="14.2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55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  <c r="AD811" s="22"/>
      <c r="AE811" s="22"/>
      <c r="AF811" s="22"/>
      <c r="AG811" s="22"/>
      <c r="AH811" s="22"/>
      <c r="AI811" s="22"/>
      <c r="AJ811" s="22"/>
      <c r="AK811" s="22"/>
      <c r="AL811" s="22"/>
      <c r="AM811" s="22"/>
      <c r="AN811" s="22"/>
      <c r="AO811" s="22"/>
    </row>
    <row r="812" ht="14.2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55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  <c r="AD812" s="22"/>
      <c r="AE812" s="22"/>
      <c r="AF812" s="22"/>
      <c r="AG812" s="22"/>
      <c r="AH812" s="22"/>
      <c r="AI812" s="22"/>
      <c r="AJ812" s="22"/>
      <c r="AK812" s="22"/>
      <c r="AL812" s="22"/>
      <c r="AM812" s="22"/>
      <c r="AN812" s="22"/>
      <c r="AO812" s="22"/>
    </row>
    <row r="813" ht="14.2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55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  <c r="AD813" s="22"/>
      <c r="AE813" s="22"/>
      <c r="AF813" s="22"/>
      <c r="AG813" s="22"/>
      <c r="AH813" s="22"/>
      <c r="AI813" s="22"/>
      <c r="AJ813" s="22"/>
      <c r="AK813" s="22"/>
      <c r="AL813" s="22"/>
      <c r="AM813" s="22"/>
      <c r="AN813" s="22"/>
      <c r="AO813" s="22"/>
    </row>
    <row r="814" ht="14.2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55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  <c r="AD814" s="22"/>
      <c r="AE814" s="22"/>
      <c r="AF814" s="22"/>
      <c r="AG814" s="22"/>
      <c r="AH814" s="22"/>
      <c r="AI814" s="22"/>
      <c r="AJ814" s="22"/>
      <c r="AK814" s="22"/>
      <c r="AL814" s="22"/>
      <c r="AM814" s="22"/>
      <c r="AN814" s="22"/>
      <c r="AO814" s="22"/>
    </row>
    <row r="815" ht="14.2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55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  <c r="AD815" s="22"/>
      <c r="AE815" s="22"/>
      <c r="AF815" s="22"/>
      <c r="AG815" s="22"/>
      <c r="AH815" s="22"/>
      <c r="AI815" s="22"/>
      <c r="AJ815" s="22"/>
      <c r="AK815" s="22"/>
      <c r="AL815" s="22"/>
      <c r="AM815" s="22"/>
      <c r="AN815" s="22"/>
      <c r="AO815" s="22"/>
    </row>
    <row r="816" ht="14.2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55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  <c r="AD816" s="22"/>
      <c r="AE816" s="22"/>
      <c r="AF816" s="22"/>
      <c r="AG816" s="22"/>
      <c r="AH816" s="22"/>
      <c r="AI816" s="22"/>
      <c r="AJ816" s="22"/>
      <c r="AK816" s="22"/>
      <c r="AL816" s="22"/>
      <c r="AM816" s="22"/>
      <c r="AN816" s="22"/>
      <c r="AO816" s="22"/>
    </row>
    <row r="817" ht="14.2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55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  <c r="AD817" s="22"/>
      <c r="AE817" s="22"/>
      <c r="AF817" s="22"/>
      <c r="AG817" s="22"/>
      <c r="AH817" s="22"/>
      <c r="AI817" s="22"/>
      <c r="AJ817" s="22"/>
      <c r="AK817" s="22"/>
      <c r="AL817" s="22"/>
      <c r="AM817" s="22"/>
      <c r="AN817" s="22"/>
      <c r="AO817" s="22"/>
    </row>
    <row r="818" ht="14.2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55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  <c r="AD818" s="22"/>
      <c r="AE818" s="22"/>
      <c r="AF818" s="22"/>
      <c r="AG818" s="22"/>
      <c r="AH818" s="22"/>
      <c r="AI818" s="22"/>
      <c r="AJ818" s="22"/>
      <c r="AK818" s="22"/>
      <c r="AL818" s="22"/>
      <c r="AM818" s="22"/>
      <c r="AN818" s="22"/>
      <c r="AO818" s="22"/>
    </row>
    <row r="819" ht="14.2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55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  <c r="AD819" s="22"/>
      <c r="AE819" s="22"/>
      <c r="AF819" s="22"/>
      <c r="AG819" s="22"/>
      <c r="AH819" s="22"/>
      <c r="AI819" s="22"/>
      <c r="AJ819" s="22"/>
      <c r="AK819" s="22"/>
      <c r="AL819" s="22"/>
      <c r="AM819" s="22"/>
      <c r="AN819" s="22"/>
      <c r="AO819" s="22"/>
    </row>
    <row r="820" ht="14.2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55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  <c r="AD820" s="22"/>
      <c r="AE820" s="22"/>
      <c r="AF820" s="22"/>
      <c r="AG820" s="22"/>
      <c r="AH820" s="22"/>
      <c r="AI820" s="22"/>
      <c r="AJ820" s="22"/>
      <c r="AK820" s="22"/>
      <c r="AL820" s="22"/>
      <c r="AM820" s="22"/>
      <c r="AN820" s="22"/>
      <c r="AO820" s="22"/>
    </row>
    <row r="821" ht="14.2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55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  <c r="AD821" s="22"/>
      <c r="AE821" s="22"/>
      <c r="AF821" s="22"/>
      <c r="AG821" s="22"/>
      <c r="AH821" s="22"/>
      <c r="AI821" s="22"/>
      <c r="AJ821" s="22"/>
      <c r="AK821" s="22"/>
      <c r="AL821" s="22"/>
      <c r="AM821" s="22"/>
      <c r="AN821" s="22"/>
      <c r="AO821" s="22"/>
    </row>
    <row r="822" ht="14.2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55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  <c r="AD822" s="22"/>
      <c r="AE822" s="22"/>
      <c r="AF822" s="22"/>
      <c r="AG822" s="22"/>
      <c r="AH822" s="22"/>
      <c r="AI822" s="22"/>
      <c r="AJ822" s="22"/>
      <c r="AK822" s="22"/>
      <c r="AL822" s="22"/>
      <c r="AM822" s="22"/>
      <c r="AN822" s="22"/>
      <c r="AO822" s="22"/>
    </row>
    <row r="823" ht="14.2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55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  <c r="AD823" s="22"/>
      <c r="AE823" s="22"/>
      <c r="AF823" s="22"/>
      <c r="AG823" s="22"/>
      <c r="AH823" s="22"/>
      <c r="AI823" s="22"/>
      <c r="AJ823" s="22"/>
      <c r="AK823" s="22"/>
      <c r="AL823" s="22"/>
      <c r="AM823" s="22"/>
      <c r="AN823" s="22"/>
      <c r="AO823" s="22"/>
    </row>
    <row r="824" ht="14.2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55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  <c r="AD824" s="22"/>
      <c r="AE824" s="22"/>
      <c r="AF824" s="22"/>
      <c r="AG824" s="22"/>
      <c r="AH824" s="22"/>
      <c r="AI824" s="22"/>
      <c r="AJ824" s="22"/>
      <c r="AK824" s="22"/>
      <c r="AL824" s="22"/>
      <c r="AM824" s="22"/>
      <c r="AN824" s="22"/>
      <c r="AO824" s="22"/>
    </row>
    <row r="825" ht="14.2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55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  <c r="AD825" s="22"/>
      <c r="AE825" s="22"/>
      <c r="AF825" s="22"/>
      <c r="AG825" s="22"/>
      <c r="AH825" s="22"/>
      <c r="AI825" s="22"/>
      <c r="AJ825" s="22"/>
      <c r="AK825" s="22"/>
      <c r="AL825" s="22"/>
      <c r="AM825" s="22"/>
      <c r="AN825" s="22"/>
      <c r="AO825" s="22"/>
    </row>
    <row r="826" ht="14.2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55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  <c r="AD826" s="22"/>
      <c r="AE826" s="22"/>
      <c r="AF826" s="22"/>
      <c r="AG826" s="22"/>
      <c r="AH826" s="22"/>
      <c r="AI826" s="22"/>
      <c r="AJ826" s="22"/>
      <c r="AK826" s="22"/>
      <c r="AL826" s="22"/>
      <c r="AM826" s="22"/>
      <c r="AN826" s="22"/>
      <c r="AO826" s="22"/>
    </row>
    <row r="827" ht="14.2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55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  <c r="AD827" s="22"/>
      <c r="AE827" s="22"/>
      <c r="AF827" s="22"/>
      <c r="AG827" s="22"/>
      <c r="AH827" s="22"/>
      <c r="AI827" s="22"/>
      <c r="AJ827" s="22"/>
      <c r="AK827" s="22"/>
      <c r="AL827" s="22"/>
      <c r="AM827" s="22"/>
      <c r="AN827" s="22"/>
      <c r="AO827" s="22"/>
    </row>
    <row r="828" ht="14.2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55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  <c r="AD828" s="22"/>
      <c r="AE828" s="22"/>
      <c r="AF828" s="22"/>
      <c r="AG828" s="22"/>
      <c r="AH828" s="22"/>
      <c r="AI828" s="22"/>
      <c r="AJ828" s="22"/>
      <c r="AK828" s="22"/>
      <c r="AL828" s="22"/>
      <c r="AM828" s="22"/>
      <c r="AN828" s="22"/>
      <c r="AO828" s="22"/>
    </row>
    <row r="829" ht="14.2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55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  <c r="AD829" s="22"/>
      <c r="AE829" s="22"/>
      <c r="AF829" s="22"/>
      <c r="AG829" s="22"/>
      <c r="AH829" s="22"/>
      <c r="AI829" s="22"/>
      <c r="AJ829" s="22"/>
      <c r="AK829" s="22"/>
      <c r="AL829" s="22"/>
      <c r="AM829" s="22"/>
      <c r="AN829" s="22"/>
      <c r="AO829" s="22"/>
    </row>
    <row r="830" ht="14.2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55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  <c r="AD830" s="22"/>
      <c r="AE830" s="22"/>
      <c r="AF830" s="22"/>
      <c r="AG830" s="22"/>
      <c r="AH830" s="22"/>
      <c r="AI830" s="22"/>
      <c r="AJ830" s="22"/>
      <c r="AK830" s="22"/>
      <c r="AL830" s="22"/>
      <c r="AM830" s="22"/>
      <c r="AN830" s="22"/>
      <c r="AO830" s="22"/>
    </row>
    <row r="831" ht="14.2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55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  <c r="AD831" s="22"/>
      <c r="AE831" s="22"/>
      <c r="AF831" s="22"/>
      <c r="AG831" s="22"/>
      <c r="AH831" s="22"/>
      <c r="AI831" s="22"/>
      <c r="AJ831" s="22"/>
      <c r="AK831" s="22"/>
      <c r="AL831" s="22"/>
      <c r="AM831" s="22"/>
      <c r="AN831" s="22"/>
      <c r="AO831" s="22"/>
    </row>
    <row r="832" ht="14.2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55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  <c r="AD832" s="22"/>
      <c r="AE832" s="22"/>
      <c r="AF832" s="22"/>
      <c r="AG832" s="22"/>
      <c r="AH832" s="22"/>
      <c r="AI832" s="22"/>
      <c r="AJ832" s="22"/>
      <c r="AK832" s="22"/>
      <c r="AL832" s="22"/>
      <c r="AM832" s="22"/>
      <c r="AN832" s="22"/>
      <c r="AO832" s="22"/>
    </row>
    <row r="833" ht="14.2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55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  <c r="AD833" s="22"/>
      <c r="AE833" s="22"/>
      <c r="AF833" s="22"/>
      <c r="AG833" s="22"/>
      <c r="AH833" s="22"/>
      <c r="AI833" s="22"/>
      <c r="AJ833" s="22"/>
      <c r="AK833" s="22"/>
      <c r="AL833" s="22"/>
      <c r="AM833" s="22"/>
      <c r="AN833" s="22"/>
      <c r="AO833" s="22"/>
    </row>
    <row r="834" ht="14.2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55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  <c r="AD834" s="22"/>
      <c r="AE834" s="22"/>
      <c r="AF834" s="22"/>
      <c r="AG834" s="22"/>
      <c r="AH834" s="22"/>
      <c r="AI834" s="22"/>
      <c r="AJ834" s="22"/>
      <c r="AK834" s="22"/>
      <c r="AL834" s="22"/>
      <c r="AM834" s="22"/>
      <c r="AN834" s="22"/>
      <c r="AO834" s="22"/>
    </row>
    <row r="835" ht="14.2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55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  <c r="AD835" s="22"/>
      <c r="AE835" s="22"/>
      <c r="AF835" s="22"/>
      <c r="AG835" s="22"/>
      <c r="AH835" s="22"/>
      <c r="AI835" s="22"/>
      <c r="AJ835" s="22"/>
      <c r="AK835" s="22"/>
      <c r="AL835" s="22"/>
      <c r="AM835" s="22"/>
      <c r="AN835" s="22"/>
      <c r="AO835" s="22"/>
    </row>
    <row r="836" ht="14.2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55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  <c r="AD836" s="22"/>
      <c r="AE836" s="22"/>
      <c r="AF836" s="22"/>
      <c r="AG836" s="22"/>
      <c r="AH836" s="22"/>
      <c r="AI836" s="22"/>
      <c r="AJ836" s="22"/>
      <c r="AK836" s="22"/>
      <c r="AL836" s="22"/>
      <c r="AM836" s="22"/>
      <c r="AN836" s="22"/>
      <c r="AO836" s="22"/>
    </row>
    <row r="837" ht="14.2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55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  <c r="AD837" s="22"/>
      <c r="AE837" s="22"/>
      <c r="AF837" s="22"/>
      <c r="AG837" s="22"/>
      <c r="AH837" s="22"/>
      <c r="AI837" s="22"/>
      <c r="AJ837" s="22"/>
      <c r="AK837" s="22"/>
      <c r="AL837" s="22"/>
      <c r="AM837" s="22"/>
      <c r="AN837" s="22"/>
      <c r="AO837" s="22"/>
    </row>
    <row r="838" ht="14.2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55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  <c r="AD838" s="22"/>
      <c r="AE838" s="22"/>
      <c r="AF838" s="22"/>
      <c r="AG838" s="22"/>
      <c r="AH838" s="22"/>
      <c r="AI838" s="22"/>
      <c r="AJ838" s="22"/>
      <c r="AK838" s="22"/>
      <c r="AL838" s="22"/>
      <c r="AM838" s="22"/>
      <c r="AN838" s="22"/>
      <c r="AO838" s="22"/>
    </row>
    <row r="839" ht="14.2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55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  <c r="AD839" s="22"/>
      <c r="AE839" s="22"/>
      <c r="AF839" s="22"/>
      <c r="AG839" s="22"/>
      <c r="AH839" s="22"/>
      <c r="AI839" s="22"/>
      <c r="AJ839" s="22"/>
      <c r="AK839" s="22"/>
      <c r="AL839" s="22"/>
      <c r="AM839" s="22"/>
      <c r="AN839" s="22"/>
      <c r="AO839" s="22"/>
    </row>
    <row r="840" ht="14.2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55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  <c r="AD840" s="22"/>
      <c r="AE840" s="22"/>
      <c r="AF840" s="22"/>
      <c r="AG840" s="22"/>
      <c r="AH840" s="22"/>
      <c r="AI840" s="22"/>
      <c r="AJ840" s="22"/>
      <c r="AK840" s="22"/>
      <c r="AL840" s="22"/>
      <c r="AM840" s="22"/>
      <c r="AN840" s="22"/>
      <c r="AO840" s="22"/>
    </row>
    <row r="841" ht="14.2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55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  <c r="AD841" s="22"/>
      <c r="AE841" s="22"/>
      <c r="AF841" s="22"/>
      <c r="AG841" s="22"/>
      <c r="AH841" s="22"/>
      <c r="AI841" s="22"/>
      <c r="AJ841" s="22"/>
      <c r="AK841" s="22"/>
      <c r="AL841" s="22"/>
      <c r="AM841" s="22"/>
      <c r="AN841" s="22"/>
      <c r="AO841" s="22"/>
    </row>
    <row r="842" ht="14.2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55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  <c r="AD842" s="22"/>
      <c r="AE842" s="22"/>
      <c r="AF842" s="22"/>
      <c r="AG842" s="22"/>
      <c r="AH842" s="22"/>
      <c r="AI842" s="22"/>
      <c r="AJ842" s="22"/>
      <c r="AK842" s="22"/>
      <c r="AL842" s="22"/>
      <c r="AM842" s="22"/>
      <c r="AN842" s="22"/>
      <c r="AO842" s="22"/>
    </row>
    <row r="843" ht="14.2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55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  <c r="AD843" s="22"/>
      <c r="AE843" s="22"/>
      <c r="AF843" s="22"/>
      <c r="AG843" s="22"/>
      <c r="AH843" s="22"/>
      <c r="AI843" s="22"/>
      <c r="AJ843" s="22"/>
      <c r="AK843" s="22"/>
      <c r="AL843" s="22"/>
      <c r="AM843" s="22"/>
      <c r="AN843" s="22"/>
      <c r="AO843" s="22"/>
    </row>
    <row r="844" ht="14.2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55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  <c r="AD844" s="22"/>
      <c r="AE844" s="22"/>
      <c r="AF844" s="22"/>
      <c r="AG844" s="22"/>
      <c r="AH844" s="22"/>
      <c r="AI844" s="22"/>
      <c r="AJ844" s="22"/>
      <c r="AK844" s="22"/>
      <c r="AL844" s="22"/>
      <c r="AM844" s="22"/>
      <c r="AN844" s="22"/>
      <c r="AO844" s="22"/>
    </row>
    <row r="845" ht="14.2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55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  <c r="AD845" s="22"/>
      <c r="AE845" s="22"/>
      <c r="AF845" s="22"/>
      <c r="AG845" s="22"/>
      <c r="AH845" s="22"/>
      <c r="AI845" s="22"/>
      <c r="AJ845" s="22"/>
      <c r="AK845" s="22"/>
      <c r="AL845" s="22"/>
      <c r="AM845" s="22"/>
      <c r="AN845" s="22"/>
      <c r="AO845" s="22"/>
    </row>
    <row r="846" ht="14.2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55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  <c r="AD846" s="22"/>
      <c r="AE846" s="22"/>
      <c r="AF846" s="22"/>
      <c r="AG846" s="22"/>
      <c r="AH846" s="22"/>
      <c r="AI846" s="22"/>
      <c r="AJ846" s="22"/>
      <c r="AK846" s="22"/>
      <c r="AL846" s="22"/>
      <c r="AM846" s="22"/>
      <c r="AN846" s="22"/>
      <c r="AO846" s="22"/>
    </row>
    <row r="847" ht="14.2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55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  <c r="AD847" s="22"/>
      <c r="AE847" s="22"/>
      <c r="AF847" s="22"/>
      <c r="AG847" s="22"/>
      <c r="AH847" s="22"/>
      <c r="AI847" s="22"/>
      <c r="AJ847" s="22"/>
      <c r="AK847" s="22"/>
      <c r="AL847" s="22"/>
      <c r="AM847" s="22"/>
      <c r="AN847" s="22"/>
      <c r="AO847" s="22"/>
    </row>
    <row r="848" ht="14.2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55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  <c r="AD848" s="22"/>
      <c r="AE848" s="22"/>
      <c r="AF848" s="22"/>
      <c r="AG848" s="22"/>
      <c r="AH848" s="22"/>
      <c r="AI848" s="22"/>
      <c r="AJ848" s="22"/>
      <c r="AK848" s="22"/>
      <c r="AL848" s="22"/>
      <c r="AM848" s="22"/>
      <c r="AN848" s="22"/>
      <c r="AO848" s="22"/>
    </row>
    <row r="849" ht="14.2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55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  <c r="AD849" s="22"/>
      <c r="AE849" s="22"/>
      <c r="AF849" s="22"/>
      <c r="AG849" s="22"/>
      <c r="AH849" s="22"/>
      <c r="AI849" s="22"/>
      <c r="AJ849" s="22"/>
      <c r="AK849" s="22"/>
      <c r="AL849" s="22"/>
      <c r="AM849" s="22"/>
      <c r="AN849" s="22"/>
      <c r="AO849" s="22"/>
    </row>
    <row r="850" ht="14.2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55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  <c r="AD850" s="22"/>
      <c r="AE850" s="22"/>
      <c r="AF850" s="22"/>
      <c r="AG850" s="22"/>
      <c r="AH850" s="22"/>
      <c r="AI850" s="22"/>
      <c r="AJ850" s="22"/>
      <c r="AK850" s="22"/>
      <c r="AL850" s="22"/>
      <c r="AM850" s="22"/>
      <c r="AN850" s="22"/>
      <c r="AO850" s="22"/>
    </row>
    <row r="851" ht="14.2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55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  <c r="AD851" s="22"/>
      <c r="AE851" s="22"/>
      <c r="AF851" s="22"/>
      <c r="AG851" s="22"/>
      <c r="AH851" s="22"/>
      <c r="AI851" s="22"/>
      <c r="AJ851" s="22"/>
      <c r="AK851" s="22"/>
      <c r="AL851" s="22"/>
      <c r="AM851" s="22"/>
      <c r="AN851" s="22"/>
      <c r="AO851" s="22"/>
    </row>
    <row r="852" ht="14.2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55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  <c r="AD852" s="22"/>
      <c r="AE852" s="22"/>
      <c r="AF852" s="22"/>
      <c r="AG852" s="22"/>
      <c r="AH852" s="22"/>
      <c r="AI852" s="22"/>
      <c r="AJ852" s="22"/>
      <c r="AK852" s="22"/>
      <c r="AL852" s="22"/>
      <c r="AM852" s="22"/>
      <c r="AN852" s="22"/>
      <c r="AO852" s="22"/>
    </row>
    <row r="853" ht="14.2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55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  <c r="AD853" s="22"/>
      <c r="AE853" s="22"/>
      <c r="AF853" s="22"/>
      <c r="AG853" s="22"/>
      <c r="AH853" s="22"/>
      <c r="AI853" s="22"/>
      <c r="AJ853" s="22"/>
      <c r="AK853" s="22"/>
      <c r="AL853" s="22"/>
      <c r="AM853" s="22"/>
      <c r="AN853" s="22"/>
      <c r="AO853" s="22"/>
    </row>
    <row r="854" ht="14.2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55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  <c r="AD854" s="22"/>
      <c r="AE854" s="22"/>
      <c r="AF854" s="22"/>
      <c r="AG854" s="22"/>
      <c r="AH854" s="22"/>
      <c r="AI854" s="22"/>
      <c r="AJ854" s="22"/>
      <c r="AK854" s="22"/>
      <c r="AL854" s="22"/>
      <c r="AM854" s="22"/>
      <c r="AN854" s="22"/>
      <c r="AO854" s="22"/>
    </row>
    <row r="855" ht="14.2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55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  <c r="AD855" s="22"/>
      <c r="AE855" s="22"/>
      <c r="AF855" s="22"/>
      <c r="AG855" s="22"/>
      <c r="AH855" s="22"/>
      <c r="AI855" s="22"/>
      <c r="AJ855" s="22"/>
      <c r="AK855" s="22"/>
      <c r="AL855" s="22"/>
      <c r="AM855" s="22"/>
      <c r="AN855" s="22"/>
      <c r="AO855" s="22"/>
    </row>
    <row r="856" ht="14.2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55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  <c r="AD856" s="22"/>
      <c r="AE856" s="22"/>
      <c r="AF856" s="22"/>
      <c r="AG856" s="22"/>
      <c r="AH856" s="22"/>
      <c r="AI856" s="22"/>
      <c r="AJ856" s="22"/>
      <c r="AK856" s="22"/>
      <c r="AL856" s="22"/>
      <c r="AM856" s="22"/>
      <c r="AN856" s="22"/>
      <c r="AO856" s="22"/>
    </row>
    <row r="857" ht="14.2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55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  <c r="AD857" s="22"/>
      <c r="AE857" s="22"/>
      <c r="AF857" s="22"/>
      <c r="AG857" s="22"/>
      <c r="AH857" s="22"/>
      <c r="AI857" s="22"/>
      <c r="AJ857" s="22"/>
      <c r="AK857" s="22"/>
      <c r="AL857" s="22"/>
      <c r="AM857" s="22"/>
      <c r="AN857" s="22"/>
      <c r="AO857" s="22"/>
    </row>
    <row r="858" ht="14.2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55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  <c r="AD858" s="22"/>
      <c r="AE858" s="22"/>
      <c r="AF858" s="22"/>
      <c r="AG858" s="22"/>
      <c r="AH858" s="22"/>
      <c r="AI858" s="22"/>
      <c r="AJ858" s="22"/>
      <c r="AK858" s="22"/>
      <c r="AL858" s="22"/>
      <c r="AM858" s="22"/>
      <c r="AN858" s="22"/>
      <c r="AO858" s="22"/>
    </row>
    <row r="859" ht="14.2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55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  <c r="AD859" s="22"/>
      <c r="AE859" s="22"/>
      <c r="AF859" s="22"/>
      <c r="AG859" s="22"/>
      <c r="AH859" s="22"/>
      <c r="AI859" s="22"/>
      <c r="AJ859" s="22"/>
      <c r="AK859" s="22"/>
      <c r="AL859" s="22"/>
      <c r="AM859" s="22"/>
      <c r="AN859" s="22"/>
      <c r="AO859" s="22"/>
    </row>
    <row r="860" ht="14.2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55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  <c r="AD860" s="22"/>
      <c r="AE860" s="22"/>
      <c r="AF860" s="22"/>
      <c r="AG860" s="22"/>
      <c r="AH860" s="22"/>
      <c r="AI860" s="22"/>
      <c r="AJ860" s="22"/>
      <c r="AK860" s="22"/>
      <c r="AL860" s="22"/>
      <c r="AM860" s="22"/>
      <c r="AN860" s="22"/>
      <c r="AO860" s="22"/>
    </row>
    <row r="861" ht="14.2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55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  <c r="AD861" s="22"/>
      <c r="AE861" s="22"/>
      <c r="AF861" s="22"/>
      <c r="AG861" s="22"/>
      <c r="AH861" s="22"/>
      <c r="AI861" s="22"/>
      <c r="AJ861" s="22"/>
      <c r="AK861" s="22"/>
      <c r="AL861" s="22"/>
      <c r="AM861" s="22"/>
      <c r="AN861" s="22"/>
      <c r="AO861" s="22"/>
    </row>
    <row r="862" ht="14.2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55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  <c r="AD862" s="22"/>
      <c r="AE862" s="22"/>
      <c r="AF862" s="22"/>
      <c r="AG862" s="22"/>
      <c r="AH862" s="22"/>
      <c r="AI862" s="22"/>
      <c r="AJ862" s="22"/>
      <c r="AK862" s="22"/>
      <c r="AL862" s="22"/>
      <c r="AM862" s="22"/>
      <c r="AN862" s="22"/>
      <c r="AO862" s="22"/>
    </row>
    <row r="863" ht="14.2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55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  <c r="AD863" s="22"/>
      <c r="AE863" s="22"/>
      <c r="AF863" s="22"/>
      <c r="AG863" s="22"/>
      <c r="AH863" s="22"/>
      <c r="AI863" s="22"/>
      <c r="AJ863" s="22"/>
      <c r="AK863" s="22"/>
      <c r="AL863" s="22"/>
      <c r="AM863" s="22"/>
      <c r="AN863" s="22"/>
      <c r="AO863" s="22"/>
    </row>
    <row r="864" ht="14.2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55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  <c r="AD864" s="22"/>
      <c r="AE864" s="22"/>
      <c r="AF864" s="22"/>
      <c r="AG864" s="22"/>
      <c r="AH864" s="22"/>
      <c r="AI864" s="22"/>
      <c r="AJ864" s="22"/>
      <c r="AK864" s="22"/>
      <c r="AL864" s="22"/>
      <c r="AM864" s="22"/>
      <c r="AN864" s="22"/>
      <c r="AO864" s="22"/>
    </row>
    <row r="865" ht="14.2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55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  <c r="AD865" s="22"/>
      <c r="AE865" s="22"/>
      <c r="AF865" s="22"/>
      <c r="AG865" s="22"/>
      <c r="AH865" s="22"/>
      <c r="AI865" s="22"/>
      <c r="AJ865" s="22"/>
      <c r="AK865" s="22"/>
      <c r="AL865" s="22"/>
      <c r="AM865" s="22"/>
      <c r="AN865" s="22"/>
      <c r="AO865" s="22"/>
    </row>
    <row r="866" ht="14.2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55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  <c r="AD866" s="22"/>
      <c r="AE866" s="22"/>
      <c r="AF866" s="22"/>
      <c r="AG866" s="22"/>
      <c r="AH866" s="22"/>
      <c r="AI866" s="22"/>
      <c r="AJ866" s="22"/>
      <c r="AK866" s="22"/>
      <c r="AL866" s="22"/>
      <c r="AM866" s="22"/>
      <c r="AN866" s="22"/>
      <c r="AO866" s="22"/>
    </row>
    <row r="867" ht="14.2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55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  <c r="AD867" s="22"/>
      <c r="AE867" s="22"/>
      <c r="AF867" s="22"/>
      <c r="AG867" s="22"/>
      <c r="AH867" s="22"/>
      <c r="AI867" s="22"/>
      <c r="AJ867" s="22"/>
      <c r="AK867" s="22"/>
      <c r="AL867" s="22"/>
      <c r="AM867" s="22"/>
      <c r="AN867" s="22"/>
      <c r="AO867" s="22"/>
    </row>
    <row r="868" ht="14.2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55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  <c r="AD868" s="22"/>
      <c r="AE868" s="22"/>
      <c r="AF868" s="22"/>
      <c r="AG868" s="22"/>
      <c r="AH868" s="22"/>
      <c r="AI868" s="22"/>
      <c r="AJ868" s="22"/>
      <c r="AK868" s="22"/>
      <c r="AL868" s="22"/>
      <c r="AM868" s="22"/>
      <c r="AN868" s="22"/>
      <c r="AO868" s="22"/>
    </row>
    <row r="869" ht="14.2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55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  <c r="AD869" s="22"/>
      <c r="AE869" s="22"/>
      <c r="AF869" s="22"/>
      <c r="AG869" s="22"/>
      <c r="AH869" s="22"/>
      <c r="AI869" s="22"/>
      <c r="AJ869" s="22"/>
      <c r="AK869" s="22"/>
      <c r="AL869" s="22"/>
      <c r="AM869" s="22"/>
      <c r="AN869" s="22"/>
      <c r="AO869" s="22"/>
    </row>
    <row r="870" ht="14.2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55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  <c r="AD870" s="22"/>
      <c r="AE870" s="22"/>
      <c r="AF870" s="22"/>
      <c r="AG870" s="22"/>
      <c r="AH870" s="22"/>
      <c r="AI870" s="22"/>
      <c r="AJ870" s="22"/>
      <c r="AK870" s="22"/>
      <c r="AL870" s="22"/>
      <c r="AM870" s="22"/>
      <c r="AN870" s="22"/>
      <c r="AO870" s="22"/>
    </row>
    <row r="871" ht="14.2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55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  <c r="AD871" s="22"/>
      <c r="AE871" s="22"/>
      <c r="AF871" s="22"/>
      <c r="AG871" s="22"/>
      <c r="AH871" s="22"/>
      <c r="AI871" s="22"/>
      <c r="AJ871" s="22"/>
      <c r="AK871" s="22"/>
      <c r="AL871" s="22"/>
      <c r="AM871" s="22"/>
      <c r="AN871" s="22"/>
      <c r="AO871" s="22"/>
    </row>
    <row r="872" ht="14.2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55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  <c r="AD872" s="22"/>
      <c r="AE872" s="22"/>
      <c r="AF872" s="22"/>
      <c r="AG872" s="22"/>
      <c r="AH872" s="22"/>
      <c r="AI872" s="22"/>
      <c r="AJ872" s="22"/>
      <c r="AK872" s="22"/>
      <c r="AL872" s="22"/>
      <c r="AM872" s="22"/>
      <c r="AN872" s="22"/>
      <c r="AO872" s="22"/>
    </row>
    <row r="873" ht="14.2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55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  <c r="AD873" s="22"/>
      <c r="AE873" s="22"/>
      <c r="AF873" s="22"/>
      <c r="AG873" s="22"/>
      <c r="AH873" s="22"/>
      <c r="AI873" s="22"/>
      <c r="AJ873" s="22"/>
      <c r="AK873" s="22"/>
      <c r="AL873" s="22"/>
      <c r="AM873" s="22"/>
      <c r="AN873" s="22"/>
      <c r="AO873" s="22"/>
    </row>
    <row r="874" ht="14.2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55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  <c r="AD874" s="22"/>
      <c r="AE874" s="22"/>
      <c r="AF874" s="22"/>
      <c r="AG874" s="22"/>
      <c r="AH874" s="22"/>
      <c r="AI874" s="22"/>
      <c r="AJ874" s="22"/>
      <c r="AK874" s="22"/>
      <c r="AL874" s="22"/>
      <c r="AM874" s="22"/>
      <c r="AN874" s="22"/>
      <c r="AO874" s="22"/>
    </row>
    <row r="875" ht="14.2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55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  <c r="AD875" s="22"/>
      <c r="AE875" s="22"/>
      <c r="AF875" s="22"/>
      <c r="AG875" s="22"/>
      <c r="AH875" s="22"/>
      <c r="AI875" s="22"/>
      <c r="AJ875" s="22"/>
      <c r="AK875" s="22"/>
      <c r="AL875" s="22"/>
      <c r="AM875" s="22"/>
      <c r="AN875" s="22"/>
      <c r="AO875" s="22"/>
    </row>
    <row r="876" ht="14.2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55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  <c r="AD876" s="22"/>
      <c r="AE876" s="22"/>
      <c r="AF876" s="22"/>
      <c r="AG876" s="22"/>
      <c r="AH876" s="22"/>
      <c r="AI876" s="22"/>
      <c r="AJ876" s="22"/>
      <c r="AK876" s="22"/>
      <c r="AL876" s="22"/>
      <c r="AM876" s="22"/>
      <c r="AN876" s="22"/>
      <c r="AO876" s="22"/>
    </row>
    <row r="877" ht="14.2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55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  <c r="AD877" s="22"/>
      <c r="AE877" s="22"/>
      <c r="AF877" s="22"/>
      <c r="AG877" s="22"/>
      <c r="AH877" s="22"/>
      <c r="AI877" s="22"/>
      <c r="AJ877" s="22"/>
      <c r="AK877" s="22"/>
      <c r="AL877" s="22"/>
      <c r="AM877" s="22"/>
      <c r="AN877" s="22"/>
      <c r="AO877" s="22"/>
    </row>
    <row r="878" ht="14.2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55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  <c r="AD878" s="22"/>
      <c r="AE878" s="22"/>
      <c r="AF878" s="22"/>
      <c r="AG878" s="22"/>
      <c r="AH878" s="22"/>
      <c r="AI878" s="22"/>
      <c r="AJ878" s="22"/>
      <c r="AK878" s="22"/>
      <c r="AL878" s="22"/>
      <c r="AM878" s="22"/>
      <c r="AN878" s="22"/>
      <c r="AO878" s="22"/>
    </row>
    <row r="879" ht="14.2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55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  <c r="AD879" s="22"/>
      <c r="AE879" s="22"/>
      <c r="AF879" s="22"/>
      <c r="AG879" s="22"/>
      <c r="AH879" s="22"/>
      <c r="AI879" s="22"/>
      <c r="AJ879" s="22"/>
      <c r="AK879" s="22"/>
      <c r="AL879" s="22"/>
      <c r="AM879" s="22"/>
      <c r="AN879" s="22"/>
      <c r="AO879" s="22"/>
    </row>
    <row r="880" ht="14.2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55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  <c r="AD880" s="22"/>
      <c r="AE880" s="22"/>
      <c r="AF880" s="22"/>
      <c r="AG880" s="22"/>
      <c r="AH880" s="22"/>
      <c r="AI880" s="22"/>
      <c r="AJ880" s="22"/>
      <c r="AK880" s="22"/>
      <c r="AL880" s="22"/>
      <c r="AM880" s="22"/>
      <c r="AN880" s="22"/>
      <c r="AO880" s="22"/>
    </row>
    <row r="881" ht="14.2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55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  <c r="AD881" s="22"/>
      <c r="AE881" s="22"/>
      <c r="AF881" s="22"/>
      <c r="AG881" s="22"/>
      <c r="AH881" s="22"/>
      <c r="AI881" s="22"/>
      <c r="AJ881" s="22"/>
      <c r="AK881" s="22"/>
      <c r="AL881" s="22"/>
      <c r="AM881" s="22"/>
      <c r="AN881" s="22"/>
      <c r="AO881" s="22"/>
    </row>
    <row r="882" ht="14.2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55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  <c r="AD882" s="22"/>
      <c r="AE882" s="22"/>
      <c r="AF882" s="22"/>
      <c r="AG882" s="22"/>
      <c r="AH882" s="22"/>
      <c r="AI882" s="22"/>
      <c r="AJ882" s="22"/>
      <c r="AK882" s="22"/>
      <c r="AL882" s="22"/>
      <c r="AM882" s="22"/>
      <c r="AN882" s="22"/>
      <c r="AO882" s="22"/>
    </row>
    <row r="883" ht="14.2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55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  <c r="AD883" s="22"/>
      <c r="AE883" s="22"/>
      <c r="AF883" s="22"/>
      <c r="AG883" s="22"/>
      <c r="AH883" s="22"/>
      <c r="AI883" s="22"/>
      <c r="AJ883" s="22"/>
      <c r="AK883" s="22"/>
      <c r="AL883" s="22"/>
      <c r="AM883" s="22"/>
      <c r="AN883" s="22"/>
      <c r="AO883" s="22"/>
    </row>
    <row r="884" ht="14.2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55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  <c r="AD884" s="22"/>
      <c r="AE884" s="22"/>
      <c r="AF884" s="22"/>
      <c r="AG884" s="22"/>
      <c r="AH884" s="22"/>
      <c r="AI884" s="22"/>
      <c r="AJ884" s="22"/>
      <c r="AK884" s="22"/>
      <c r="AL884" s="22"/>
      <c r="AM884" s="22"/>
      <c r="AN884" s="22"/>
      <c r="AO884" s="22"/>
    </row>
    <row r="885" ht="14.2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55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  <c r="AD885" s="22"/>
      <c r="AE885" s="22"/>
      <c r="AF885" s="22"/>
      <c r="AG885" s="22"/>
      <c r="AH885" s="22"/>
      <c r="AI885" s="22"/>
      <c r="AJ885" s="22"/>
      <c r="AK885" s="22"/>
      <c r="AL885" s="22"/>
      <c r="AM885" s="22"/>
      <c r="AN885" s="22"/>
      <c r="AO885" s="22"/>
    </row>
    <row r="886" ht="14.2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55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  <c r="AD886" s="22"/>
      <c r="AE886" s="22"/>
      <c r="AF886" s="22"/>
      <c r="AG886" s="22"/>
      <c r="AH886" s="22"/>
      <c r="AI886" s="22"/>
      <c r="AJ886" s="22"/>
      <c r="AK886" s="22"/>
      <c r="AL886" s="22"/>
      <c r="AM886" s="22"/>
      <c r="AN886" s="22"/>
      <c r="AO886" s="22"/>
    </row>
    <row r="887" ht="14.2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55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  <c r="AD887" s="22"/>
      <c r="AE887" s="22"/>
      <c r="AF887" s="22"/>
      <c r="AG887" s="22"/>
      <c r="AH887" s="22"/>
      <c r="AI887" s="22"/>
      <c r="AJ887" s="22"/>
      <c r="AK887" s="22"/>
      <c r="AL887" s="22"/>
      <c r="AM887" s="22"/>
      <c r="AN887" s="22"/>
      <c r="AO887" s="22"/>
    </row>
    <row r="888" ht="14.2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55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  <c r="AD888" s="22"/>
      <c r="AE888" s="22"/>
      <c r="AF888" s="22"/>
      <c r="AG888" s="22"/>
      <c r="AH888" s="22"/>
      <c r="AI888" s="22"/>
      <c r="AJ888" s="22"/>
      <c r="AK888" s="22"/>
      <c r="AL888" s="22"/>
      <c r="AM888" s="22"/>
      <c r="AN888" s="22"/>
      <c r="AO888" s="22"/>
    </row>
    <row r="889" ht="14.2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55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  <c r="AD889" s="22"/>
      <c r="AE889" s="22"/>
      <c r="AF889" s="22"/>
      <c r="AG889" s="22"/>
      <c r="AH889" s="22"/>
      <c r="AI889" s="22"/>
      <c r="AJ889" s="22"/>
      <c r="AK889" s="22"/>
      <c r="AL889" s="22"/>
      <c r="AM889" s="22"/>
      <c r="AN889" s="22"/>
      <c r="AO889" s="22"/>
    </row>
    <row r="890" ht="14.2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55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  <c r="AD890" s="22"/>
      <c r="AE890" s="22"/>
      <c r="AF890" s="22"/>
      <c r="AG890" s="22"/>
      <c r="AH890" s="22"/>
      <c r="AI890" s="22"/>
      <c r="AJ890" s="22"/>
      <c r="AK890" s="22"/>
      <c r="AL890" s="22"/>
      <c r="AM890" s="22"/>
      <c r="AN890" s="22"/>
      <c r="AO890" s="22"/>
    </row>
    <row r="891" ht="14.2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55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  <c r="AD891" s="22"/>
      <c r="AE891" s="22"/>
      <c r="AF891" s="22"/>
      <c r="AG891" s="22"/>
      <c r="AH891" s="22"/>
      <c r="AI891" s="22"/>
      <c r="AJ891" s="22"/>
      <c r="AK891" s="22"/>
      <c r="AL891" s="22"/>
      <c r="AM891" s="22"/>
      <c r="AN891" s="22"/>
      <c r="AO891" s="22"/>
    </row>
    <row r="892" ht="14.2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55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  <c r="AD892" s="22"/>
      <c r="AE892" s="22"/>
      <c r="AF892" s="22"/>
      <c r="AG892" s="22"/>
      <c r="AH892" s="22"/>
      <c r="AI892" s="22"/>
      <c r="AJ892" s="22"/>
      <c r="AK892" s="22"/>
      <c r="AL892" s="22"/>
      <c r="AM892" s="22"/>
      <c r="AN892" s="22"/>
      <c r="AO892" s="22"/>
    </row>
    <row r="893" ht="14.2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55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  <c r="AD893" s="22"/>
      <c r="AE893" s="22"/>
      <c r="AF893" s="22"/>
      <c r="AG893" s="22"/>
      <c r="AH893" s="22"/>
      <c r="AI893" s="22"/>
      <c r="AJ893" s="22"/>
      <c r="AK893" s="22"/>
      <c r="AL893" s="22"/>
      <c r="AM893" s="22"/>
      <c r="AN893" s="22"/>
      <c r="AO893" s="22"/>
    </row>
    <row r="894" ht="14.2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55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  <c r="AD894" s="22"/>
      <c r="AE894" s="22"/>
      <c r="AF894" s="22"/>
      <c r="AG894" s="22"/>
      <c r="AH894" s="22"/>
      <c r="AI894" s="22"/>
      <c r="AJ894" s="22"/>
      <c r="AK894" s="22"/>
      <c r="AL894" s="22"/>
      <c r="AM894" s="22"/>
      <c r="AN894" s="22"/>
      <c r="AO894" s="22"/>
    </row>
    <row r="895" ht="14.2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55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  <c r="AD895" s="22"/>
      <c r="AE895" s="22"/>
      <c r="AF895" s="22"/>
      <c r="AG895" s="22"/>
      <c r="AH895" s="22"/>
      <c r="AI895" s="22"/>
      <c r="AJ895" s="22"/>
      <c r="AK895" s="22"/>
      <c r="AL895" s="22"/>
      <c r="AM895" s="22"/>
      <c r="AN895" s="22"/>
      <c r="AO895" s="22"/>
    </row>
    <row r="896" ht="14.2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55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  <c r="AD896" s="22"/>
      <c r="AE896" s="22"/>
      <c r="AF896" s="22"/>
      <c r="AG896" s="22"/>
      <c r="AH896" s="22"/>
      <c r="AI896" s="22"/>
      <c r="AJ896" s="22"/>
      <c r="AK896" s="22"/>
      <c r="AL896" s="22"/>
      <c r="AM896" s="22"/>
      <c r="AN896" s="22"/>
      <c r="AO896" s="22"/>
    </row>
    <row r="897" ht="14.2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55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  <c r="AD897" s="22"/>
      <c r="AE897" s="22"/>
      <c r="AF897" s="22"/>
      <c r="AG897" s="22"/>
      <c r="AH897" s="22"/>
      <c r="AI897" s="22"/>
      <c r="AJ897" s="22"/>
      <c r="AK897" s="22"/>
      <c r="AL897" s="22"/>
      <c r="AM897" s="22"/>
      <c r="AN897" s="22"/>
      <c r="AO897" s="22"/>
    </row>
    <row r="898" ht="14.2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55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  <c r="AD898" s="22"/>
      <c r="AE898" s="22"/>
      <c r="AF898" s="22"/>
      <c r="AG898" s="22"/>
      <c r="AH898" s="22"/>
      <c r="AI898" s="22"/>
      <c r="AJ898" s="22"/>
      <c r="AK898" s="22"/>
      <c r="AL898" s="22"/>
      <c r="AM898" s="22"/>
      <c r="AN898" s="22"/>
      <c r="AO898" s="22"/>
    </row>
    <row r="899" ht="14.2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55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  <c r="AD899" s="22"/>
      <c r="AE899" s="22"/>
      <c r="AF899" s="22"/>
      <c r="AG899" s="22"/>
      <c r="AH899" s="22"/>
      <c r="AI899" s="22"/>
      <c r="AJ899" s="22"/>
      <c r="AK899" s="22"/>
      <c r="AL899" s="22"/>
      <c r="AM899" s="22"/>
      <c r="AN899" s="22"/>
      <c r="AO899" s="22"/>
    </row>
    <row r="900" ht="14.2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55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  <c r="AD900" s="22"/>
      <c r="AE900" s="22"/>
      <c r="AF900" s="22"/>
      <c r="AG900" s="22"/>
      <c r="AH900" s="22"/>
      <c r="AI900" s="22"/>
      <c r="AJ900" s="22"/>
      <c r="AK900" s="22"/>
      <c r="AL900" s="22"/>
      <c r="AM900" s="22"/>
      <c r="AN900" s="22"/>
      <c r="AO900" s="22"/>
    </row>
    <row r="901" ht="14.2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55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  <c r="AD901" s="22"/>
      <c r="AE901" s="22"/>
      <c r="AF901" s="22"/>
      <c r="AG901" s="22"/>
      <c r="AH901" s="22"/>
      <c r="AI901" s="22"/>
      <c r="AJ901" s="22"/>
      <c r="AK901" s="22"/>
      <c r="AL901" s="22"/>
      <c r="AM901" s="22"/>
      <c r="AN901" s="22"/>
      <c r="AO901" s="22"/>
    </row>
    <row r="902" ht="14.2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55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  <c r="AD902" s="22"/>
      <c r="AE902" s="22"/>
      <c r="AF902" s="22"/>
      <c r="AG902" s="22"/>
      <c r="AH902" s="22"/>
      <c r="AI902" s="22"/>
      <c r="AJ902" s="22"/>
      <c r="AK902" s="22"/>
      <c r="AL902" s="22"/>
      <c r="AM902" s="22"/>
      <c r="AN902" s="22"/>
      <c r="AO902" s="22"/>
    </row>
    <row r="903" ht="14.2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55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  <c r="AD903" s="22"/>
      <c r="AE903" s="22"/>
      <c r="AF903" s="22"/>
      <c r="AG903" s="22"/>
      <c r="AH903" s="22"/>
      <c r="AI903" s="22"/>
      <c r="AJ903" s="22"/>
      <c r="AK903" s="22"/>
      <c r="AL903" s="22"/>
      <c r="AM903" s="22"/>
      <c r="AN903" s="22"/>
      <c r="AO903" s="22"/>
    </row>
    <row r="904" ht="14.2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55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  <c r="AD904" s="22"/>
      <c r="AE904" s="22"/>
      <c r="AF904" s="22"/>
      <c r="AG904" s="22"/>
      <c r="AH904" s="22"/>
      <c r="AI904" s="22"/>
      <c r="AJ904" s="22"/>
      <c r="AK904" s="22"/>
      <c r="AL904" s="22"/>
      <c r="AM904" s="22"/>
      <c r="AN904" s="22"/>
      <c r="AO904" s="22"/>
    </row>
    <row r="905" ht="14.2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55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  <c r="AD905" s="22"/>
      <c r="AE905" s="22"/>
      <c r="AF905" s="22"/>
      <c r="AG905" s="22"/>
      <c r="AH905" s="22"/>
      <c r="AI905" s="22"/>
      <c r="AJ905" s="22"/>
      <c r="AK905" s="22"/>
      <c r="AL905" s="22"/>
      <c r="AM905" s="22"/>
      <c r="AN905" s="22"/>
      <c r="AO905" s="22"/>
    </row>
    <row r="906" ht="14.2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55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  <c r="AD906" s="22"/>
      <c r="AE906" s="22"/>
      <c r="AF906" s="22"/>
      <c r="AG906" s="22"/>
      <c r="AH906" s="22"/>
      <c r="AI906" s="22"/>
      <c r="AJ906" s="22"/>
      <c r="AK906" s="22"/>
      <c r="AL906" s="22"/>
      <c r="AM906" s="22"/>
      <c r="AN906" s="22"/>
      <c r="AO906" s="22"/>
    </row>
    <row r="907" ht="14.2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55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  <c r="AD907" s="22"/>
      <c r="AE907" s="22"/>
      <c r="AF907" s="22"/>
      <c r="AG907" s="22"/>
      <c r="AH907" s="22"/>
      <c r="AI907" s="22"/>
      <c r="AJ907" s="22"/>
      <c r="AK907" s="22"/>
      <c r="AL907" s="22"/>
      <c r="AM907" s="22"/>
      <c r="AN907" s="22"/>
      <c r="AO907" s="22"/>
    </row>
    <row r="908" ht="14.2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55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  <c r="AD908" s="22"/>
      <c r="AE908" s="22"/>
      <c r="AF908" s="22"/>
      <c r="AG908" s="22"/>
      <c r="AH908" s="22"/>
      <c r="AI908" s="22"/>
      <c r="AJ908" s="22"/>
      <c r="AK908" s="22"/>
      <c r="AL908" s="22"/>
      <c r="AM908" s="22"/>
      <c r="AN908" s="22"/>
      <c r="AO908" s="22"/>
    </row>
    <row r="909" ht="14.2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55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  <c r="AD909" s="22"/>
      <c r="AE909" s="22"/>
      <c r="AF909" s="22"/>
      <c r="AG909" s="22"/>
      <c r="AH909" s="22"/>
      <c r="AI909" s="22"/>
      <c r="AJ909" s="22"/>
      <c r="AK909" s="22"/>
      <c r="AL909" s="22"/>
      <c r="AM909" s="22"/>
      <c r="AN909" s="22"/>
      <c r="AO909" s="22"/>
    </row>
    <row r="910" ht="14.2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55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  <c r="AD910" s="22"/>
      <c r="AE910" s="22"/>
      <c r="AF910" s="22"/>
      <c r="AG910" s="22"/>
      <c r="AH910" s="22"/>
      <c r="AI910" s="22"/>
      <c r="AJ910" s="22"/>
      <c r="AK910" s="22"/>
      <c r="AL910" s="22"/>
      <c r="AM910" s="22"/>
      <c r="AN910" s="22"/>
      <c r="AO910" s="22"/>
    </row>
    <row r="911" ht="14.2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55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  <c r="AD911" s="22"/>
      <c r="AE911" s="22"/>
      <c r="AF911" s="22"/>
      <c r="AG911" s="22"/>
      <c r="AH911" s="22"/>
      <c r="AI911" s="22"/>
      <c r="AJ911" s="22"/>
      <c r="AK911" s="22"/>
      <c r="AL911" s="22"/>
      <c r="AM911" s="22"/>
      <c r="AN911" s="22"/>
      <c r="AO911" s="22"/>
    </row>
    <row r="912" ht="14.2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55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  <c r="AD912" s="22"/>
      <c r="AE912" s="22"/>
      <c r="AF912" s="22"/>
      <c r="AG912" s="22"/>
      <c r="AH912" s="22"/>
      <c r="AI912" s="22"/>
      <c r="AJ912" s="22"/>
      <c r="AK912" s="22"/>
      <c r="AL912" s="22"/>
      <c r="AM912" s="22"/>
      <c r="AN912" s="22"/>
      <c r="AO912" s="22"/>
    </row>
    <row r="913" ht="14.2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55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  <c r="AD913" s="22"/>
      <c r="AE913" s="22"/>
      <c r="AF913" s="22"/>
      <c r="AG913" s="22"/>
      <c r="AH913" s="22"/>
      <c r="AI913" s="22"/>
      <c r="AJ913" s="22"/>
      <c r="AK913" s="22"/>
      <c r="AL913" s="22"/>
      <c r="AM913" s="22"/>
      <c r="AN913" s="22"/>
      <c r="AO913" s="22"/>
    </row>
    <row r="914" ht="14.2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55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  <c r="AD914" s="22"/>
      <c r="AE914" s="22"/>
      <c r="AF914" s="22"/>
      <c r="AG914" s="22"/>
      <c r="AH914" s="22"/>
      <c r="AI914" s="22"/>
      <c r="AJ914" s="22"/>
      <c r="AK914" s="22"/>
      <c r="AL914" s="22"/>
      <c r="AM914" s="22"/>
      <c r="AN914" s="22"/>
      <c r="AO914" s="22"/>
    </row>
    <row r="915" ht="14.2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55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  <c r="AD915" s="22"/>
      <c r="AE915" s="22"/>
      <c r="AF915" s="22"/>
      <c r="AG915" s="22"/>
      <c r="AH915" s="22"/>
      <c r="AI915" s="22"/>
      <c r="AJ915" s="22"/>
      <c r="AK915" s="22"/>
      <c r="AL915" s="22"/>
      <c r="AM915" s="22"/>
      <c r="AN915" s="22"/>
      <c r="AO915" s="22"/>
    </row>
    <row r="916" ht="14.2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55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  <c r="AD916" s="22"/>
      <c r="AE916" s="22"/>
      <c r="AF916" s="22"/>
      <c r="AG916" s="22"/>
      <c r="AH916" s="22"/>
      <c r="AI916" s="22"/>
      <c r="AJ916" s="22"/>
      <c r="AK916" s="22"/>
      <c r="AL916" s="22"/>
      <c r="AM916" s="22"/>
      <c r="AN916" s="22"/>
      <c r="AO916" s="22"/>
    </row>
    <row r="917" ht="14.2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55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  <c r="AD917" s="22"/>
      <c r="AE917" s="22"/>
      <c r="AF917" s="22"/>
      <c r="AG917" s="22"/>
      <c r="AH917" s="22"/>
      <c r="AI917" s="22"/>
      <c r="AJ917" s="22"/>
      <c r="AK917" s="22"/>
      <c r="AL917" s="22"/>
      <c r="AM917" s="22"/>
      <c r="AN917" s="22"/>
      <c r="AO917" s="22"/>
    </row>
    <row r="918" ht="14.2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55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  <c r="AD918" s="22"/>
      <c r="AE918" s="22"/>
      <c r="AF918" s="22"/>
      <c r="AG918" s="22"/>
      <c r="AH918" s="22"/>
      <c r="AI918" s="22"/>
      <c r="AJ918" s="22"/>
      <c r="AK918" s="22"/>
      <c r="AL918" s="22"/>
      <c r="AM918" s="22"/>
      <c r="AN918" s="22"/>
      <c r="AO918" s="22"/>
    </row>
    <row r="919" ht="14.2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55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  <c r="AD919" s="22"/>
      <c r="AE919" s="22"/>
      <c r="AF919" s="22"/>
      <c r="AG919" s="22"/>
      <c r="AH919" s="22"/>
      <c r="AI919" s="22"/>
      <c r="AJ919" s="22"/>
      <c r="AK919" s="22"/>
      <c r="AL919" s="22"/>
      <c r="AM919" s="22"/>
      <c r="AN919" s="22"/>
      <c r="AO919" s="22"/>
    </row>
    <row r="920" ht="14.2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55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  <c r="AD920" s="22"/>
      <c r="AE920" s="22"/>
      <c r="AF920" s="22"/>
      <c r="AG920" s="22"/>
      <c r="AH920" s="22"/>
      <c r="AI920" s="22"/>
      <c r="AJ920" s="22"/>
      <c r="AK920" s="22"/>
      <c r="AL920" s="22"/>
      <c r="AM920" s="22"/>
      <c r="AN920" s="22"/>
      <c r="AO920" s="22"/>
    </row>
    <row r="921" ht="14.2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55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  <c r="AD921" s="22"/>
      <c r="AE921" s="22"/>
      <c r="AF921" s="22"/>
      <c r="AG921" s="22"/>
      <c r="AH921" s="22"/>
      <c r="AI921" s="22"/>
      <c r="AJ921" s="22"/>
      <c r="AK921" s="22"/>
      <c r="AL921" s="22"/>
      <c r="AM921" s="22"/>
      <c r="AN921" s="22"/>
      <c r="AO921" s="22"/>
    </row>
    <row r="922" ht="14.2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55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  <c r="AD922" s="22"/>
      <c r="AE922" s="22"/>
      <c r="AF922" s="22"/>
      <c r="AG922" s="22"/>
      <c r="AH922" s="22"/>
      <c r="AI922" s="22"/>
      <c r="AJ922" s="22"/>
      <c r="AK922" s="22"/>
      <c r="AL922" s="22"/>
      <c r="AM922" s="22"/>
      <c r="AN922" s="22"/>
      <c r="AO922" s="22"/>
    </row>
    <row r="923" ht="14.2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55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  <c r="AD923" s="22"/>
      <c r="AE923" s="22"/>
      <c r="AF923" s="22"/>
      <c r="AG923" s="22"/>
      <c r="AH923" s="22"/>
      <c r="AI923" s="22"/>
      <c r="AJ923" s="22"/>
      <c r="AK923" s="22"/>
      <c r="AL923" s="22"/>
      <c r="AM923" s="22"/>
      <c r="AN923" s="22"/>
      <c r="AO923" s="22"/>
    </row>
    <row r="924" ht="14.2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55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  <c r="AD924" s="22"/>
      <c r="AE924" s="22"/>
      <c r="AF924" s="22"/>
      <c r="AG924" s="22"/>
      <c r="AH924" s="22"/>
      <c r="AI924" s="22"/>
      <c r="AJ924" s="22"/>
      <c r="AK924" s="22"/>
      <c r="AL924" s="22"/>
      <c r="AM924" s="22"/>
      <c r="AN924" s="22"/>
      <c r="AO924" s="22"/>
    </row>
    <row r="925" ht="14.2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55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  <c r="AD925" s="22"/>
      <c r="AE925" s="22"/>
      <c r="AF925" s="22"/>
      <c r="AG925" s="22"/>
      <c r="AH925" s="22"/>
      <c r="AI925" s="22"/>
      <c r="AJ925" s="22"/>
      <c r="AK925" s="22"/>
      <c r="AL925" s="22"/>
      <c r="AM925" s="22"/>
      <c r="AN925" s="22"/>
      <c r="AO925" s="22"/>
    </row>
    <row r="926" ht="14.2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55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  <c r="AD926" s="22"/>
      <c r="AE926" s="22"/>
      <c r="AF926" s="22"/>
      <c r="AG926" s="22"/>
      <c r="AH926" s="22"/>
      <c r="AI926" s="22"/>
      <c r="AJ926" s="22"/>
      <c r="AK926" s="22"/>
      <c r="AL926" s="22"/>
      <c r="AM926" s="22"/>
      <c r="AN926" s="22"/>
      <c r="AO926" s="22"/>
    </row>
    <row r="927" ht="14.2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55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  <c r="AD927" s="22"/>
      <c r="AE927" s="22"/>
      <c r="AF927" s="22"/>
      <c r="AG927" s="22"/>
      <c r="AH927" s="22"/>
      <c r="AI927" s="22"/>
      <c r="AJ927" s="22"/>
      <c r="AK927" s="22"/>
      <c r="AL927" s="22"/>
      <c r="AM927" s="22"/>
      <c r="AN927" s="22"/>
      <c r="AO927" s="22"/>
    </row>
    <row r="928" ht="14.2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55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  <c r="AD928" s="22"/>
      <c r="AE928" s="22"/>
      <c r="AF928" s="22"/>
      <c r="AG928" s="22"/>
      <c r="AH928" s="22"/>
      <c r="AI928" s="22"/>
      <c r="AJ928" s="22"/>
      <c r="AK928" s="22"/>
      <c r="AL928" s="22"/>
      <c r="AM928" s="22"/>
      <c r="AN928" s="22"/>
      <c r="AO928" s="22"/>
    </row>
    <row r="929" ht="14.2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55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  <c r="AD929" s="22"/>
      <c r="AE929" s="22"/>
      <c r="AF929" s="22"/>
      <c r="AG929" s="22"/>
      <c r="AH929" s="22"/>
      <c r="AI929" s="22"/>
      <c r="AJ929" s="22"/>
      <c r="AK929" s="22"/>
      <c r="AL929" s="22"/>
      <c r="AM929" s="22"/>
      <c r="AN929" s="22"/>
      <c r="AO929" s="22"/>
    </row>
    <row r="930" ht="14.2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55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  <c r="AD930" s="22"/>
      <c r="AE930" s="22"/>
      <c r="AF930" s="22"/>
      <c r="AG930" s="22"/>
      <c r="AH930" s="22"/>
      <c r="AI930" s="22"/>
      <c r="AJ930" s="22"/>
      <c r="AK930" s="22"/>
      <c r="AL930" s="22"/>
      <c r="AM930" s="22"/>
      <c r="AN930" s="22"/>
      <c r="AO930" s="22"/>
    </row>
    <row r="931" ht="14.2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55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  <c r="AD931" s="22"/>
      <c r="AE931" s="22"/>
      <c r="AF931" s="22"/>
      <c r="AG931" s="22"/>
      <c r="AH931" s="22"/>
      <c r="AI931" s="22"/>
      <c r="AJ931" s="22"/>
      <c r="AK931" s="22"/>
      <c r="AL931" s="22"/>
      <c r="AM931" s="22"/>
      <c r="AN931" s="22"/>
      <c r="AO931" s="22"/>
    </row>
    <row r="932" ht="14.2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55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  <c r="AD932" s="22"/>
      <c r="AE932" s="22"/>
      <c r="AF932" s="22"/>
      <c r="AG932" s="22"/>
      <c r="AH932" s="22"/>
      <c r="AI932" s="22"/>
      <c r="AJ932" s="22"/>
      <c r="AK932" s="22"/>
      <c r="AL932" s="22"/>
      <c r="AM932" s="22"/>
      <c r="AN932" s="22"/>
      <c r="AO932" s="22"/>
    </row>
    <row r="933" ht="14.2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55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  <c r="AD933" s="22"/>
      <c r="AE933" s="22"/>
      <c r="AF933" s="22"/>
      <c r="AG933" s="22"/>
      <c r="AH933" s="22"/>
      <c r="AI933" s="22"/>
      <c r="AJ933" s="22"/>
      <c r="AK933" s="22"/>
      <c r="AL933" s="22"/>
      <c r="AM933" s="22"/>
      <c r="AN933" s="22"/>
      <c r="AO933" s="22"/>
    </row>
    <row r="934" ht="14.2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55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  <c r="AD934" s="22"/>
      <c r="AE934" s="22"/>
      <c r="AF934" s="22"/>
      <c r="AG934" s="22"/>
      <c r="AH934" s="22"/>
      <c r="AI934" s="22"/>
      <c r="AJ934" s="22"/>
      <c r="AK934" s="22"/>
      <c r="AL934" s="22"/>
      <c r="AM934" s="22"/>
      <c r="AN934" s="22"/>
      <c r="AO934" s="22"/>
    </row>
    <row r="935" ht="14.2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55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  <c r="AD935" s="22"/>
      <c r="AE935" s="22"/>
      <c r="AF935" s="22"/>
      <c r="AG935" s="22"/>
      <c r="AH935" s="22"/>
      <c r="AI935" s="22"/>
      <c r="AJ935" s="22"/>
      <c r="AK935" s="22"/>
      <c r="AL935" s="22"/>
      <c r="AM935" s="22"/>
      <c r="AN935" s="22"/>
      <c r="AO935" s="22"/>
    </row>
    <row r="936" ht="14.2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55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  <c r="AD936" s="22"/>
      <c r="AE936" s="22"/>
      <c r="AF936" s="22"/>
      <c r="AG936" s="22"/>
      <c r="AH936" s="22"/>
      <c r="AI936" s="22"/>
      <c r="AJ936" s="22"/>
      <c r="AK936" s="22"/>
      <c r="AL936" s="22"/>
      <c r="AM936" s="22"/>
      <c r="AN936" s="22"/>
      <c r="AO936" s="22"/>
    </row>
    <row r="937" ht="14.2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55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  <c r="AD937" s="22"/>
      <c r="AE937" s="22"/>
      <c r="AF937" s="22"/>
      <c r="AG937" s="22"/>
      <c r="AH937" s="22"/>
      <c r="AI937" s="22"/>
      <c r="AJ937" s="22"/>
      <c r="AK937" s="22"/>
      <c r="AL937" s="22"/>
      <c r="AM937" s="22"/>
      <c r="AN937" s="22"/>
      <c r="AO937" s="22"/>
    </row>
    <row r="938" ht="14.2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55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  <c r="AD938" s="22"/>
      <c r="AE938" s="22"/>
      <c r="AF938" s="22"/>
      <c r="AG938" s="22"/>
      <c r="AH938" s="22"/>
      <c r="AI938" s="22"/>
      <c r="AJ938" s="22"/>
      <c r="AK938" s="22"/>
      <c r="AL938" s="22"/>
      <c r="AM938" s="22"/>
      <c r="AN938" s="22"/>
      <c r="AO938" s="22"/>
    </row>
    <row r="939" ht="14.2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55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  <c r="AD939" s="22"/>
      <c r="AE939" s="22"/>
      <c r="AF939" s="22"/>
      <c r="AG939" s="22"/>
      <c r="AH939" s="22"/>
      <c r="AI939" s="22"/>
      <c r="AJ939" s="22"/>
      <c r="AK939" s="22"/>
      <c r="AL939" s="22"/>
      <c r="AM939" s="22"/>
      <c r="AN939" s="22"/>
      <c r="AO939" s="22"/>
    </row>
    <row r="940" ht="14.2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55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  <c r="AD940" s="22"/>
      <c r="AE940" s="22"/>
      <c r="AF940" s="22"/>
      <c r="AG940" s="22"/>
      <c r="AH940" s="22"/>
      <c r="AI940" s="22"/>
      <c r="AJ940" s="22"/>
      <c r="AK940" s="22"/>
      <c r="AL940" s="22"/>
      <c r="AM940" s="22"/>
      <c r="AN940" s="22"/>
      <c r="AO940" s="22"/>
    </row>
    <row r="941" ht="14.2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55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  <c r="AD941" s="22"/>
      <c r="AE941" s="22"/>
      <c r="AF941" s="22"/>
      <c r="AG941" s="22"/>
      <c r="AH941" s="22"/>
      <c r="AI941" s="22"/>
      <c r="AJ941" s="22"/>
      <c r="AK941" s="22"/>
      <c r="AL941" s="22"/>
      <c r="AM941" s="22"/>
      <c r="AN941" s="22"/>
      <c r="AO941" s="22"/>
    </row>
    <row r="942" ht="14.2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55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  <c r="AD942" s="22"/>
      <c r="AE942" s="22"/>
      <c r="AF942" s="22"/>
      <c r="AG942" s="22"/>
      <c r="AH942" s="22"/>
      <c r="AI942" s="22"/>
      <c r="AJ942" s="22"/>
      <c r="AK942" s="22"/>
      <c r="AL942" s="22"/>
      <c r="AM942" s="22"/>
      <c r="AN942" s="22"/>
      <c r="AO942" s="22"/>
    </row>
    <row r="943" ht="14.2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55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  <c r="AD943" s="22"/>
      <c r="AE943" s="22"/>
      <c r="AF943" s="22"/>
      <c r="AG943" s="22"/>
      <c r="AH943" s="22"/>
      <c r="AI943" s="22"/>
      <c r="AJ943" s="22"/>
      <c r="AK943" s="22"/>
      <c r="AL943" s="22"/>
      <c r="AM943" s="22"/>
      <c r="AN943" s="22"/>
      <c r="AO943" s="22"/>
    </row>
    <row r="944" ht="14.2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55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  <c r="AD944" s="22"/>
      <c r="AE944" s="22"/>
      <c r="AF944" s="22"/>
      <c r="AG944" s="22"/>
      <c r="AH944" s="22"/>
      <c r="AI944" s="22"/>
      <c r="AJ944" s="22"/>
      <c r="AK944" s="22"/>
      <c r="AL944" s="22"/>
      <c r="AM944" s="22"/>
      <c r="AN944" s="22"/>
      <c r="AO944" s="22"/>
    </row>
    <row r="945" ht="14.2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55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  <c r="AD945" s="22"/>
      <c r="AE945" s="22"/>
      <c r="AF945" s="22"/>
      <c r="AG945" s="22"/>
      <c r="AH945" s="22"/>
      <c r="AI945" s="22"/>
      <c r="AJ945" s="22"/>
      <c r="AK945" s="22"/>
      <c r="AL945" s="22"/>
      <c r="AM945" s="22"/>
      <c r="AN945" s="22"/>
      <c r="AO945" s="22"/>
    </row>
    <row r="946" ht="14.2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55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  <c r="AD946" s="22"/>
      <c r="AE946" s="22"/>
      <c r="AF946" s="22"/>
      <c r="AG946" s="22"/>
      <c r="AH946" s="22"/>
      <c r="AI946" s="22"/>
      <c r="AJ946" s="22"/>
      <c r="AK946" s="22"/>
      <c r="AL946" s="22"/>
      <c r="AM946" s="22"/>
      <c r="AN946" s="22"/>
      <c r="AO946" s="22"/>
    </row>
    <row r="947" ht="14.2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55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  <c r="AD947" s="22"/>
      <c r="AE947" s="22"/>
      <c r="AF947" s="22"/>
      <c r="AG947" s="22"/>
      <c r="AH947" s="22"/>
      <c r="AI947" s="22"/>
      <c r="AJ947" s="22"/>
      <c r="AK947" s="22"/>
      <c r="AL947" s="22"/>
      <c r="AM947" s="22"/>
      <c r="AN947" s="22"/>
      <c r="AO947" s="22"/>
    </row>
    <row r="948" ht="14.2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55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  <c r="AD948" s="22"/>
      <c r="AE948" s="22"/>
      <c r="AF948" s="22"/>
      <c r="AG948" s="22"/>
      <c r="AH948" s="22"/>
      <c r="AI948" s="22"/>
      <c r="AJ948" s="22"/>
      <c r="AK948" s="22"/>
      <c r="AL948" s="22"/>
      <c r="AM948" s="22"/>
      <c r="AN948" s="22"/>
      <c r="AO948" s="22"/>
    </row>
    <row r="949" ht="14.2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55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  <c r="AD949" s="22"/>
      <c r="AE949" s="22"/>
      <c r="AF949" s="22"/>
      <c r="AG949" s="22"/>
      <c r="AH949" s="22"/>
      <c r="AI949" s="22"/>
      <c r="AJ949" s="22"/>
      <c r="AK949" s="22"/>
      <c r="AL949" s="22"/>
      <c r="AM949" s="22"/>
      <c r="AN949" s="22"/>
      <c r="AO949" s="22"/>
    </row>
    <row r="950" ht="14.2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55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  <c r="AD950" s="22"/>
      <c r="AE950" s="22"/>
      <c r="AF950" s="22"/>
      <c r="AG950" s="22"/>
      <c r="AH950" s="22"/>
      <c r="AI950" s="22"/>
      <c r="AJ950" s="22"/>
      <c r="AK950" s="22"/>
      <c r="AL950" s="22"/>
      <c r="AM950" s="22"/>
      <c r="AN950" s="22"/>
      <c r="AO950" s="22"/>
    </row>
    <row r="951" ht="14.2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55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  <c r="AD951" s="22"/>
      <c r="AE951" s="22"/>
      <c r="AF951" s="22"/>
      <c r="AG951" s="22"/>
      <c r="AH951" s="22"/>
      <c r="AI951" s="22"/>
      <c r="AJ951" s="22"/>
      <c r="AK951" s="22"/>
      <c r="AL951" s="22"/>
      <c r="AM951" s="22"/>
      <c r="AN951" s="22"/>
      <c r="AO951" s="22"/>
    </row>
    <row r="952" ht="14.2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55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  <c r="AD952" s="22"/>
      <c r="AE952" s="22"/>
      <c r="AF952" s="22"/>
      <c r="AG952" s="22"/>
      <c r="AH952" s="22"/>
      <c r="AI952" s="22"/>
      <c r="AJ952" s="22"/>
      <c r="AK952" s="22"/>
      <c r="AL952" s="22"/>
      <c r="AM952" s="22"/>
      <c r="AN952" s="22"/>
      <c r="AO952" s="22"/>
    </row>
    <row r="953" ht="14.2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55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  <c r="AD953" s="22"/>
      <c r="AE953" s="22"/>
      <c r="AF953" s="22"/>
      <c r="AG953" s="22"/>
      <c r="AH953" s="22"/>
      <c r="AI953" s="22"/>
      <c r="AJ953" s="22"/>
      <c r="AK953" s="22"/>
      <c r="AL953" s="22"/>
      <c r="AM953" s="22"/>
      <c r="AN953" s="22"/>
      <c r="AO953" s="22"/>
    </row>
    <row r="954" ht="14.2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55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  <c r="AD954" s="22"/>
      <c r="AE954" s="22"/>
      <c r="AF954" s="22"/>
      <c r="AG954" s="22"/>
      <c r="AH954" s="22"/>
      <c r="AI954" s="22"/>
      <c r="AJ954" s="22"/>
      <c r="AK954" s="22"/>
      <c r="AL954" s="22"/>
      <c r="AM954" s="22"/>
      <c r="AN954" s="22"/>
      <c r="AO954" s="22"/>
    </row>
    <row r="955" ht="14.2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55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  <c r="AD955" s="22"/>
      <c r="AE955" s="22"/>
      <c r="AF955" s="22"/>
      <c r="AG955" s="22"/>
      <c r="AH955" s="22"/>
      <c r="AI955" s="22"/>
      <c r="AJ955" s="22"/>
      <c r="AK955" s="22"/>
      <c r="AL955" s="22"/>
      <c r="AM955" s="22"/>
      <c r="AN955" s="22"/>
      <c r="AO955" s="22"/>
    </row>
    <row r="956" ht="14.2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55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  <c r="AD956" s="22"/>
      <c r="AE956" s="22"/>
      <c r="AF956" s="22"/>
      <c r="AG956" s="22"/>
      <c r="AH956" s="22"/>
      <c r="AI956" s="22"/>
      <c r="AJ956" s="22"/>
      <c r="AK956" s="22"/>
      <c r="AL956" s="22"/>
      <c r="AM956" s="22"/>
      <c r="AN956" s="22"/>
      <c r="AO956" s="22"/>
    </row>
    <row r="957" ht="14.2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55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  <c r="AD957" s="22"/>
      <c r="AE957" s="22"/>
      <c r="AF957" s="22"/>
      <c r="AG957" s="22"/>
      <c r="AH957" s="22"/>
      <c r="AI957" s="22"/>
      <c r="AJ957" s="22"/>
      <c r="AK957" s="22"/>
      <c r="AL957" s="22"/>
      <c r="AM957" s="22"/>
      <c r="AN957" s="22"/>
      <c r="AO957" s="22"/>
    </row>
    <row r="958" ht="14.2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55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  <c r="AD958" s="22"/>
      <c r="AE958" s="22"/>
      <c r="AF958" s="22"/>
      <c r="AG958" s="22"/>
      <c r="AH958" s="22"/>
      <c r="AI958" s="22"/>
      <c r="AJ958" s="22"/>
      <c r="AK958" s="22"/>
      <c r="AL958" s="22"/>
      <c r="AM958" s="22"/>
      <c r="AN958" s="22"/>
      <c r="AO958" s="22"/>
    </row>
    <row r="959" ht="14.2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55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  <c r="AD959" s="22"/>
      <c r="AE959" s="22"/>
      <c r="AF959" s="22"/>
      <c r="AG959" s="22"/>
      <c r="AH959" s="22"/>
      <c r="AI959" s="22"/>
      <c r="AJ959" s="22"/>
      <c r="AK959" s="22"/>
      <c r="AL959" s="22"/>
      <c r="AM959" s="22"/>
      <c r="AN959" s="22"/>
      <c r="AO959" s="22"/>
    </row>
    <row r="960" ht="14.2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55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  <c r="AD960" s="22"/>
      <c r="AE960" s="22"/>
      <c r="AF960" s="22"/>
      <c r="AG960" s="22"/>
      <c r="AH960" s="22"/>
      <c r="AI960" s="22"/>
      <c r="AJ960" s="22"/>
      <c r="AK960" s="22"/>
      <c r="AL960" s="22"/>
      <c r="AM960" s="22"/>
      <c r="AN960" s="22"/>
      <c r="AO960" s="22"/>
    </row>
    <row r="961" ht="14.2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55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  <c r="AC961" s="22"/>
      <c r="AD961" s="22"/>
      <c r="AE961" s="22"/>
      <c r="AF961" s="22"/>
      <c r="AG961" s="22"/>
      <c r="AH961" s="22"/>
      <c r="AI961" s="22"/>
      <c r="AJ961" s="22"/>
      <c r="AK961" s="22"/>
      <c r="AL961" s="22"/>
      <c r="AM961" s="22"/>
      <c r="AN961" s="22"/>
      <c r="AO961" s="22"/>
    </row>
    <row r="962" ht="14.2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55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  <c r="AD962" s="22"/>
      <c r="AE962" s="22"/>
      <c r="AF962" s="22"/>
      <c r="AG962" s="22"/>
      <c r="AH962" s="22"/>
      <c r="AI962" s="22"/>
      <c r="AJ962" s="22"/>
      <c r="AK962" s="22"/>
      <c r="AL962" s="22"/>
      <c r="AM962" s="22"/>
      <c r="AN962" s="22"/>
      <c r="AO962" s="22"/>
    </row>
    <row r="963" ht="14.2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55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  <c r="AD963" s="22"/>
      <c r="AE963" s="22"/>
      <c r="AF963" s="22"/>
      <c r="AG963" s="22"/>
      <c r="AH963" s="22"/>
      <c r="AI963" s="22"/>
      <c r="AJ963" s="22"/>
      <c r="AK963" s="22"/>
      <c r="AL963" s="22"/>
      <c r="AM963" s="22"/>
      <c r="AN963" s="22"/>
      <c r="AO963" s="22"/>
    </row>
    <row r="964" ht="14.2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55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  <c r="AC964" s="22"/>
      <c r="AD964" s="22"/>
      <c r="AE964" s="22"/>
      <c r="AF964" s="22"/>
      <c r="AG964" s="22"/>
      <c r="AH964" s="22"/>
      <c r="AI964" s="22"/>
      <c r="AJ964" s="22"/>
      <c r="AK964" s="22"/>
      <c r="AL964" s="22"/>
      <c r="AM964" s="22"/>
      <c r="AN964" s="22"/>
      <c r="AO964" s="22"/>
    </row>
    <row r="965" ht="14.25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55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  <c r="AD965" s="22"/>
      <c r="AE965" s="22"/>
      <c r="AF965" s="22"/>
      <c r="AG965" s="22"/>
      <c r="AH965" s="22"/>
      <c r="AI965" s="22"/>
      <c r="AJ965" s="22"/>
      <c r="AK965" s="22"/>
      <c r="AL965" s="22"/>
      <c r="AM965" s="22"/>
      <c r="AN965" s="22"/>
      <c r="AO965" s="22"/>
    </row>
    <row r="966" ht="14.2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55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  <c r="AC966" s="22"/>
      <c r="AD966" s="22"/>
      <c r="AE966" s="22"/>
      <c r="AF966" s="22"/>
      <c r="AG966" s="22"/>
      <c r="AH966" s="22"/>
      <c r="AI966" s="22"/>
      <c r="AJ966" s="22"/>
      <c r="AK966" s="22"/>
      <c r="AL966" s="22"/>
      <c r="AM966" s="22"/>
      <c r="AN966" s="22"/>
      <c r="AO966" s="22"/>
    </row>
    <row r="967" ht="14.25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55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  <c r="AC967" s="22"/>
      <c r="AD967" s="22"/>
      <c r="AE967" s="22"/>
      <c r="AF967" s="22"/>
      <c r="AG967" s="22"/>
      <c r="AH967" s="22"/>
      <c r="AI967" s="22"/>
      <c r="AJ967" s="22"/>
      <c r="AK967" s="22"/>
      <c r="AL967" s="22"/>
      <c r="AM967" s="22"/>
      <c r="AN967" s="22"/>
      <c r="AO967" s="22"/>
    </row>
    <row r="968" ht="14.2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55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  <c r="AC968" s="22"/>
      <c r="AD968" s="22"/>
      <c r="AE968" s="22"/>
      <c r="AF968" s="22"/>
      <c r="AG968" s="22"/>
      <c r="AH968" s="22"/>
      <c r="AI968" s="22"/>
      <c r="AJ968" s="22"/>
      <c r="AK968" s="22"/>
      <c r="AL968" s="22"/>
      <c r="AM968" s="22"/>
      <c r="AN968" s="22"/>
      <c r="AO968" s="22"/>
    </row>
    <row r="969" ht="14.25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55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  <c r="AD969" s="22"/>
      <c r="AE969" s="22"/>
      <c r="AF969" s="22"/>
      <c r="AG969" s="22"/>
      <c r="AH969" s="22"/>
      <c r="AI969" s="22"/>
      <c r="AJ969" s="22"/>
      <c r="AK969" s="22"/>
      <c r="AL969" s="22"/>
      <c r="AM969" s="22"/>
      <c r="AN969" s="22"/>
      <c r="AO969" s="22"/>
    </row>
    <row r="970" ht="14.2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55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  <c r="AC970" s="22"/>
      <c r="AD970" s="22"/>
      <c r="AE970" s="22"/>
      <c r="AF970" s="22"/>
      <c r="AG970" s="22"/>
      <c r="AH970" s="22"/>
      <c r="AI970" s="22"/>
      <c r="AJ970" s="22"/>
      <c r="AK970" s="22"/>
      <c r="AL970" s="22"/>
      <c r="AM970" s="22"/>
      <c r="AN970" s="22"/>
      <c r="AO970" s="22"/>
    </row>
    <row r="971" ht="14.25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55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  <c r="AC971" s="22"/>
      <c r="AD971" s="22"/>
      <c r="AE971" s="22"/>
      <c r="AF971" s="22"/>
      <c r="AG971" s="22"/>
      <c r="AH971" s="22"/>
      <c r="AI971" s="22"/>
      <c r="AJ971" s="22"/>
      <c r="AK971" s="22"/>
      <c r="AL971" s="22"/>
      <c r="AM971" s="22"/>
      <c r="AN971" s="22"/>
      <c r="AO971" s="22"/>
    </row>
    <row r="972" ht="14.2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55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  <c r="AC972" s="22"/>
      <c r="AD972" s="22"/>
      <c r="AE972" s="22"/>
      <c r="AF972" s="22"/>
      <c r="AG972" s="22"/>
      <c r="AH972" s="22"/>
      <c r="AI972" s="22"/>
      <c r="AJ972" s="22"/>
      <c r="AK972" s="22"/>
      <c r="AL972" s="22"/>
      <c r="AM972" s="22"/>
      <c r="AN972" s="22"/>
      <c r="AO972" s="22"/>
    </row>
    <row r="973" ht="14.25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55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  <c r="AD973" s="22"/>
      <c r="AE973" s="22"/>
      <c r="AF973" s="22"/>
      <c r="AG973" s="22"/>
      <c r="AH973" s="22"/>
      <c r="AI973" s="22"/>
      <c r="AJ973" s="22"/>
      <c r="AK973" s="22"/>
      <c r="AL973" s="22"/>
      <c r="AM973" s="22"/>
      <c r="AN973" s="22"/>
      <c r="AO973" s="22"/>
    </row>
    <row r="974" ht="14.2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55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  <c r="AC974" s="22"/>
      <c r="AD974" s="22"/>
      <c r="AE974" s="22"/>
      <c r="AF974" s="22"/>
      <c r="AG974" s="22"/>
      <c r="AH974" s="22"/>
      <c r="AI974" s="22"/>
      <c r="AJ974" s="22"/>
      <c r="AK974" s="22"/>
      <c r="AL974" s="22"/>
      <c r="AM974" s="22"/>
      <c r="AN974" s="22"/>
      <c r="AO974" s="22"/>
    </row>
    <row r="975" ht="14.25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55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  <c r="AC975" s="22"/>
      <c r="AD975" s="22"/>
      <c r="AE975" s="22"/>
      <c r="AF975" s="22"/>
      <c r="AG975" s="22"/>
      <c r="AH975" s="22"/>
      <c r="AI975" s="22"/>
      <c r="AJ975" s="22"/>
      <c r="AK975" s="22"/>
      <c r="AL975" s="22"/>
      <c r="AM975" s="22"/>
      <c r="AN975" s="22"/>
      <c r="AO975" s="22"/>
    </row>
    <row r="976" ht="14.25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55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  <c r="AC976" s="22"/>
      <c r="AD976" s="22"/>
      <c r="AE976" s="22"/>
      <c r="AF976" s="22"/>
      <c r="AG976" s="22"/>
      <c r="AH976" s="22"/>
      <c r="AI976" s="22"/>
      <c r="AJ976" s="22"/>
      <c r="AK976" s="22"/>
      <c r="AL976" s="22"/>
      <c r="AM976" s="22"/>
      <c r="AN976" s="22"/>
      <c r="AO976" s="22"/>
    </row>
    <row r="977" ht="14.25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55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  <c r="AC977" s="22"/>
      <c r="AD977" s="22"/>
      <c r="AE977" s="22"/>
      <c r="AF977" s="22"/>
      <c r="AG977" s="22"/>
      <c r="AH977" s="22"/>
      <c r="AI977" s="22"/>
      <c r="AJ977" s="22"/>
      <c r="AK977" s="22"/>
      <c r="AL977" s="22"/>
      <c r="AM977" s="22"/>
      <c r="AN977" s="22"/>
      <c r="AO977" s="22"/>
    </row>
    <row r="978" ht="14.25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55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  <c r="AC978" s="22"/>
      <c r="AD978" s="22"/>
      <c r="AE978" s="22"/>
      <c r="AF978" s="22"/>
      <c r="AG978" s="22"/>
      <c r="AH978" s="22"/>
      <c r="AI978" s="22"/>
      <c r="AJ978" s="22"/>
      <c r="AK978" s="22"/>
      <c r="AL978" s="22"/>
      <c r="AM978" s="22"/>
      <c r="AN978" s="22"/>
      <c r="AO978" s="22"/>
    </row>
    <row r="979" ht="14.25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55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  <c r="AC979" s="22"/>
      <c r="AD979" s="22"/>
      <c r="AE979" s="22"/>
      <c r="AF979" s="22"/>
      <c r="AG979" s="22"/>
      <c r="AH979" s="22"/>
      <c r="AI979" s="22"/>
      <c r="AJ979" s="22"/>
      <c r="AK979" s="22"/>
      <c r="AL979" s="22"/>
      <c r="AM979" s="22"/>
      <c r="AN979" s="22"/>
      <c r="AO979" s="22"/>
    </row>
    <row r="980" ht="14.25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55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  <c r="AC980" s="22"/>
      <c r="AD980" s="22"/>
      <c r="AE980" s="22"/>
      <c r="AF980" s="22"/>
      <c r="AG980" s="22"/>
      <c r="AH980" s="22"/>
      <c r="AI980" s="22"/>
      <c r="AJ980" s="22"/>
      <c r="AK980" s="22"/>
      <c r="AL980" s="22"/>
      <c r="AM980" s="22"/>
      <c r="AN980" s="22"/>
      <c r="AO980" s="22"/>
    </row>
    <row r="981" ht="14.25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55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  <c r="AC981" s="22"/>
      <c r="AD981" s="22"/>
      <c r="AE981" s="22"/>
      <c r="AF981" s="22"/>
      <c r="AG981" s="22"/>
      <c r="AH981" s="22"/>
      <c r="AI981" s="22"/>
      <c r="AJ981" s="22"/>
      <c r="AK981" s="22"/>
      <c r="AL981" s="22"/>
      <c r="AM981" s="22"/>
      <c r="AN981" s="22"/>
      <c r="AO981" s="22"/>
    </row>
    <row r="982" ht="14.25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55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  <c r="AC982" s="22"/>
      <c r="AD982" s="22"/>
      <c r="AE982" s="22"/>
      <c r="AF982" s="22"/>
      <c r="AG982" s="22"/>
      <c r="AH982" s="22"/>
      <c r="AI982" s="22"/>
      <c r="AJ982" s="22"/>
      <c r="AK982" s="22"/>
      <c r="AL982" s="22"/>
      <c r="AM982" s="22"/>
      <c r="AN982" s="22"/>
      <c r="AO982" s="22"/>
    </row>
    <row r="983" ht="14.25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55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  <c r="AC983" s="22"/>
      <c r="AD983" s="22"/>
      <c r="AE983" s="22"/>
      <c r="AF983" s="22"/>
      <c r="AG983" s="22"/>
      <c r="AH983" s="22"/>
      <c r="AI983" s="22"/>
      <c r="AJ983" s="22"/>
      <c r="AK983" s="22"/>
      <c r="AL983" s="22"/>
      <c r="AM983" s="22"/>
      <c r="AN983" s="22"/>
      <c r="AO983" s="22"/>
    </row>
    <row r="984" ht="14.25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55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  <c r="AC984" s="22"/>
      <c r="AD984" s="22"/>
      <c r="AE984" s="22"/>
      <c r="AF984" s="22"/>
      <c r="AG984" s="22"/>
      <c r="AH984" s="22"/>
      <c r="AI984" s="22"/>
      <c r="AJ984" s="22"/>
      <c r="AK984" s="22"/>
      <c r="AL984" s="22"/>
      <c r="AM984" s="22"/>
      <c r="AN984" s="22"/>
      <c r="AO984" s="22"/>
    </row>
    <row r="985" ht="14.25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55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  <c r="AC985" s="22"/>
      <c r="AD985" s="22"/>
      <c r="AE985" s="22"/>
      <c r="AF985" s="22"/>
      <c r="AG985" s="22"/>
      <c r="AH985" s="22"/>
      <c r="AI985" s="22"/>
      <c r="AJ985" s="22"/>
      <c r="AK985" s="22"/>
      <c r="AL985" s="22"/>
      <c r="AM985" s="22"/>
      <c r="AN985" s="22"/>
      <c r="AO985" s="22"/>
    </row>
    <row r="986" ht="14.25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55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  <c r="AC986" s="22"/>
      <c r="AD986" s="22"/>
      <c r="AE986" s="22"/>
      <c r="AF986" s="22"/>
      <c r="AG986" s="22"/>
      <c r="AH986" s="22"/>
      <c r="AI986" s="22"/>
      <c r="AJ986" s="22"/>
      <c r="AK986" s="22"/>
      <c r="AL986" s="22"/>
      <c r="AM986" s="22"/>
      <c r="AN986" s="22"/>
      <c r="AO986" s="22"/>
    </row>
    <row r="987" ht="14.25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55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  <c r="AC987" s="22"/>
      <c r="AD987" s="22"/>
      <c r="AE987" s="22"/>
      <c r="AF987" s="22"/>
      <c r="AG987" s="22"/>
      <c r="AH987" s="22"/>
      <c r="AI987" s="22"/>
      <c r="AJ987" s="22"/>
      <c r="AK987" s="22"/>
      <c r="AL987" s="22"/>
      <c r="AM987" s="22"/>
      <c r="AN987" s="22"/>
      <c r="AO987" s="22"/>
    </row>
    <row r="988" ht="14.25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55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  <c r="AB988" s="22"/>
      <c r="AC988" s="22"/>
      <c r="AD988" s="22"/>
      <c r="AE988" s="22"/>
      <c r="AF988" s="22"/>
      <c r="AG988" s="22"/>
      <c r="AH988" s="22"/>
      <c r="AI988" s="22"/>
      <c r="AJ988" s="22"/>
      <c r="AK988" s="22"/>
      <c r="AL988" s="22"/>
      <c r="AM988" s="22"/>
      <c r="AN988" s="22"/>
      <c r="AO988" s="22"/>
    </row>
    <row r="989" ht="14.25" customHeight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55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  <c r="AB989" s="22"/>
      <c r="AC989" s="22"/>
      <c r="AD989" s="22"/>
      <c r="AE989" s="22"/>
      <c r="AF989" s="22"/>
      <c r="AG989" s="22"/>
      <c r="AH989" s="22"/>
      <c r="AI989" s="22"/>
      <c r="AJ989" s="22"/>
      <c r="AK989" s="22"/>
      <c r="AL989" s="22"/>
      <c r="AM989" s="22"/>
      <c r="AN989" s="22"/>
      <c r="AO989" s="22"/>
    </row>
    <row r="990" ht="14.25" customHeight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55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  <c r="AB990" s="22"/>
      <c r="AC990" s="22"/>
      <c r="AD990" s="22"/>
      <c r="AE990" s="22"/>
      <c r="AF990" s="22"/>
      <c r="AG990" s="22"/>
      <c r="AH990" s="22"/>
      <c r="AI990" s="22"/>
      <c r="AJ990" s="22"/>
      <c r="AK990" s="22"/>
      <c r="AL990" s="22"/>
      <c r="AM990" s="22"/>
      <c r="AN990" s="22"/>
      <c r="AO990" s="22"/>
    </row>
    <row r="991" ht="14.25" customHeight="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55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  <c r="AB991" s="22"/>
      <c r="AC991" s="22"/>
      <c r="AD991" s="22"/>
      <c r="AE991" s="22"/>
      <c r="AF991" s="22"/>
      <c r="AG991" s="22"/>
      <c r="AH991" s="22"/>
      <c r="AI991" s="22"/>
      <c r="AJ991" s="22"/>
      <c r="AK991" s="22"/>
      <c r="AL991" s="22"/>
      <c r="AM991" s="22"/>
      <c r="AN991" s="22"/>
      <c r="AO991" s="22"/>
    </row>
  </sheetData>
  <autoFilter ref="$A$1:$T$108"/>
  <dataValidations>
    <dataValidation type="list" allowBlank="1" showErrorMessage="1" sqref="T2:T341">
      <formula1>'Lista desplegable'!$I$1:$I$2</formula1>
    </dataValidation>
    <dataValidation type="list" allowBlank="1" showErrorMessage="1" sqref="P2:P341">
      <formula1>'Lista desplegable'!$D$1:$D$4</formula1>
    </dataValidation>
    <dataValidation type="list" allowBlank="1" showErrorMessage="1" sqref="Q2:Q341">
      <formula1>'Lista desplegable'!$F$1:$F$17</formula1>
    </dataValidation>
  </dataValidations>
  <printOptions/>
  <pageMargins bottom="0.75" footer="0.0" header="0.0" left="0.7" right="0.7" top="0.75"/>
  <pageSetup orientation="landscape"/>
  <drawing r:id="rId1"/>
  <tableParts count="3"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 ht="14.25" customHeight="1">
      <c r="D1" s="2" t="s">
        <v>5582</v>
      </c>
      <c r="F1" s="2" t="s">
        <v>5606</v>
      </c>
      <c r="I1" s="15" t="s">
        <v>5616</v>
      </c>
    </row>
    <row r="2" ht="14.25" customHeight="1">
      <c r="D2" s="2" t="s">
        <v>5594</v>
      </c>
      <c r="F2" s="2" t="s">
        <v>5586</v>
      </c>
      <c r="I2" s="15" t="s">
        <v>5585</v>
      </c>
    </row>
    <row r="3" ht="14.25" customHeight="1">
      <c r="D3" s="2" t="s">
        <v>5575</v>
      </c>
      <c r="F3" s="2" t="s">
        <v>5567</v>
      </c>
    </row>
    <row r="4" ht="14.25" customHeight="1">
      <c r="D4" s="2" t="s">
        <v>1323</v>
      </c>
      <c r="F4" s="2" t="s">
        <v>5601</v>
      </c>
    </row>
    <row r="5" ht="14.25" customHeight="1">
      <c r="F5" s="12" t="s">
        <v>5603</v>
      </c>
    </row>
    <row r="6" ht="14.25" customHeight="1">
      <c r="F6" s="15" t="s">
        <v>5657</v>
      </c>
    </row>
    <row r="7" ht="14.25" customHeight="1">
      <c r="F7" s="15" t="s">
        <v>5838</v>
      </c>
    </row>
    <row r="8" ht="14.25" customHeight="1">
      <c r="F8" s="2" t="s">
        <v>5583</v>
      </c>
    </row>
    <row r="9" ht="14.25" customHeight="1">
      <c r="F9" s="2" t="s">
        <v>5692</v>
      </c>
    </row>
    <row r="10" ht="14.25" customHeight="1">
      <c r="F10" s="2" t="s">
        <v>5591</v>
      </c>
    </row>
    <row r="11" ht="14.25" customHeight="1">
      <c r="F11" s="15" t="s">
        <v>5599</v>
      </c>
    </row>
    <row r="12" ht="14.25" customHeight="1">
      <c r="F12" s="15" t="s">
        <v>5401</v>
      </c>
    </row>
    <row r="13" ht="14.25" customHeight="1">
      <c r="F13" s="2" t="s">
        <v>5589</v>
      </c>
    </row>
    <row r="14" ht="14.25" customHeight="1">
      <c r="F14" s="2" t="s">
        <v>5624</v>
      </c>
    </row>
    <row r="15" ht="14.25" customHeight="1">
      <c r="F15" s="2" t="s">
        <v>5597</v>
      </c>
    </row>
    <row r="16" ht="14.25" customHeight="1">
      <c r="F16" s="2" t="s">
        <v>5598</v>
      </c>
    </row>
    <row r="17" ht="14.25" customHeight="1">
      <c r="F17" s="2" t="s">
        <v>1323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2025-10-22T20:27:26Z</dcterms:created>
  <dc:creator>Marlene Cartes Cabrera</dc:creator>
</cp:coreProperties>
</file>